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0713"/>
  <workbookPr codeName="ThisWorkbook"/>
  <mc:AlternateContent xmlns:mc="http://schemas.openxmlformats.org/markup-compatibility/2006">
    <mc:Choice Requires="x15">
      <x15ac:absPath xmlns:x15ac="http://schemas.microsoft.com/office/spreadsheetml/2010/11/ac" url="/Users/gabe/Desktop/"/>
    </mc:Choice>
  </mc:AlternateContent>
  <xr:revisionPtr revIDLastSave="0" documentId="13_ncr:40009_{E39E0808-82A2-2646-9BC1-4204FA11522F}" xr6:coauthVersionLast="45" xr6:coauthVersionMax="45" xr10:uidLastSave="{00000000-0000-0000-0000-000000000000}"/>
  <bookViews>
    <workbookView xWindow="5020" yWindow="460" windowWidth="18920" windowHeight="14200" tabRatio="887" firstSheet="15" activeTab="20"/>
  </bookViews>
  <sheets>
    <sheet name="Contents" sheetId="1" r:id="rId1"/>
    <sheet name="Symbols-Glossary" sheetId="3" r:id="rId2"/>
    <sheet name="Summary" sheetId="2" r:id="rId3"/>
    <sheet name="Summary Scope 1" sheetId="23" r:id="rId4"/>
    <sheet name="Summary Scope 2" sheetId="24" r:id="rId5"/>
    <sheet name="Summary Scope 3" sheetId="25" r:id="rId6"/>
    <sheet name="Scope1A Stationary" sheetId="4" r:id="rId7"/>
    <sheet name="Scope1A Stationary sources" sheetId="5" r:id="rId8"/>
    <sheet name="Scope1B  Mobile" sheetId="6" r:id="rId9"/>
    <sheet name="Scope1B Mobile sources" sheetId="7" r:id="rId10"/>
    <sheet name="Scope2 Electricity" sheetId="8" r:id="rId11"/>
    <sheet name="Renewable Energy" sheetId="14" r:id="rId12"/>
    <sheet name="Scope2 Electric sources" sheetId="9" r:id="rId13"/>
    <sheet name="Scope 2 Electricity Updated " sheetId="33" r:id="rId14"/>
    <sheet name="Scope3 Travel" sheetId="10" r:id="rId15"/>
    <sheet name="Scope3 Travel sources" sheetId="11" r:id="rId16"/>
    <sheet name="Scope 3 Travel Sources for FY19" sheetId="34" r:id="rId17"/>
    <sheet name="Scope3 Landfill Methane" sheetId="12" r:id="rId18"/>
    <sheet name="Scope3 Landfill Meth sources" sheetId="13" r:id="rId19"/>
    <sheet name="Renewable Energy Sources" sheetId="15" r:id="rId20"/>
    <sheet name="Biomass Accounting" sheetId="35" r:id="rId21"/>
    <sheet name="Offsets" sheetId="16" r:id="rId22"/>
    <sheet name="Offsets (sources)" sheetId="17" r:id="rId23"/>
    <sheet name="EmployeeCommute" sheetId="18" r:id="rId24"/>
    <sheet name="EmployeeCommute sources" sheetId="19" r:id="rId25"/>
    <sheet name="EmployeeCommuteRevised" sheetId="28" r:id="rId26"/>
    <sheet name="EmployeeCommuteRevised sources" sheetId="30" r:id="rId27"/>
    <sheet name="Normalization Factors" sheetId="20" r:id="rId28"/>
    <sheet name="Normalization sources" sheetId="21" r:id="rId29"/>
    <sheet name="Edits Log" sheetId="26" r:id="rId30"/>
    <sheet name="FY 02-06 reference" sheetId="27" r:id="rId31"/>
    <sheet name="Sheet1" sheetId="31" r:id="rId32"/>
    <sheet name="Sheet2" sheetId="32" r:id="rId33"/>
  </sheets>
  <definedNames>
    <definedName name="_xlnm.Print_Area" localSheetId="8">'Scope1B  Mobile'!$A$1:$H$92</definedName>
    <definedName name="_xlnm.Print_Area" localSheetId="12">'Scope2 Electric sources'!$A$1:$H$129</definedName>
    <definedName name="_xlnm.Print_Area" localSheetId="10">'Scope2 Electricity'!$A$1:$H$229</definedName>
    <definedName name="_xlnm.Print_Area" localSheetId="14">'Scope3 Travel'!$A$1:$I$205</definedName>
    <definedName name="_xlnm.Print_Area" localSheetId="2">Summary!$A$1:$H$172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41" i="35" l="1"/>
  <c r="D41" i="35"/>
  <c r="E41" i="35"/>
  <c r="F41" i="35"/>
  <c r="F42" i="35" s="1"/>
  <c r="G41" i="35"/>
  <c r="H41" i="35"/>
  <c r="I41" i="35"/>
  <c r="J41" i="35"/>
  <c r="J42" i="35" s="1"/>
  <c r="K41" i="35"/>
  <c r="K42" i="35" s="1"/>
  <c r="L41" i="35"/>
  <c r="M41" i="35"/>
  <c r="B41" i="35"/>
  <c r="B42" i="35" s="1"/>
  <c r="C12" i="35"/>
  <c r="D12" i="35"/>
  <c r="E12" i="35"/>
  <c r="F12" i="35"/>
  <c r="G12" i="35"/>
  <c r="H12" i="35"/>
  <c r="H27" i="35" s="1"/>
  <c r="H37" i="35" s="1"/>
  <c r="H39" i="35" s="1"/>
  <c r="H40" i="35" s="1"/>
  <c r="I12" i="35"/>
  <c r="I27" i="35" s="1"/>
  <c r="J12" i="35"/>
  <c r="K12" i="35"/>
  <c r="L12" i="35"/>
  <c r="L27" i="35" s="1"/>
  <c r="M12" i="35"/>
  <c r="B12" i="35"/>
  <c r="J27" i="35"/>
  <c r="M49" i="35"/>
  <c r="M46" i="35"/>
  <c r="M50" i="35" s="1"/>
  <c r="M52" i="35" s="1"/>
  <c r="M54" i="35" s="1"/>
  <c r="M42" i="35"/>
  <c r="M36" i="35"/>
  <c r="M37" i="35" s="1"/>
  <c r="M27" i="35"/>
  <c r="M15" i="35"/>
  <c r="M17" i="35" s="1"/>
  <c r="M18" i="35" s="1"/>
  <c r="M19" i="35" s="1"/>
  <c r="L49" i="35"/>
  <c r="L46" i="35"/>
  <c r="L42" i="35"/>
  <c r="L36" i="35"/>
  <c r="L15" i="35"/>
  <c r="L17" i="35" s="1"/>
  <c r="L18" i="35" s="1"/>
  <c r="L19" i="35" s="1"/>
  <c r="K49" i="35"/>
  <c r="K46" i="35"/>
  <c r="K50" i="35" s="1"/>
  <c r="K52" i="35" s="1"/>
  <c r="K54" i="35" s="1"/>
  <c r="K36" i="35"/>
  <c r="K27" i="35"/>
  <c r="K15" i="35"/>
  <c r="K17" i="35" s="1"/>
  <c r="K18" i="35" s="1"/>
  <c r="K19" i="35" s="1"/>
  <c r="J49" i="35"/>
  <c r="J46" i="35"/>
  <c r="J50" i="35" s="1"/>
  <c r="J52" i="35" s="1"/>
  <c r="J54" i="35" s="1"/>
  <c r="J36" i="35"/>
  <c r="J15" i="35"/>
  <c r="J17" i="35" s="1"/>
  <c r="J18" i="35" s="1"/>
  <c r="J19" i="35" s="1"/>
  <c r="I49" i="35"/>
  <c r="I46" i="35"/>
  <c r="I50" i="35" s="1"/>
  <c r="I52" i="35" s="1"/>
  <c r="I54" i="35" s="1"/>
  <c r="I42" i="35"/>
  <c r="I36" i="35"/>
  <c r="I15" i="35"/>
  <c r="I17" i="35" s="1"/>
  <c r="I18" i="35" s="1"/>
  <c r="I19" i="35" s="1"/>
  <c r="H49" i="35"/>
  <c r="H46" i="35"/>
  <c r="H50" i="35" s="1"/>
  <c r="H52" i="35" s="1"/>
  <c r="H54" i="35" s="1"/>
  <c r="H42" i="35"/>
  <c r="H36" i="35"/>
  <c r="H15" i="35"/>
  <c r="H17" i="35" s="1"/>
  <c r="H18" i="35" s="1"/>
  <c r="H19" i="35" s="1"/>
  <c r="G49" i="35"/>
  <c r="G46" i="35"/>
  <c r="G50" i="35" s="1"/>
  <c r="G52" i="35" s="1"/>
  <c r="G54" i="35" s="1"/>
  <c r="G42" i="35"/>
  <c r="G36" i="35"/>
  <c r="G27" i="35"/>
  <c r="G15" i="35"/>
  <c r="G17" i="35" s="1"/>
  <c r="G18" i="35" s="1"/>
  <c r="G19" i="35" s="1"/>
  <c r="F49" i="35"/>
  <c r="F46" i="35"/>
  <c r="F50" i="35" s="1"/>
  <c r="F52" i="35" s="1"/>
  <c r="F54" i="35" s="1"/>
  <c r="F36" i="35"/>
  <c r="F27" i="35"/>
  <c r="F15" i="35"/>
  <c r="F17" i="35" s="1"/>
  <c r="F18" i="35" s="1"/>
  <c r="F19" i="35" s="1"/>
  <c r="E49" i="35"/>
  <c r="E46" i="35"/>
  <c r="E50" i="35" s="1"/>
  <c r="E52" i="35" s="1"/>
  <c r="E54" i="35" s="1"/>
  <c r="E42" i="35"/>
  <c r="E36" i="35"/>
  <c r="E27" i="35"/>
  <c r="E15" i="35"/>
  <c r="E17" i="35" s="1"/>
  <c r="E18" i="35" s="1"/>
  <c r="E19" i="35" s="1"/>
  <c r="D49" i="35"/>
  <c r="D46" i="35"/>
  <c r="D50" i="35" s="1"/>
  <c r="D52" i="35" s="1"/>
  <c r="D54" i="35" s="1"/>
  <c r="D42" i="35"/>
  <c r="D36" i="35"/>
  <c r="D27" i="35"/>
  <c r="D15" i="35"/>
  <c r="D17" i="35" s="1"/>
  <c r="D18" i="35" s="1"/>
  <c r="D19" i="35" s="1"/>
  <c r="C49" i="35"/>
  <c r="C46" i="35"/>
  <c r="C50" i="35" s="1"/>
  <c r="C52" i="35" s="1"/>
  <c r="C54" i="35" s="1"/>
  <c r="C42" i="35"/>
  <c r="C36" i="35"/>
  <c r="C37" i="35" s="1"/>
  <c r="C27" i="35"/>
  <c r="C15" i="35"/>
  <c r="C17" i="35" s="1"/>
  <c r="C18" i="35" s="1"/>
  <c r="C19" i="35" s="1"/>
  <c r="B49" i="35"/>
  <c r="B46" i="35"/>
  <c r="B50" i="35" s="1"/>
  <c r="B52" i="35" s="1"/>
  <c r="B54" i="35" s="1"/>
  <c r="B36" i="35"/>
  <c r="B27" i="35"/>
  <c r="B15" i="35"/>
  <c r="B17" i="35" s="1"/>
  <c r="B18" i="35" s="1"/>
  <c r="B19" i="35" s="1"/>
  <c r="E37" i="35" l="1"/>
  <c r="G37" i="35"/>
  <c r="I37" i="35"/>
  <c r="I39" i="35" s="1"/>
  <c r="I40" i="35" s="1"/>
  <c r="K37" i="35"/>
  <c r="K39" i="35" s="1"/>
  <c r="K40" i="35" s="1"/>
  <c r="B37" i="35"/>
  <c r="D37" i="35"/>
  <c r="F37" i="35"/>
  <c r="F38" i="35" s="1"/>
  <c r="J37" i="35"/>
  <c r="J39" i="35" s="1"/>
  <c r="J40" i="35" s="1"/>
  <c r="L37" i="35"/>
  <c r="L39" i="35" s="1"/>
  <c r="L40" i="35" s="1"/>
  <c r="L50" i="35"/>
  <c r="L52" i="35" s="1"/>
  <c r="L54" i="35" s="1"/>
  <c r="M39" i="35"/>
  <c r="M40" i="35" s="1"/>
  <c r="M38" i="35"/>
  <c r="M22" i="35"/>
  <c r="M23" i="35" s="1"/>
  <c r="M20" i="35"/>
  <c r="M21" i="35" s="1"/>
  <c r="L38" i="35"/>
  <c r="L22" i="35"/>
  <c r="L23" i="35" s="1"/>
  <c r="L20" i="35"/>
  <c r="L21" i="35" s="1"/>
  <c r="L24" i="35" s="1"/>
  <c r="K22" i="35"/>
  <c r="K23" i="35" s="1"/>
  <c r="K20" i="35"/>
  <c r="K21" i="35" s="1"/>
  <c r="K24" i="35" s="1"/>
  <c r="K38" i="35"/>
  <c r="J38" i="35"/>
  <c r="J22" i="35"/>
  <c r="J23" i="35" s="1"/>
  <c r="J20" i="35"/>
  <c r="J21" i="35" s="1"/>
  <c r="J24" i="35" s="1"/>
  <c r="I38" i="35"/>
  <c r="I22" i="35"/>
  <c r="I23" i="35" s="1"/>
  <c r="I20" i="35"/>
  <c r="I21" i="35" s="1"/>
  <c r="I24" i="35" s="1"/>
  <c r="H22" i="35"/>
  <c r="H23" i="35" s="1"/>
  <c r="H24" i="35"/>
  <c r="H20" i="35"/>
  <c r="H21" i="35" s="1"/>
  <c r="H38" i="35"/>
  <c r="H43" i="35" s="1"/>
  <c r="H6" i="35" s="1"/>
  <c r="G38" i="35"/>
  <c r="G39" i="35"/>
  <c r="G40" i="35" s="1"/>
  <c r="G20" i="35"/>
  <c r="G21" i="35" s="1"/>
  <c r="G22" i="35"/>
  <c r="G23" i="35" s="1"/>
  <c r="G24" i="35" s="1"/>
  <c r="F39" i="35"/>
  <c r="F40" i="35" s="1"/>
  <c r="F20" i="35"/>
  <c r="F21" i="35" s="1"/>
  <c r="F24" i="35" s="1"/>
  <c r="F22" i="35"/>
  <c r="F23" i="35" s="1"/>
  <c r="E20" i="35"/>
  <c r="E21" i="35" s="1"/>
  <c r="E24" i="35" s="1"/>
  <c r="E22" i="35"/>
  <c r="E23" i="35" s="1"/>
  <c r="E39" i="35"/>
  <c r="E40" i="35" s="1"/>
  <c r="E38" i="35"/>
  <c r="D22" i="35"/>
  <c r="D23" i="35" s="1"/>
  <c r="D20" i="35"/>
  <c r="D21" i="35" s="1"/>
  <c r="D38" i="35"/>
  <c r="D39" i="35"/>
  <c r="D40" i="35" s="1"/>
  <c r="C39" i="35"/>
  <c r="C40" i="35" s="1"/>
  <c r="C38" i="35"/>
  <c r="C22" i="35"/>
  <c r="C23" i="35" s="1"/>
  <c r="C20" i="35"/>
  <c r="C21" i="35" s="1"/>
  <c r="C24" i="35" s="1"/>
  <c r="B38" i="35"/>
  <c r="B39" i="35"/>
  <c r="B40" i="35" s="1"/>
  <c r="B22" i="35"/>
  <c r="B23" i="35" s="1"/>
  <c r="B20" i="35"/>
  <c r="B21" i="35" s="1"/>
  <c r="B24" i="35" s="1"/>
  <c r="N49" i="35"/>
  <c r="N46" i="35"/>
  <c r="N50" i="35" s="1"/>
  <c r="N52" i="35" s="1"/>
  <c r="N54" i="35" s="1"/>
  <c r="N42" i="35"/>
  <c r="N36" i="35"/>
  <c r="N37" i="35" s="1"/>
  <c r="N27" i="35"/>
  <c r="N15" i="35"/>
  <c r="N17" i="35" s="1"/>
  <c r="N18" i="35" s="1"/>
  <c r="N19" i="35" s="1"/>
  <c r="F6" i="34"/>
  <c r="F9" i="34"/>
  <c r="H13" i="34"/>
  <c r="I13" i="34"/>
  <c r="D33" i="31"/>
  <c r="I34" i="31"/>
  <c r="I36" i="31"/>
  <c r="C59" i="31"/>
  <c r="D59" i="31"/>
  <c r="D60" i="31" s="1"/>
  <c r="E59" i="31"/>
  <c r="F59" i="31"/>
  <c r="F60" i="31" s="1"/>
  <c r="G59" i="31"/>
  <c r="H59" i="31"/>
  <c r="H60" i="31" s="1"/>
  <c r="I59" i="31"/>
  <c r="C60" i="31"/>
  <c r="E60" i="31"/>
  <c r="G60" i="31"/>
  <c r="I60" i="31"/>
  <c r="C70" i="31"/>
  <c r="D70" i="31"/>
  <c r="E70" i="31"/>
  <c r="F70" i="31"/>
  <c r="G70" i="31"/>
  <c r="H70" i="31"/>
  <c r="I70" i="31"/>
  <c r="I73" i="31"/>
  <c r="I75" i="31"/>
  <c r="C80" i="31"/>
  <c r="D80" i="31"/>
  <c r="E80" i="31"/>
  <c r="F80" i="31"/>
  <c r="G80" i="31"/>
  <c r="H80" i="31"/>
  <c r="I80" i="31"/>
  <c r="C81" i="31"/>
  <c r="D81" i="31"/>
  <c r="E81" i="31"/>
  <c r="F81" i="31"/>
  <c r="G81" i="31"/>
  <c r="H81" i="31"/>
  <c r="I81" i="31"/>
  <c r="A27" i="27"/>
  <c r="B27" i="27"/>
  <c r="C27" i="27"/>
  <c r="D27" i="27"/>
  <c r="E27" i="27"/>
  <c r="A28" i="27"/>
  <c r="B28" i="27"/>
  <c r="C28" i="27"/>
  <c r="D28" i="27"/>
  <c r="E28" i="27"/>
  <c r="A73" i="27"/>
  <c r="A76" i="27" s="1"/>
  <c r="B73" i="27"/>
  <c r="C73" i="27"/>
  <c r="C76" i="27" s="1"/>
  <c r="D73" i="27"/>
  <c r="E73" i="27"/>
  <c r="E76" i="27" s="1"/>
  <c r="A74" i="27"/>
  <c r="B74" i="27"/>
  <c r="C74" i="27"/>
  <c r="D74" i="27"/>
  <c r="E74" i="27"/>
  <c r="A75" i="27"/>
  <c r="B75" i="27"/>
  <c r="C75" i="27"/>
  <c r="D75" i="27"/>
  <c r="E75" i="27"/>
  <c r="B76" i="27"/>
  <c r="D76" i="27"/>
  <c r="A89" i="27"/>
  <c r="B89" i="27"/>
  <c r="C89" i="27"/>
  <c r="D89" i="27"/>
  <c r="E89" i="27"/>
  <c r="A100" i="27"/>
  <c r="B100" i="27"/>
  <c r="C100" i="27"/>
  <c r="D100" i="27"/>
  <c r="E100" i="27"/>
  <c r="A103" i="27"/>
  <c r="A111" i="27" s="1"/>
  <c r="B103" i="27"/>
  <c r="C103" i="27"/>
  <c r="C111" i="27" s="1"/>
  <c r="D103" i="27"/>
  <c r="E103" i="27"/>
  <c r="E111" i="27" s="1"/>
  <c r="A104" i="27"/>
  <c r="B104" i="27"/>
  <c r="C104" i="27"/>
  <c r="D104" i="27"/>
  <c r="E104" i="27"/>
  <c r="A105" i="27"/>
  <c r="B105" i="27"/>
  <c r="C105" i="27"/>
  <c r="D105" i="27"/>
  <c r="E105" i="27"/>
  <c r="A106" i="27"/>
  <c r="B106" i="27"/>
  <c r="C106" i="27"/>
  <c r="D106" i="27"/>
  <c r="E106" i="27"/>
  <c r="A107" i="27"/>
  <c r="B107" i="27"/>
  <c r="C107" i="27"/>
  <c r="D107" i="27"/>
  <c r="E107" i="27"/>
  <c r="A108" i="27"/>
  <c r="B108" i="27"/>
  <c r="C108" i="27"/>
  <c r="D108" i="27"/>
  <c r="E108" i="27"/>
  <c r="A109" i="27"/>
  <c r="B109" i="27"/>
  <c r="C109" i="27"/>
  <c r="D109" i="27"/>
  <c r="E109" i="27"/>
  <c r="A110" i="27"/>
  <c r="B110" i="27"/>
  <c r="C110" i="27"/>
  <c r="E110" i="27"/>
  <c r="E125" i="27" s="1"/>
  <c r="B111" i="27"/>
  <c r="D111" i="27"/>
  <c r="A114" i="27"/>
  <c r="B114" i="27"/>
  <c r="C114" i="27"/>
  <c r="D114" i="27"/>
  <c r="E114" i="27"/>
  <c r="A115" i="27"/>
  <c r="B115" i="27"/>
  <c r="C115" i="27"/>
  <c r="D115" i="27"/>
  <c r="A116" i="27"/>
  <c r="B116" i="27"/>
  <c r="A117" i="27"/>
  <c r="B117" i="27"/>
  <c r="C117" i="27"/>
  <c r="D117" i="27"/>
  <c r="E117" i="27"/>
  <c r="B118" i="27"/>
  <c r="D118" i="27"/>
  <c r="B119" i="27"/>
  <c r="B126" i="27" s="1"/>
  <c r="B142" i="27" s="1"/>
  <c r="D119" i="27"/>
  <c r="B120" i="27"/>
  <c r="D120" i="27"/>
  <c r="B121" i="27"/>
  <c r="B139" i="27" s="1"/>
  <c r="D121" i="27"/>
  <c r="D149" i="27" s="1"/>
  <c r="B122" i="27"/>
  <c r="D122" i="27"/>
  <c r="B123" i="27"/>
  <c r="B141" i="27" s="1"/>
  <c r="D123" i="27"/>
  <c r="B124" i="27"/>
  <c r="D124" i="27"/>
  <c r="B125" i="27"/>
  <c r="B143" i="27" s="1"/>
  <c r="D125" i="27"/>
  <c r="B161" i="27"/>
  <c r="D161" i="27"/>
  <c r="B173" i="27"/>
  <c r="D173" i="27"/>
  <c r="B185" i="27"/>
  <c r="D185" i="27"/>
  <c r="B197" i="27"/>
  <c r="D197" i="27"/>
  <c r="E197" i="27"/>
  <c r="A271" i="27"/>
  <c r="B271" i="27"/>
  <c r="B273" i="27" s="1"/>
  <c r="C271" i="27"/>
  <c r="C273" i="27" s="1"/>
  <c r="D271" i="27"/>
  <c r="E271" i="27"/>
  <c r="A273" i="27"/>
  <c r="A281" i="27" s="1"/>
  <c r="D273" i="27"/>
  <c r="E273" i="27"/>
  <c r="E281" i="27" s="1"/>
  <c r="A275" i="27"/>
  <c r="C275" i="27"/>
  <c r="D275" i="27"/>
  <c r="E275" i="27"/>
  <c r="A278" i="27"/>
  <c r="C278" i="27"/>
  <c r="D278" i="27"/>
  <c r="E278" i="27"/>
  <c r="A279" i="27"/>
  <c r="C279" i="27"/>
  <c r="D279" i="27"/>
  <c r="E279" i="27"/>
  <c r="A280" i="27"/>
  <c r="C280" i="27"/>
  <c r="D280" i="27"/>
  <c r="C281" i="27"/>
  <c r="D281" i="27"/>
  <c r="G287" i="27"/>
  <c r="G288" i="27" s="1"/>
  <c r="G295" i="27" s="1"/>
  <c r="G296" i="27" s="1"/>
  <c r="H287" i="27"/>
  <c r="H288" i="27" s="1"/>
  <c r="I287" i="27"/>
  <c r="J287" i="27"/>
  <c r="K287" i="27"/>
  <c r="K288" i="27" s="1"/>
  <c r="K295" i="27" s="1"/>
  <c r="K296" i="27" s="1"/>
  <c r="I288" i="27"/>
  <c r="J288" i="27"/>
  <c r="G290" i="27"/>
  <c r="H290" i="27"/>
  <c r="H291" i="27" s="1"/>
  <c r="I290" i="27"/>
  <c r="I291" i="27" s="1"/>
  <c r="I295" i="27" s="1"/>
  <c r="I296" i="27" s="1"/>
  <c r="J290" i="27"/>
  <c r="K290" i="27"/>
  <c r="G291" i="27"/>
  <c r="J291" i="27"/>
  <c r="K291" i="27"/>
  <c r="G293" i="27"/>
  <c r="G294" i="27" s="1"/>
  <c r="H293" i="27"/>
  <c r="H294" i="27" s="1"/>
  <c r="I293" i="27"/>
  <c r="J293" i="27"/>
  <c r="K293" i="27"/>
  <c r="K294" i="27" s="1"/>
  <c r="I294" i="27"/>
  <c r="J294" i="27"/>
  <c r="J295" i="27"/>
  <c r="J296" i="27"/>
  <c r="A310" i="27"/>
  <c r="A317" i="27" s="1"/>
  <c r="A319" i="27" s="1"/>
  <c r="B310" i="27"/>
  <c r="C310" i="27"/>
  <c r="D310" i="27"/>
  <c r="E310" i="27"/>
  <c r="E317" i="27" s="1"/>
  <c r="E319" i="27" s="1"/>
  <c r="A313" i="27"/>
  <c r="B313" i="27"/>
  <c r="C313" i="27"/>
  <c r="C317" i="27" s="1"/>
  <c r="C319" i="27" s="1"/>
  <c r="D313" i="27"/>
  <c r="E313" i="27"/>
  <c r="A316" i="27"/>
  <c r="B316" i="27"/>
  <c r="B318" i="27" s="1"/>
  <c r="B320" i="27" s="1"/>
  <c r="C316" i="27"/>
  <c r="C318" i="27" s="1"/>
  <c r="D316" i="27"/>
  <c r="E316" i="27"/>
  <c r="B317" i="27"/>
  <c r="B319" i="27" s="1"/>
  <c r="A318" i="27"/>
  <c r="A320" i="27" s="1"/>
  <c r="D318" i="27"/>
  <c r="D320" i="27" s="1"/>
  <c r="E318" i="27"/>
  <c r="E320" i="27" s="1"/>
  <c r="C320" i="27"/>
  <c r="A341" i="27"/>
  <c r="B341" i="27"/>
  <c r="C341" i="27"/>
  <c r="D341" i="27"/>
  <c r="E341" i="27"/>
  <c r="A350" i="27"/>
  <c r="B350" i="27"/>
  <c r="C350" i="27"/>
  <c r="D350" i="27"/>
  <c r="C8" i="20"/>
  <c r="D8" i="20"/>
  <c r="E8" i="20"/>
  <c r="F8" i="20"/>
  <c r="G8" i="20"/>
  <c r="G20" i="20" s="1"/>
  <c r="L16" i="20"/>
  <c r="L17" i="20"/>
  <c r="E18" i="20"/>
  <c r="F18" i="20"/>
  <c r="G18" i="20"/>
  <c r="H18" i="20"/>
  <c r="I18" i="20"/>
  <c r="J18" i="20"/>
  <c r="M18" i="20"/>
  <c r="N18" i="20"/>
  <c r="O18" i="20"/>
  <c r="P18" i="20"/>
  <c r="E19" i="20"/>
  <c r="E20" i="20" s="1"/>
  <c r="F19" i="20"/>
  <c r="G19" i="20"/>
  <c r="H19" i="20"/>
  <c r="I19" i="20"/>
  <c r="J19" i="20"/>
  <c r="K19" i="20"/>
  <c r="M19" i="20"/>
  <c r="N19" i="20"/>
  <c r="O19" i="20"/>
  <c r="P19" i="20"/>
  <c r="F20" i="20"/>
  <c r="Q25" i="20"/>
  <c r="S25" i="20"/>
  <c r="H27" i="20"/>
  <c r="I27" i="20"/>
  <c r="J27" i="20"/>
  <c r="K27" i="20"/>
  <c r="L27" i="20"/>
  <c r="M27" i="20"/>
  <c r="N27" i="20"/>
  <c r="O27" i="20"/>
  <c r="P27" i="20"/>
  <c r="H29" i="20"/>
  <c r="I29" i="20"/>
  <c r="J29" i="20"/>
  <c r="K29" i="20"/>
  <c r="L29" i="20"/>
  <c r="M29" i="20"/>
  <c r="N29" i="20"/>
  <c r="O29" i="20"/>
  <c r="P29" i="20"/>
  <c r="H31" i="20"/>
  <c r="I31" i="20"/>
  <c r="J31" i="20"/>
  <c r="K31" i="20"/>
  <c r="L31" i="20"/>
  <c r="M31" i="20"/>
  <c r="N31" i="20"/>
  <c r="O31" i="20"/>
  <c r="P31" i="20"/>
  <c r="H33" i="20"/>
  <c r="I33" i="20"/>
  <c r="J33" i="20"/>
  <c r="K33" i="20"/>
  <c r="K40" i="20" s="1"/>
  <c r="K63" i="20" s="1"/>
  <c r="L33" i="20"/>
  <c r="M33" i="20"/>
  <c r="N33" i="20"/>
  <c r="O33" i="20"/>
  <c r="O40" i="20" s="1"/>
  <c r="O63" i="20" s="1"/>
  <c r="P33" i="20"/>
  <c r="H35" i="20"/>
  <c r="I35" i="20"/>
  <c r="J35" i="20"/>
  <c r="J40" i="20" s="1"/>
  <c r="J63" i="20" s="1"/>
  <c r="K35" i="20"/>
  <c r="L35" i="20"/>
  <c r="M35" i="20"/>
  <c r="N35" i="20"/>
  <c r="N40" i="20" s="1"/>
  <c r="N63" i="20" s="1"/>
  <c r="O35" i="20"/>
  <c r="P35" i="20"/>
  <c r="H37" i="20"/>
  <c r="I37" i="20"/>
  <c r="J37" i="20"/>
  <c r="K37" i="20"/>
  <c r="L37" i="20"/>
  <c r="M37" i="20"/>
  <c r="N37" i="20"/>
  <c r="O37" i="20"/>
  <c r="P37" i="20"/>
  <c r="H39" i="20"/>
  <c r="H40" i="20" s="1"/>
  <c r="H63" i="20" s="1"/>
  <c r="I39" i="20"/>
  <c r="J39" i="20"/>
  <c r="K39" i="20"/>
  <c r="L39" i="20"/>
  <c r="L40" i="20" s="1"/>
  <c r="M39" i="20"/>
  <c r="N39" i="20"/>
  <c r="O39" i="20"/>
  <c r="P39" i="20"/>
  <c r="P40" i="20" s="1"/>
  <c r="P63" i="20" s="1"/>
  <c r="H54" i="20"/>
  <c r="I54" i="20"/>
  <c r="J54" i="20"/>
  <c r="K54" i="20"/>
  <c r="L54" i="20"/>
  <c r="M54" i="20"/>
  <c r="N54" i="20"/>
  <c r="O54" i="20"/>
  <c r="O55" i="20" s="1"/>
  <c r="P54" i="20"/>
  <c r="J55" i="20"/>
  <c r="K55" i="20"/>
  <c r="L55" i="20"/>
  <c r="M55" i="20"/>
  <c r="N55" i="20"/>
  <c r="E56" i="20"/>
  <c r="F56" i="20"/>
  <c r="G56" i="20"/>
  <c r="H56" i="20"/>
  <c r="I56" i="20"/>
  <c r="J56" i="20"/>
  <c r="K56" i="20"/>
  <c r="L56" i="20"/>
  <c r="M56" i="20"/>
  <c r="N56" i="20"/>
  <c r="O56" i="20"/>
  <c r="P56" i="20"/>
  <c r="F63" i="20"/>
  <c r="G63" i="20"/>
  <c r="G64" i="20" s="1"/>
  <c r="F64" i="20"/>
  <c r="N70" i="20"/>
  <c r="N71" i="20"/>
  <c r="H72" i="20"/>
  <c r="I72" i="20"/>
  <c r="J72" i="20"/>
  <c r="K72" i="20"/>
  <c r="L72" i="20"/>
  <c r="M72" i="20"/>
  <c r="N72" i="20"/>
  <c r="O72" i="20"/>
  <c r="P72" i="20"/>
  <c r="Q72" i="20"/>
  <c r="O90" i="20"/>
  <c r="P90" i="20" s="1"/>
  <c r="B9" i="28"/>
  <c r="C9" i="28"/>
  <c r="B10" i="28"/>
  <c r="C10" i="28"/>
  <c r="C11" i="28" s="1"/>
  <c r="B11" i="28"/>
  <c r="B16" i="28"/>
  <c r="C16" i="28"/>
  <c r="B17" i="28"/>
  <c r="B18" i="28" s="1"/>
  <c r="B20" i="28" s="1"/>
  <c r="B24" i="28" s="1"/>
  <c r="C17" i="28"/>
  <c r="C18" i="28"/>
  <c r="C20" i="28" s="1"/>
  <c r="C24" i="28" s="1"/>
  <c r="B27" i="28"/>
  <c r="B28" i="28" s="1"/>
  <c r="C27" i="28"/>
  <c r="C28" i="28"/>
  <c r="B29" i="28"/>
  <c r="C29" i="28"/>
  <c r="C30" i="28"/>
  <c r="B31" i="28"/>
  <c r="C31" i="28"/>
  <c r="B37" i="28"/>
  <c r="B45" i="28" s="1"/>
  <c r="B51" i="28"/>
  <c r="D15" i="18"/>
  <c r="F15" i="18"/>
  <c r="H15" i="18"/>
  <c r="D16" i="18"/>
  <c r="F16" i="18"/>
  <c r="H16" i="18"/>
  <c r="D17" i="18"/>
  <c r="F17" i="18"/>
  <c r="H17" i="18"/>
  <c r="D18" i="18"/>
  <c r="F18" i="18"/>
  <c r="H18" i="18"/>
  <c r="D19" i="18"/>
  <c r="F19" i="18"/>
  <c r="H19" i="18"/>
  <c r="D20" i="18"/>
  <c r="F20" i="18"/>
  <c r="H20" i="18"/>
  <c r="D21" i="18"/>
  <c r="F21" i="18"/>
  <c r="H21" i="18"/>
  <c r="D22" i="18"/>
  <c r="F22" i="18"/>
  <c r="H22" i="18"/>
  <c r="D23" i="18"/>
  <c r="F23" i="18"/>
  <c r="H23" i="18"/>
  <c r="D24" i="18"/>
  <c r="F24" i="18"/>
  <c r="H24" i="18"/>
  <c r="D25" i="18"/>
  <c r="F25" i="18"/>
  <c r="H25" i="18"/>
  <c r="D26" i="18"/>
  <c r="F26" i="18"/>
  <c r="H26" i="18"/>
  <c r="D27" i="18"/>
  <c r="F27" i="18"/>
  <c r="H27" i="18"/>
  <c r="D28" i="18"/>
  <c r="F28" i="18"/>
  <c r="H28" i="18"/>
  <c r="D29" i="18"/>
  <c r="F29" i="18"/>
  <c r="H29" i="18"/>
  <c r="D30" i="18"/>
  <c r="F30" i="18"/>
  <c r="H30" i="18"/>
  <c r="D31" i="18"/>
  <c r="F31" i="18"/>
  <c r="H31" i="18"/>
  <c r="D32" i="18"/>
  <c r="F32" i="18"/>
  <c r="H32" i="18"/>
  <c r="D33" i="18"/>
  <c r="F33" i="18"/>
  <c r="H33" i="18"/>
  <c r="D34" i="18"/>
  <c r="F34" i="18"/>
  <c r="H34" i="18"/>
  <c r="D35" i="18"/>
  <c r="F35" i="18"/>
  <c r="H35" i="18"/>
  <c r="D36" i="18"/>
  <c r="F36" i="18"/>
  <c r="H36" i="18"/>
  <c r="D37" i="18"/>
  <c r="F37" i="18"/>
  <c r="H37" i="18"/>
  <c r="D38" i="18"/>
  <c r="F38" i="18"/>
  <c r="H38" i="18"/>
  <c r="D39" i="18"/>
  <c r="F39" i="18"/>
  <c r="H39" i="18"/>
  <c r="D40" i="18"/>
  <c r="F40" i="18"/>
  <c r="H40" i="18"/>
  <c r="D41" i="18"/>
  <c r="F41" i="18"/>
  <c r="H41" i="18"/>
  <c r="D42" i="18"/>
  <c r="F42" i="18"/>
  <c r="H42" i="18"/>
  <c r="D43" i="18"/>
  <c r="F43" i="18"/>
  <c r="H43" i="18"/>
  <c r="D44" i="18"/>
  <c r="F44" i="18"/>
  <c r="H44" i="18"/>
  <c r="D45" i="18"/>
  <c r="F45" i="18"/>
  <c r="H45" i="18"/>
  <c r="D46" i="18"/>
  <c r="F46" i="18"/>
  <c r="H46" i="18"/>
  <c r="D47" i="18"/>
  <c r="F47" i="18"/>
  <c r="H47" i="18"/>
  <c r="D48" i="18"/>
  <c r="F48" i="18"/>
  <c r="H48" i="18"/>
  <c r="D49" i="18"/>
  <c r="F49" i="18"/>
  <c r="H49" i="18"/>
  <c r="D50" i="18"/>
  <c r="F50" i="18"/>
  <c r="H50" i="18"/>
  <c r="D51" i="18"/>
  <c r="F51" i="18"/>
  <c r="H51" i="18"/>
  <c r="D52" i="18"/>
  <c r="F52" i="18"/>
  <c r="H52" i="18"/>
  <c r="D53" i="18"/>
  <c r="F53" i="18"/>
  <c r="H53" i="18"/>
  <c r="D54" i="18"/>
  <c r="F54" i="18"/>
  <c r="H54" i="18"/>
  <c r="D55" i="18"/>
  <c r="F55" i="18"/>
  <c r="H55" i="18"/>
  <c r="D56" i="18"/>
  <c r="F56" i="18"/>
  <c r="H56" i="18"/>
  <c r="D57" i="18"/>
  <c r="F57" i="18"/>
  <c r="H57" i="18"/>
  <c r="D58" i="18"/>
  <c r="F58" i="18"/>
  <c r="H58" i="18"/>
  <c r="D59" i="18"/>
  <c r="F59" i="18"/>
  <c r="H59" i="18"/>
  <c r="D60" i="18"/>
  <c r="F60" i="18"/>
  <c r="H60" i="18"/>
  <c r="D61" i="18"/>
  <c r="F61" i="18"/>
  <c r="H61" i="18"/>
  <c r="D62" i="18"/>
  <c r="F62" i="18"/>
  <c r="H62" i="18"/>
  <c r="D63" i="18"/>
  <c r="F63" i="18"/>
  <c r="H63" i="18"/>
  <c r="D64" i="18"/>
  <c r="F64" i="18"/>
  <c r="H64" i="18"/>
  <c r="D65" i="18"/>
  <c r="F65" i="18"/>
  <c r="H65" i="18"/>
  <c r="D66" i="18"/>
  <c r="F66" i="18"/>
  <c r="H66" i="18"/>
  <c r="D67" i="18"/>
  <c r="F67" i="18"/>
  <c r="H67" i="18"/>
  <c r="D68" i="18"/>
  <c r="F68" i="18"/>
  <c r="H68" i="18"/>
  <c r="D69" i="18"/>
  <c r="F69" i="18"/>
  <c r="H69" i="18"/>
  <c r="D70" i="18"/>
  <c r="F70" i="18"/>
  <c r="H70" i="18"/>
  <c r="D71" i="18"/>
  <c r="F71" i="18"/>
  <c r="H71" i="18"/>
  <c r="D72" i="18"/>
  <c r="F72" i="18"/>
  <c r="H72" i="18"/>
  <c r="D73" i="18"/>
  <c r="F73" i="18"/>
  <c r="H73" i="18"/>
  <c r="D74" i="18"/>
  <c r="F74" i="18"/>
  <c r="H74" i="18"/>
  <c r="D75" i="18"/>
  <c r="F75" i="18"/>
  <c r="H75" i="18"/>
  <c r="D76" i="18"/>
  <c r="F76" i="18"/>
  <c r="H76" i="18"/>
  <c r="D77" i="18"/>
  <c r="F77" i="18"/>
  <c r="H77" i="18"/>
  <c r="D78" i="18"/>
  <c r="F78" i="18"/>
  <c r="H78" i="18"/>
  <c r="D79" i="18"/>
  <c r="F79" i="18"/>
  <c r="H79" i="18"/>
  <c r="D80" i="18"/>
  <c r="F80" i="18"/>
  <c r="H80" i="18"/>
  <c r="D81" i="18"/>
  <c r="F81" i="18"/>
  <c r="H81" i="18"/>
  <c r="D82" i="18"/>
  <c r="F82" i="18"/>
  <c r="H82" i="18"/>
  <c r="D83" i="18"/>
  <c r="F83" i="18"/>
  <c r="H83" i="18"/>
  <c r="D84" i="18"/>
  <c r="F84" i="18"/>
  <c r="H84" i="18"/>
  <c r="D85" i="18"/>
  <c r="F85" i="18"/>
  <c r="H85" i="18"/>
  <c r="D86" i="18"/>
  <c r="F86" i="18"/>
  <c r="H86" i="18"/>
  <c r="D87" i="18"/>
  <c r="F87" i="18"/>
  <c r="H87" i="18"/>
  <c r="D88" i="18"/>
  <c r="F88" i="18"/>
  <c r="H88" i="18"/>
  <c r="D89" i="18"/>
  <c r="F89" i="18"/>
  <c r="H89" i="18"/>
  <c r="D90" i="18"/>
  <c r="F90" i="18"/>
  <c r="H90" i="18"/>
  <c r="D91" i="18"/>
  <c r="F91" i="18"/>
  <c r="H91" i="18"/>
  <c r="D92" i="18"/>
  <c r="F92" i="18"/>
  <c r="H92" i="18"/>
  <c r="D93" i="18"/>
  <c r="F93" i="18"/>
  <c r="H93" i="18"/>
  <c r="D94" i="18"/>
  <c r="F94" i="18"/>
  <c r="H94" i="18"/>
  <c r="D95" i="18"/>
  <c r="F95" i="18"/>
  <c r="H95" i="18"/>
  <c r="D96" i="18"/>
  <c r="F96" i="18"/>
  <c r="H96" i="18"/>
  <c r="D97" i="18"/>
  <c r="F97" i="18"/>
  <c r="H97" i="18"/>
  <c r="D98" i="18"/>
  <c r="F98" i="18"/>
  <c r="H98" i="18"/>
  <c r="D99" i="18"/>
  <c r="F99" i="18"/>
  <c r="H99" i="18"/>
  <c r="D100" i="18"/>
  <c r="F100" i="18"/>
  <c r="H100" i="18"/>
  <c r="D101" i="18"/>
  <c r="F101" i="18"/>
  <c r="H101" i="18"/>
  <c r="D102" i="18"/>
  <c r="F102" i="18"/>
  <c r="H102" i="18"/>
  <c r="D103" i="18"/>
  <c r="F103" i="18"/>
  <c r="H103" i="18"/>
  <c r="D104" i="18"/>
  <c r="F104" i="18"/>
  <c r="H104" i="18"/>
  <c r="D105" i="18"/>
  <c r="F105" i="18"/>
  <c r="H105" i="18"/>
  <c r="D106" i="18"/>
  <c r="F106" i="18"/>
  <c r="H106" i="18"/>
  <c r="D107" i="18"/>
  <c r="F107" i="18"/>
  <c r="H107" i="18"/>
  <c r="D108" i="18"/>
  <c r="F108" i="18"/>
  <c r="H108" i="18"/>
  <c r="D109" i="18"/>
  <c r="F109" i="18"/>
  <c r="H109" i="18"/>
  <c r="D110" i="18"/>
  <c r="F110" i="18"/>
  <c r="H110" i="18"/>
  <c r="D111" i="18"/>
  <c r="F111" i="18"/>
  <c r="H111" i="18"/>
  <c r="D112" i="18"/>
  <c r="F112" i="18"/>
  <c r="H112" i="18"/>
  <c r="D113" i="18"/>
  <c r="F113" i="18"/>
  <c r="H113" i="18"/>
  <c r="D114" i="18"/>
  <c r="F114" i="18"/>
  <c r="H114" i="18"/>
  <c r="D115" i="18"/>
  <c r="F115" i="18"/>
  <c r="H115" i="18"/>
  <c r="D116" i="18"/>
  <c r="F116" i="18"/>
  <c r="H116" i="18"/>
  <c r="D117" i="18"/>
  <c r="F117" i="18"/>
  <c r="H117" i="18"/>
  <c r="D118" i="18"/>
  <c r="F118" i="18"/>
  <c r="H118" i="18"/>
  <c r="D119" i="18"/>
  <c r="F119" i="18"/>
  <c r="H119" i="18"/>
  <c r="D120" i="18"/>
  <c r="F120" i="18"/>
  <c r="H120" i="18"/>
  <c r="D121" i="18"/>
  <c r="F121" i="18"/>
  <c r="H121" i="18"/>
  <c r="D122" i="18"/>
  <c r="F122" i="18"/>
  <c r="H122" i="18"/>
  <c r="D123" i="18"/>
  <c r="F123" i="18"/>
  <c r="H123" i="18"/>
  <c r="D124" i="18"/>
  <c r="F124" i="18"/>
  <c r="H124" i="18"/>
  <c r="D125" i="18"/>
  <c r="F125" i="18"/>
  <c r="H125" i="18"/>
  <c r="D126" i="18"/>
  <c r="F126" i="18"/>
  <c r="H126" i="18"/>
  <c r="D127" i="18"/>
  <c r="F127" i="18"/>
  <c r="H127" i="18"/>
  <c r="D128" i="18"/>
  <c r="F128" i="18"/>
  <c r="H128" i="18"/>
  <c r="D129" i="18"/>
  <c r="F129" i="18"/>
  <c r="H129" i="18"/>
  <c r="D130" i="18"/>
  <c r="F130" i="18"/>
  <c r="H130" i="18"/>
  <c r="D131" i="18"/>
  <c r="F131" i="18"/>
  <c r="H131" i="18"/>
  <c r="D132" i="18"/>
  <c r="F132" i="18"/>
  <c r="H132" i="18"/>
  <c r="D133" i="18"/>
  <c r="F133" i="18"/>
  <c r="H133" i="18"/>
  <c r="D134" i="18"/>
  <c r="F134" i="18"/>
  <c r="H134" i="18"/>
  <c r="D135" i="18"/>
  <c r="F135" i="18"/>
  <c r="H135" i="18"/>
  <c r="D136" i="18"/>
  <c r="F136" i="18"/>
  <c r="H136" i="18"/>
  <c r="D137" i="18"/>
  <c r="F137" i="18"/>
  <c r="H137" i="18"/>
  <c r="D138" i="18"/>
  <c r="F138" i="18"/>
  <c r="H138" i="18"/>
  <c r="D139" i="18"/>
  <c r="F139" i="18"/>
  <c r="H139" i="18"/>
  <c r="D140" i="18"/>
  <c r="F140" i="18"/>
  <c r="H140" i="18"/>
  <c r="D141" i="18"/>
  <c r="F141" i="18"/>
  <c r="H141" i="18"/>
  <c r="D142" i="18"/>
  <c r="F142" i="18"/>
  <c r="H142" i="18"/>
  <c r="D143" i="18"/>
  <c r="F143" i="18"/>
  <c r="H143" i="18"/>
  <c r="D144" i="18"/>
  <c r="F144" i="18"/>
  <c r="H144" i="18"/>
  <c r="D145" i="18"/>
  <c r="F145" i="18"/>
  <c r="H145" i="18"/>
  <c r="D146" i="18"/>
  <c r="F146" i="18"/>
  <c r="H146" i="18"/>
  <c r="D147" i="18"/>
  <c r="F147" i="18"/>
  <c r="H147" i="18"/>
  <c r="D148" i="18"/>
  <c r="F148" i="18"/>
  <c r="H148" i="18"/>
  <c r="D149" i="18"/>
  <c r="F149" i="18"/>
  <c r="H149" i="18"/>
  <c r="D150" i="18"/>
  <c r="F150" i="18"/>
  <c r="H150" i="18"/>
  <c r="D151" i="18"/>
  <c r="F151" i="18"/>
  <c r="H151" i="18"/>
  <c r="D152" i="18"/>
  <c r="F152" i="18"/>
  <c r="H152" i="18"/>
  <c r="D153" i="18"/>
  <c r="F153" i="18"/>
  <c r="H153" i="18"/>
  <c r="D154" i="18"/>
  <c r="F154" i="18"/>
  <c r="H154" i="18"/>
  <c r="D155" i="18"/>
  <c r="F155" i="18"/>
  <c r="H155" i="18"/>
  <c r="D156" i="18"/>
  <c r="F156" i="18"/>
  <c r="H156" i="18"/>
  <c r="D157" i="18"/>
  <c r="F157" i="18"/>
  <c r="H157" i="18"/>
  <c r="D158" i="18"/>
  <c r="F158" i="18"/>
  <c r="H158" i="18"/>
  <c r="D159" i="18"/>
  <c r="F159" i="18"/>
  <c r="H159" i="18"/>
  <c r="D160" i="18"/>
  <c r="F160" i="18"/>
  <c r="H160" i="18"/>
  <c r="D161" i="18"/>
  <c r="F161" i="18"/>
  <c r="H161" i="18"/>
  <c r="D162" i="18"/>
  <c r="F162" i="18"/>
  <c r="H162" i="18"/>
  <c r="D163" i="18"/>
  <c r="F163" i="18"/>
  <c r="H163" i="18"/>
  <c r="D164" i="18"/>
  <c r="F164" i="18"/>
  <c r="H164" i="18"/>
  <c r="D165" i="18"/>
  <c r="F165" i="18"/>
  <c r="H165" i="18"/>
  <c r="D166" i="18"/>
  <c r="F166" i="18"/>
  <c r="H166" i="18"/>
  <c r="D167" i="18"/>
  <c r="F167" i="18"/>
  <c r="H167" i="18"/>
  <c r="D168" i="18"/>
  <c r="F168" i="18"/>
  <c r="H168" i="18"/>
  <c r="D169" i="18"/>
  <c r="F169" i="18"/>
  <c r="H169" i="18"/>
  <c r="D170" i="18"/>
  <c r="F170" i="18"/>
  <c r="H170" i="18"/>
  <c r="D171" i="18"/>
  <c r="F171" i="18"/>
  <c r="H171" i="18"/>
  <c r="D172" i="18"/>
  <c r="F172" i="18"/>
  <c r="H172" i="18"/>
  <c r="D173" i="18"/>
  <c r="F173" i="18"/>
  <c r="H173" i="18"/>
  <c r="D174" i="18"/>
  <c r="F174" i="18"/>
  <c r="H174" i="18"/>
  <c r="D175" i="18"/>
  <c r="F175" i="18"/>
  <c r="H175" i="18"/>
  <c r="D176" i="18"/>
  <c r="F176" i="18"/>
  <c r="H176" i="18"/>
  <c r="D177" i="18"/>
  <c r="F177" i="18"/>
  <c r="H177" i="18"/>
  <c r="D178" i="18"/>
  <c r="F178" i="18"/>
  <c r="H178" i="18"/>
  <c r="D179" i="18"/>
  <c r="F179" i="18"/>
  <c r="H179" i="18"/>
  <c r="D180" i="18"/>
  <c r="F180" i="18"/>
  <c r="H180" i="18"/>
  <c r="D181" i="18"/>
  <c r="F181" i="18"/>
  <c r="H181" i="18"/>
  <c r="D182" i="18"/>
  <c r="F182" i="18"/>
  <c r="H182" i="18"/>
  <c r="D183" i="18"/>
  <c r="F183" i="18"/>
  <c r="H183" i="18"/>
  <c r="D184" i="18"/>
  <c r="F184" i="18"/>
  <c r="H184" i="18"/>
  <c r="D185" i="18"/>
  <c r="F185" i="18"/>
  <c r="H185" i="18"/>
  <c r="D186" i="18"/>
  <c r="F186" i="18"/>
  <c r="H186" i="18"/>
  <c r="D187" i="18"/>
  <c r="F187" i="18"/>
  <c r="H187" i="18"/>
  <c r="D188" i="18"/>
  <c r="F188" i="18"/>
  <c r="H188" i="18"/>
  <c r="D189" i="18"/>
  <c r="F189" i="18"/>
  <c r="H189" i="18"/>
  <c r="D190" i="18"/>
  <c r="F190" i="18"/>
  <c r="H190" i="18"/>
  <c r="D191" i="18"/>
  <c r="F191" i="18"/>
  <c r="H191" i="18"/>
  <c r="D192" i="18"/>
  <c r="F192" i="18"/>
  <c r="H192" i="18"/>
  <c r="B211" i="18"/>
  <c r="B219" i="18" s="1"/>
  <c r="B218" i="18"/>
  <c r="B225" i="18"/>
  <c r="B229" i="18"/>
  <c r="B231" i="18"/>
  <c r="F194" i="18" s="1"/>
  <c r="C10" i="16"/>
  <c r="E10" i="16"/>
  <c r="L11" i="16"/>
  <c r="B30" i="16"/>
  <c r="B10" i="16" s="1"/>
  <c r="C30" i="16"/>
  <c r="D30" i="16"/>
  <c r="D10" i="16" s="1"/>
  <c r="E30" i="16"/>
  <c r="F30" i="16"/>
  <c r="F10" i="16" s="1"/>
  <c r="G30" i="16"/>
  <c r="H30" i="16"/>
  <c r="I30" i="16"/>
  <c r="J30" i="16"/>
  <c r="K30" i="16"/>
  <c r="B38" i="16"/>
  <c r="C38" i="16"/>
  <c r="D38" i="16"/>
  <c r="E38" i="16"/>
  <c r="F38" i="16"/>
  <c r="G38" i="16"/>
  <c r="H38" i="16"/>
  <c r="I38" i="16"/>
  <c r="J38" i="16"/>
  <c r="K38" i="16"/>
  <c r="B49" i="16"/>
  <c r="C49" i="16"/>
  <c r="D49" i="16"/>
  <c r="E49" i="16"/>
  <c r="F49" i="16"/>
  <c r="G49" i="16"/>
  <c r="H49" i="16"/>
  <c r="I49" i="16"/>
  <c r="J49" i="16"/>
  <c r="K49" i="16"/>
  <c r="B53" i="16"/>
  <c r="B17" i="12"/>
  <c r="D19" i="12"/>
  <c r="H19" i="12"/>
  <c r="I19" i="12"/>
  <c r="I36" i="12" s="1"/>
  <c r="L19" i="12"/>
  <c r="L36" i="12" s="1"/>
  <c r="M19" i="12"/>
  <c r="M36" i="12" s="1"/>
  <c r="B26" i="12"/>
  <c r="E26" i="12"/>
  <c r="F26" i="12"/>
  <c r="H36" i="12"/>
  <c r="B43" i="12"/>
  <c r="E19" i="12" s="1"/>
  <c r="B45" i="12"/>
  <c r="B48" i="12"/>
  <c r="C21" i="12" s="1"/>
  <c r="B49" i="12"/>
  <c r="B50" i="12"/>
  <c r="B38" i="10"/>
  <c r="B40" i="10"/>
  <c r="B45" i="10" s="1"/>
  <c r="C40" i="10"/>
  <c r="D40" i="10"/>
  <c r="D42" i="10" s="1"/>
  <c r="E40" i="10"/>
  <c r="E45" i="10" s="1"/>
  <c r="F40" i="10"/>
  <c r="F45" i="10" s="1"/>
  <c r="G40" i="10"/>
  <c r="H40" i="10"/>
  <c r="H42" i="10" s="1"/>
  <c r="I40" i="10"/>
  <c r="I45" i="10" s="1"/>
  <c r="J40" i="10"/>
  <c r="J45" i="10" s="1"/>
  <c r="K40" i="10"/>
  <c r="L40" i="10"/>
  <c r="L42" i="10" s="1"/>
  <c r="M40" i="10"/>
  <c r="M45" i="10" s="1"/>
  <c r="N40" i="10"/>
  <c r="N45" i="10" s="1"/>
  <c r="O40" i="10"/>
  <c r="O48" i="10"/>
  <c r="C42" i="10"/>
  <c r="G42" i="10"/>
  <c r="K42" i="10"/>
  <c r="O42" i="10"/>
  <c r="C45" i="10"/>
  <c r="D45" i="10"/>
  <c r="G45" i="10"/>
  <c r="H45" i="10"/>
  <c r="K45" i="10"/>
  <c r="L45" i="10"/>
  <c r="O45" i="10"/>
  <c r="B46" i="10"/>
  <c r="C46" i="10"/>
  <c r="D46" i="10"/>
  <c r="E46" i="10"/>
  <c r="F46" i="10"/>
  <c r="G46" i="10"/>
  <c r="H46" i="10"/>
  <c r="I46" i="10"/>
  <c r="J46" i="10"/>
  <c r="K46" i="10"/>
  <c r="L46" i="10"/>
  <c r="M46" i="10"/>
  <c r="N46" i="10"/>
  <c r="O46" i="10"/>
  <c r="B47" i="10"/>
  <c r="C47" i="10"/>
  <c r="D47" i="10"/>
  <c r="F47" i="10"/>
  <c r="G47" i="10"/>
  <c r="H47" i="10"/>
  <c r="J47" i="10"/>
  <c r="K47" i="10"/>
  <c r="L47" i="10"/>
  <c r="N47" i="10"/>
  <c r="B48" i="10"/>
  <c r="C48" i="10"/>
  <c r="D48" i="10"/>
  <c r="E48" i="10"/>
  <c r="F48" i="10"/>
  <c r="G48" i="10"/>
  <c r="H48" i="10"/>
  <c r="I48" i="10"/>
  <c r="J48" i="10"/>
  <c r="K48" i="10"/>
  <c r="L48" i="10"/>
  <c r="M48" i="10"/>
  <c r="N48" i="10"/>
  <c r="B85" i="10"/>
  <c r="C85" i="10"/>
  <c r="C92" i="10" s="1"/>
  <c r="C94" i="10" s="1"/>
  <c r="D85" i="10"/>
  <c r="D92" i="10" s="1"/>
  <c r="D94" i="10" s="1"/>
  <c r="E85" i="10"/>
  <c r="F85" i="10"/>
  <c r="G85" i="10"/>
  <c r="G92" i="10" s="1"/>
  <c r="G94" i="10" s="1"/>
  <c r="H85" i="10"/>
  <c r="H92" i="10" s="1"/>
  <c r="H94" i="10" s="1"/>
  <c r="I85" i="10"/>
  <c r="J85" i="10"/>
  <c r="K85" i="10"/>
  <c r="K92" i="10" s="1"/>
  <c r="K94" i="10" s="1"/>
  <c r="L85" i="10"/>
  <c r="L92" i="10" s="1"/>
  <c r="L94" i="10" s="1"/>
  <c r="M85" i="10"/>
  <c r="N85" i="10"/>
  <c r="O85" i="10"/>
  <c r="O92" i="10" s="1"/>
  <c r="O94" i="10" s="1"/>
  <c r="B88" i="10"/>
  <c r="C88" i="10"/>
  <c r="D88" i="10"/>
  <c r="E88" i="10"/>
  <c r="F88" i="10"/>
  <c r="G88" i="10"/>
  <c r="H88" i="10"/>
  <c r="I88" i="10"/>
  <c r="J88" i="10"/>
  <c r="K88" i="10"/>
  <c r="L88" i="10"/>
  <c r="M88" i="10"/>
  <c r="N88" i="10"/>
  <c r="O88" i="10"/>
  <c r="B91" i="10"/>
  <c r="C91" i="10"/>
  <c r="D91" i="10"/>
  <c r="E91" i="10"/>
  <c r="F91" i="10"/>
  <c r="G91" i="10"/>
  <c r="H91" i="10"/>
  <c r="I91" i="10"/>
  <c r="J91" i="10"/>
  <c r="K91" i="10"/>
  <c r="L91" i="10"/>
  <c r="M91" i="10"/>
  <c r="N91" i="10"/>
  <c r="O91" i="10"/>
  <c r="B92" i="10"/>
  <c r="E92" i="10"/>
  <c r="F92" i="10"/>
  <c r="I92" i="10"/>
  <c r="J92" i="10"/>
  <c r="M92" i="10"/>
  <c r="N92" i="10"/>
  <c r="B93" i="10"/>
  <c r="C93" i="10"/>
  <c r="C95" i="10" s="1"/>
  <c r="D93" i="10"/>
  <c r="D95" i="10" s="1"/>
  <c r="E93" i="10"/>
  <c r="F93" i="10"/>
  <c r="G93" i="10"/>
  <c r="G95" i="10" s="1"/>
  <c r="H93" i="10"/>
  <c r="H95" i="10" s="1"/>
  <c r="I93" i="10"/>
  <c r="J93" i="10"/>
  <c r="K93" i="10"/>
  <c r="K95" i="10" s="1"/>
  <c r="L93" i="10"/>
  <c r="L95" i="10" s="1"/>
  <c r="M93" i="10"/>
  <c r="N93" i="10"/>
  <c r="O93" i="10"/>
  <c r="O95" i="10" s="1"/>
  <c r="B94" i="10"/>
  <c r="E94" i="10"/>
  <c r="E96" i="10" s="1"/>
  <c r="F94" i="10"/>
  <c r="I94" i="10"/>
  <c r="I96" i="10" s="1"/>
  <c r="J94" i="10"/>
  <c r="M94" i="10"/>
  <c r="N94" i="10"/>
  <c r="P94" i="10"/>
  <c r="P95" i="10" s="1"/>
  <c r="B95" i="10"/>
  <c r="E95" i="10"/>
  <c r="F95" i="10"/>
  <c r="F96" i="10" s="1"/>
  <c r="I95" i="10"/>
  <c r="J95" i="10"/>
  <c r="M95" i="10"/>
  <c r="N95" i="10"/>
  <c r="N96" i="10" s="1"/>
  <c r="B96" i="10"/>
  <c r="G96" i="10"/>
  <c r="J96" i="10"/>
  <c r="P99" i="10"/>
  <c r="X99" i="10"/>
  <c r="P100" i="10"/>
  <c r="T100" i="10"/>
  <c r="P102" i="10"/>
  <c r="T102" i="10"/>
  <c r="P104" i="10"/>
  <c r="P105" i="10" s="1"/>
  <c r="P110" i="10"/>
  <c r="P111" i="10" s="1"/>
  <c r="P113" i="10" s="1"/>
  <c r="T113" i="10"/>
  <c r="T115" i="10" s="1"/>
  <c r="B118" i="10"/>
  <c r="B119" i="10"/>
  <c r="C119" i="10"/>
  <c r="D119" i="10"/>
  <c r="E119" i="10"/>
  <c r="F119" i="10"/>
  <c r="G119" i="10"/>
  <c r="H119" i="10"/>
  <c r="I119" i="10"/>
  <c r="J119" i="10"/>
  <c r="K119" i="10"/>
  <c r="L119" i="10"/>
  <c r="M119" i="10"/>
  <c r="N119" i="10"/>
  <c r="O119" i="10"/>
  <c r="B121" i="10"/>
  <c r="B122" i="10"/>
  <c r="C122" i="10"/>
  <c r="C126" i="10" s="1"/>
  <c r="C127" i="10" s="1"/>
  <c r="D122" i="10"/>
  <c r="D126" i="10" s="1"/>
  <c r="D127" i="10" s="1"/>
  <c r="E122" i="10"/>
  <c r="F122" i="10"/>
  <c r="G122" i="10"/>
  <c r="G126" i="10" s="1"/>
  <c r="G127" i="10" s="1"/>
  <c r="H122" i="10"/>
  <c r="H126" i="10" s="1"/>
  <c r="H127" i="10" s="1"/>
  <c r="I122" i="10"/>
  <c r="J122" i="10"/>
  <c r="K122" i="10"/>
  <c r="K126" i="10" s="1"/>
  <c r="K127" i="10" s="1"/>
  <c r="L122" i="10"/>
  <c r="L126" i="10" s="1"/>
  <c r="L127" i="10" s="1"/>
  <c r="M122" i="10"/>
  <c r="N122" i="10"/>
  <c r="O122" i="10"/>
  <c r="O126" i="10" s="1"/>
  <c r="O127" i="10" s="1"/>
  <c r="B124" i="10"/>
  <c r="B125" i="10" s="1"/>
  <c r="B126" i="10" s="1"/>
  <c r="B127" i="10" s="1"/>
  <c r="C125" i="10"/>
  <c r="D125" i="10"/>
  <c r="E125" i="10"/>
  <c r="F125" i="10"/>
  <c r="G125" i="10"/>
  <c r="H125" i="10"/>
  <c r="I125" i="10"/>
  <c r="J125" i="10"/>
  <c r="K125" i="10"/>
  <c r="L125" i="10"/>
  <c r="M125" i="10"/>
  <c r="N125" i="10"/>
  <c r="O125" i="10"/>
  <c r="E126" i="10"/>
  <c r="E127" i="10" s="1"/>
  <c r="F126" i="10"/>
  <c r="F127" i="10" s="1"/>
  <c r="I126" i="10"/>
  <c r="I127" i="10" s="1"/>
  <c r="J126" i="10"/>
  <c r="J127" i="10" s="1"/>
  <c r="M126" i="10"/>
  <c r="M127" i="10" s="1"/>
  <c r="N126" i="10"/>
  <c r="N127" i="10" s="1"/>
  <c r="T126" i="10"/>
  <c r="T128" i="10"/>
  <c r="B143" i="10"/>
  <c r="B144" i="10"/>
  <c r="B163" i="10" s="1"/>
  <c r="B147" i="10"/>
  <c r="B153" i="10"/>
  <c r="B154" i="10"/>
  <c r="B160" i="10"/>
  <c r="B170" i="10"/>
  <c r="B164" i="10" s="1"/>
  <c r="C277" i="27" s="1"/>
  <c r="C282" i="27" s="1"/>
  <c r="C242" i="27" s="1"/>
  <c r="B173" i="10"/>
  <c r="B181" i="10"/>
  <c r="B182" i="10"/>
  <c r="B183" i="10"/>
  <c r="B184" i="10"/>
  <c r="B187" i="10"/>
  <c r="B195" i="10"/>
  <c r="B196" i="10"/>
  <c r="B205" i="10"/>
  <c r="D12" i="33"/>
  <c r="E12" i="33"/>
  <c r="F12" i="33"/>
  <c r="P12" i="33"/>
  <c r="D14" i="33"/>
  <c r="D16" i="33" s="1"/>
  <c r="D19" i="33" s="1"/>
  <c r="C15" i="33"/>
  <c r="C16" i="33" s="1"/>
  <c r="D15" i="33"/>
  <c r="H15" i="33"/>
  <c r="B16" i="33"/>
  <c r="B19" i="33" s="1"/>
  <c r="E16" i="33"/>
  <c r="E19" i="33" s="1"/>
  <c r="F16" i="33"/>
  <c r="F19" i="33" s="1"/>
  <c r="G16" i="33"/>
  <c r="H16" i="33"/>
  <c r="I16" i="33"/>
  <c r="I19" i="33" s="1"/>
  <c r="J16" i="33"/>
  <c r="L16" i="33" s="1"/>
  <c r="B17" i="33"/>
  <c r="D17" i="33"/>
  <c r="E17" i="33"/>
  <c r="F17" i="33"/>
  <c r="G17" i="33"/>
  <c r="H17" i="33"/>
  <c r="I17" i="33"/>
  <c r="J17" i="33"/>
  <c r="M12" i="33" s="1"/>
  <c r="L17" i="33"/>
  <c r="B18" i="33"/>
  <c r="C18" i="33"/>
  <c r="D18" i="33"/>
  <c r="E18" i="33"/>
  <c r="F18" i="33"/>
  <c r="G18" i="33"/>
  <c r="H18" i="33"/>
  <c r="I18" i="33"/>
  <c r="J18" i="33"/>
  <c r="L18" i="33"/>
  <c r="G19" i="33"/>
  <c r="H19" i="33"/>
  <c r="H64" i="33" s="1"/>
  <c r="L19" i="33"/>
  <c r="B33" i="33"/>
  <c r="C33" i="33"/>
  <c r="D33" i="33"/>
  <c r="E33" i="33"/>
  <c r="F33" i="33"/>
  <c r="G33" i="33"/>
  <c r="H33" i="33"/>
  <c r="I33" i="33"/>
  <c r="J33" i="33"/>
  <c r="D37" i="33"/>
  <c r="D46" i="33" s="1"/>
  <c r="D42" i="33"/>
  <c r="D45" i="33"/>
  <c r="B46" i="33"/>
  <c r="C46" i="33"/>
  <c r="E46" i="33"/>
  <c r="F46" i="33"/>
  <c r="G46" i="33"/>
  <c r="H46" i="33"/>
  <c r="I46" i="33"/>
  <c r="J46" i="33"/>
  <c r="B49" i="33"/>
  <c r="C49" i="33"/>
  <c r="D49" i="33"/>
  <c r="E49" i="33"/>
  <c r="F49" i="33"/>
  <c r="G49" i="33"/>
  <c r="H49" i="33"/>
  <c r="I49" i="33"/>
  <c r="J49" i="33"/>
  <c r="B50" i="33"/>
  <c r="C50" i="33"/>
  <c r="D50" i="33"/>
  <c r="E50" i="33"/>
  <c r="F50" i="33"/>
  <c r="G50" i="33"/>
  <c r="H50" i="33"/>
  <c r="I50" i="33"/>
  <c r="J50" i="33"/>
  <c r="B51" i="33"/>
  <c r="C51" i="33"/>
  <c r="D51" i="33"/>
  <c r="E51" i="33"/>
  <c r="F51" i="33"/>
  <c r="G51" i="33"/>
  <c r="H51" i="33"/>
  <c r="I51" i="33"/>
  <c r="J51" i="33"/>
  <c r="B52" i="33"/>
  <c r="C52" i="33"/>
  <c r="D52" i="33"/>
  <c r="E52" i="33"/>
  <c r="F52" i="33"/>
  <c r="G52" i="33"/>
  <c r="H52" i="33"/>
  <c r="I52" i="33"/>
  <c r="I67" i="33" s="1"/>
  <c r="J52" i="33"/>
  <c r="B53" i="33"/>
  <c r="C53" i="33"/>
  <c r="D53" i="33"/>
  <c r="D68" i="33" s="1"/>
  <c r="E53" i="33"/>
  <c r="F53" i="33"/>
  <c r="G53" i="33"/>
  <c r="H53" i="33"/>
  <c r="H68" i="33" s="1"/>
  <c r="I53" i="33"/>
  <c r="J53" i="33"/>
  <c r="B54" i="33"/>
  <c r="C54" i="33"/>
  <c r="D54" i="33"/>
  <c r="D57" i="33" s="1"/>
  <c r="E54" i="33"/>
  <c r="F54" i="33"/>
  <c r="G54" i="33"/>
  <c r="G69" i="33" s="1"/>
  <c r="H54" i="33"/>
  <c r="H57" i="33" s="1"/>
  <c r="I54" i="33"/>
  <c r="J54" i="33"/>
  <c r="B55" i="33"/>
  <c r="B70" i="33" s="1"/>
  <c r="C55" i="33"/>
  <c r="D55" i="33"/>
  <c r="E55" i="33"/>
  <c r="F55" i="33"/>
  <c r="G55" i="33"/>
  <c r="G70" i="33" s="1"/>
  <c r="H55" i="33"/>
  <c r="I55" i="33"/>
  <c r="J55" i="33"/>
  <c r="B56" i="33"/>
  <c r="B71" i="33" s="1"/>
  <c r="C56" i="33"/>
  <c r="D56" i="33"/>
  <c r="E56" i="33"/>
  <c r="E71" i="33" s="1"/>
  <c r="F56" i="33"/>
  <c r="F71" i="33" s="1"/>
  <c r="G56" i="33"/>
  <c r="H56" i="33"/>
  <c r="I56" i="33"/>
  <c r="I71" i="33" s="1"/>
  <c r="J56" i="33"/>
  <c r="E57" i="33"/>
  <c r="I57" i="33"/>
  <c r="B60" i="33"/>
  <c r="C60" i="33"/>
  <c r="D60" i="33"/>
  <c r="E60" i="33"/>
  <c r="F60" i="33"/>
  <c r="G60" i="33"/>
  <c r="H60" i="33"/>
  <c r="I60" i="33"/>
  <c r="J60" i="33"/>
  <c r="B63" i="33"/>
  <c r="C63" i="33"/>
  <c r="D63" i="33"/>
  <c r="E63" i="33"/>
  <c r="F63" i="33"/>
  <c r="G63" i="33"/>
  <c r="H63" i="33"/>
  <c r="I63" i="33"/>
  <c r="J63" i="33"/>
  <c r="B64" i="33"/>
  <c r="F64" i="33"/>
  <c r="G64" i="33"/>
  <c r="E65" i="33"/>
  <c r="G65" i="33"/>
  <c r="H65" i="33"/>
  <c r="I65" i="33"/>
  <c r="D66" i="33"/>
  <c r="G66" i="33"/>
  <c r="H66" i="33"/>
  <c r="G67" i="33"/>
  <c r="H67" i="33"/>
  <c r="B68" i="33"/>
  <c r="F68" i="33"/>
  <c r="G68" i="33"/>
  <c r="E69" i="33"/>
  <c r="I69" i="33"/>
  <c r="I119" i="33" s="1"/>
  <c r="D70" i="33"/>
  <c r="H70" i="33"/>
  <c r="G71" i="33"/>
  <c r="H71" i="33"/>
  <c r="G95" i="33"/>
  <c r="G96" i="33" s="1"/>
  <c r="H95" i="33"/>
  <c r="D107" i="33"/>
  <c r="G107" i="33"/>
  <c r="G108" i="33" s="1"/>
  <c r="H107" i="33"/>
  <c r="E119" i="33"/>
  <c r="E120" i="33" s="1"/>
  <c r="G119" i="33"/>
  <c r="G120" i="33" s="1"/>
  <c r="B131" i="33"/>
  <c r="B133" i="33" s="1"/>
  <c r="D131" i="33"/>
  <c r="G131" i="33"/>
  <c r="G132" i="33" s="1"/>
  <c r="H131" i="33"/>
  <c r="B132" i="33"/>
  <c r="B137" i="33" s="1"/>
  <c r="B136" i="33"/>
  <c r="B143" i="33"/>
  <c r="B145" i="33" s="1"/>
  <c r="E143" i="33"/>
  <c r="E144" i="33" s="1"/>
  <c r="F143" i="33"/>
  <c r="F145" i="33" s="1"/>
  <c r="G143" i="33"/>
  <c r="G144" i="33" s="1"/>
  <c r="H143" i="33"/>
  <c r="I143" i="33"/>
  <c r="I144" i="33" s="1"/>
  <c r="B144" i="33"/>
  <c r="B149" i="33" s="1"/>
  <c r="F144" i="33"/>
  <c r="F149" i="33" s="1"/>
  <c r="B148" i="33"/>
  <c r="F148" i="33"/>
  <c r="B188" i="33"/>
  <c r="D132" i="33" s="1"/>
  <c r="B191" i="33"/>
  <c r="B196" i="33"/>
  <c r="B201" i="33"/>
  <c r="B209" i="33"/>
  <c r="B204" i="33" s="1"/>
  <c r="B212" i="33"/>
  <c r="E121" i="33" s="1"/>
  <c r="B217" i="33"/>
  <c r="B220" i="33"/>
  <c r="D133" i="33" s="1"/>
  <c r="B225" i="33"/>
  <c r="B228" i="33"/>
  <c r="E145" i="33" s="1"/>
  <c r="B18" i="14"/>
  <c r="C18" i="14"/>
  <c r="D18" i="14"/>
  <c r="E18" i="14"/>
  <c r="F18" i="14"/>
  <c r="G18" i="14"/>
  <c r="H18" i="14"/>
  <c r="K18" i="14"/>
  <c r="L15" i="8" s="1"/>
  <c r="L18" i="14"/>
  <c r="B22" i="14"/>
  <c r="C22" i="14"/>
  <c r="D22" i="14"/>
  <c r="E22" i="14"/>
  <c r="F22" i="14"/>
  <c r="G22" i="14"/>
  <c r="H22" i="14"/>
  <c r="K22" i="14"/>
  <c r="L22" i="14"/>
  <c r="B30" i="14"/>
  <c r="B31" i="14" s="1"/>
  <c r="C30" i="14"/>
  <c r="C31" i="14" s="1"/>
  <c r="F34" i="14"/>
  <c r="F35" i="14"/>
  <c r="C36" i="14"/>
  <c r="D36" i="14"/>
  <c r="E36" i="14"/>
  <c r="F36" i="14"/>
  <c r="G36" i="14"/>
  <c r="H36" i="14"/>
  <c r="D12" i="8"/>
  <c r="E12" i="8"/>
  <c r="E18" i="8" s="1"/>
  <c r="F12" i="8"/>
  <c r="D14" i="8"/>
  <c r="L14" i="8"/>
  <c r="C15" i="8"/>
  <c r="C16" i="8" s="1"/>
  <c r="D15" i="8"/>
  <c r="H15" i="8"/>
  <c r="B16" i="8"/>
  <c r="B19" i="8" s="1"/>
  <c r="D16" i="8"/>
  <c r="D19" i="8" s="1"/>
  <c r="E16" i="8"/>
  <c r="F16" i="8"/>
  <c r="F19" i="8" s="1"/>
  <c r="G16" i="8"/>
  <c r="H16" i="8"/>
  <c r="H19" i="8" s="1"/>
  <c r="I16" i="8"/>
  <c r="J16" i="8"/>
  <c r="J19" i="8" s="1"/>
  <c r="K16" i="8"/>
  <c r="M16" i="8"/>
  <c r="N16" i="8"/>
  <c r="N19" i="8" s="1"/>
  <c r="B17" i="8"/>
  <c r="D17" i="8"/>
  <c r="E17" i="8"/>
  <c r="E19" i="8" s="1"/>
  <c r="F17" i="8"/>
  <c r="G17" i="8"/>
  <c r="H17" i="8"/>
  <c r="I17" i="8"/>
  <c r="I19" i="8" s="1"/>
  <c r="J17" i="8"/>
  <c r="K17" i="8"/>
  <c r="M17" i="8"/>
  <c r="M19" i="8" s="1"/>
  <c r="N17" i="8"/>
  <c r="B18" i="8"/>
  <c r="C18" i="8"/>
  <c r="D18" i="8"/>
  <c r="F18" i="8"/>
  <c r="G18" i="8"/>
  <c r="H18" i="8"/>
  <c r="I18" i="8"/>
  <c r="J18" i="8"/>
  <c r="K18" i="8"/>
  <c r="L18" i="8"/>
  <c r="M18" i="8"/>
  <c r="N18" i="8"/>
  <c r="G19" i="8"/>
  <c r="G67" i="8" s="1"/>
  <c r="K19" i="8"/>
  <c r="K67" i="8" s="1"/>
  <c r="L23" i="8"/>
  <c r="L50" i="8" s="1"/>
  <c r="M23" i="8"/>
  <c r="B33" i="8"/>
  <c r="C33" i="8"/>
  <c r="D33" i="8"/>
  <c r="E33" i="8"/>
  <c r="F33" i="8"/>
  <c r="G33" i="8"/>
  <c r="H33" i="8"/>
  <c r="I33" i="8"/>
  <c r="J33" i="8"/>
  <c r="K33" i="8"/>
  <c r="L33" i="8"/>
  <c r="M33" i="8"/>
  <c r="N33" i="8"/>
  <c r="L36" i="8"/>
  <c r="D37" i="8"/>
  <c r="D50" i="8" s="1"/>
  <c r="D57" i="8" s="1"/>
  <c r="D42" i="8"/>
  <c r="L44" i="8"/>
  <c r="D45" i="8"/>
  <c r="L45" i="8"/>
  <c r="L46" i="8" s="1"/>
  <c r="B46" i="8"/>
  <c r="C46" i="8"/>
  <c r="E46" i="8"/>
  <c r="F46" i="8"/>
  <c r="G46" i="8"/>
  <c r="H46" i="8"/>
  <c r="I46" i="8"/>
  <c r="J46" i="8"/>
  <c r="K46" i="8"/>
  <c r="M46" i="8"/>
  <c r="N46" i="8"/>
  <c r="B49" i="8"/>
  <c r="C49" i="8"/>
  <c r="D49" i="8"/>
  <c r="D64" i="8" s="1"/>
  <c r="E49" i="8"/>
  <c r="F49" i="8"/>
  <c r="G49" i="8"/>
  <c r="H49" i="8"/>
  <c r="H64" i="8" s="1"/>
  <c r="I49" i="8"/>
  <c r="J49" i="8"/>
  <c r="K49" i="8"/>
  <c r="L49" i="8"/>
  <c r="L64" i="8" s="1"/>
  <c r="M49" i="8"/>
  <c r="N49" i="8"/>
  <c r="B50" i="8"/>
  <c r="C50" i="8"/>
  <c r="E50" i="8"/>
  <c r="F50" i="8"/>
  <c r="G50" i="8"/>
  <c r="H50" i="8"/>
  <c r="I50" i="8"/>
  <c r="J50" i="8"/>
  <c r="K50" i="8"/>
  <c r="M50" i="8"/>
  <c r="N50" i="8"/>
  <c r="B51" i="8"/>
  <c r="C51" i="8"/>
  <c r="D51" i="8"/>
  <c r="E51" i="8"/>
  <c r="F51" i="8"/>
  <c r="G51" i="8"/>
  <c r="H51" i="8"/>
  <c r="I51" i="8"/>
  <c r="J51" i="8"/>
  <c r="K51" i="8"/>
  <c r="L51" i="8"/>
  <c r="M51" i="8"/>
  <c r="N51" i="8"/>
  <c r="B52" i="8"/>
  <c r="C52" i="8"/>
  <c r="D52" i="8"/>
  <c r="E52" i="8"/>
  <c r="F52" i="8"/>
  <c r="G52" i="8"/>
  <c r="H52" i="8"/>
  <c r="I52" i="8"/>
  <c r="J52" i="8"/>
  <c r="K52" i="8"/>
  <c r="L52" i="8"/>
  <c r="M52" i="8"/>
  <c r="N52" i="8"/>
  <c r="B53" i="8"/>
  <c r="C53" i="8"/>
  <c r="D53" i="8"/>
  <c r="D68" i="8" s="1"/>
  <c r="E53" i="8"/>
  <c r="F53" i="8"/>
  <c r="G53" i="8"/>
  <c r="H53" i="8"/>
  <c r="H68" i="8" s="1"/>
  <c r="I53" i="8"/>
  <c r="J53" i="8"/>
  <c r="K53" i="8"/>
  <c r="L53" i="8"/>
  <c r="L68" i="8" s="1"/>
  <c r="M53" i="8"/>
  <c r="N53" i="8"/>
  <c r="B54" i="8"/>
  <c r="C54" i="8"/>
  <c r="D54" i="8"/>
  <c r="E54" i="8"/>
  <c r="F54" i="8"/>
  <c r="G54" i="8"/>
  <c r="G69" i="8" s="1"/>
  <c r="H54" i="8"/>
  <c r="I54" i="8"/>
  <c r="J54" i="8"/>
  <c r="K54" i="8"/>
  <c r="K69" i="8" s="1"/>
  <c r="L54" i="8"/>
  <c r="M54" i="8"/>
  <c r="N54" i="8"/>
  <c r="B55" i="8"/>
  <c r="B70" i="8" s="1"/>
  <c r="C55" i="8"/>
  <c r="D55" i="8"/>
  <c r="E55" i="8"/>
  <c r="F55" i="8"/>
  <c r="F70" i="8" s="1"/>
  <c r="G55" i="8"/>
  <c r="H55" i="8"/>
  <c r="I55" i="8"/>
  <c r="J55" i="8"/>
  <c r="J70" i="8" s="1"/>
  <c r="K55" i="8"/>
  <c r="L55" i="8"/>
  <c r="M55" i="8"/>
  <c r="N55" i="8"/>
  <c r="N70" i="8" s="1"/>
  <c r="B56" i="8"/>
  <c r="C56" i="8"/>
  <c r="D56" i="8"/>
  <c r="E56" i="8"/>
  <c r="E71" i="8" s="1"/>
  <c r="F56" i="8"/>
  <c r="G56" i="8"/>
  <c r="H56" i="8"/>
  <c r="I56" i="8"/>
  <c r="I71" i="8" s="1"/>
  <c r="J56" i="8"/>
  <c r="K56" i="8"/>
  <c r="M56" i="8"/>
  <c r="M71" i="8" s="1"/>
  <c r="N56" i="8"/>
  <c r="B60" i="8"/>
  <c r="C60" i="8"/>
  <c r="D60" i="8"/>
  <c r="E60" i="8"/>
  <c r="F60" i="8"/>
  <c r="G60" i="8"/>
  <c r="H60" i="8"/>
  <c r="I60" i="8"/>
  <c r="J60" i="8"/>
  <c r="K60" i="8"/>
  <c r="L60" i="8"/>
  <c r="M60" i="8"/>
  <c r="N60" i="8"/>
  <c r="B63" i="8"/>
  <c r="C63" i="8"/>
  <c r="D63" i="8"/>
  <c r="E63" i="8"/>
  <c r="F63" i="8"/>
  <c r="G63" i="8"/>
  <c r="H63" i="8"/>
  <c r="I63" i="8"/>
  <c r="J63" i="8"/>
  <c r="K63" i="8"/>
  <c r="L63" i="8"/>
  <c r="M63" i="8"/>
  <c r="N63" i="8"/>
  <c r="E64" i="8"/>
  <c r="I64" i="8"/>
  <c r="M64" i="8"/>
  <c r="N64" i="8"/>
  <c r="D65" i="8"/>
  <c r="H65" i="8"/>
  <c r="L65" i="8"/>
  <c r="M65" i="8"/>
  <c r="N65" i="8"/>
  <c r="G66" i="8"/>
  <c r="K66" i="8"/>
  <c r="L66" i="8"/>
  <c r="M66" i="8"/>
  <c r="B67" i="8"/>
  <c r="L67" i="8"/>
  <c r="N67" i="8"/>
  <c r="N95" i="8" s="1"/>
  <c r="E68" i="8"/>
  <c r="G68" i="8"/>
  <c r="I68" i="8"/>
  <c r="K68" i="8"/>
  <c r="M68" i="8"/>
  <c r="N68" i="8"/>
  <c r="D69" i="8"/>
  <c r="H69" i="8"/>
  <c r="L69" i="8"/>
  <c r="M69" i="8"/>
  <c r="N69" i="8"/>
  <c r="G70" i="8"/>
  <c r="K70" i="8"/>
  <c r="L70" i="8"/>
  <c r="M70" i="8"/>
  <c r="B71" i="8"/>
  <c r="J71" i="8"/>
  <c r="N71" i="8"/>
  <c r="G95" i="8"/>
  <c r="K95" i="8"/>
  <c r="L95" i="8"/>
  <c r="D107" i="8"/>
  <c r="D108" i="8" s="1"/>
  <c r="E107" i="8"/>
  <c r="G107" i="8"/>
  <c r="H107" i="8"/>
  <c r="I107" i="8"/>
  <c r="K107" i="8"/>
  <c r="L107" i="8"/>
  <c r="M107" i="8"/>
  <c r="N107" i="8"/>
  <c r="D119" i="8"/>
  <c r="G119" i="8"/>
  <c r="H119" i="8"/>
  <c r="K119" i="8"/>
  <c r="L119" i="8"/>
  <c r="M119" i="8"/>
  <c r="N119" i="8"/>
  <c r="B131" i="8"/>
  <c r="F131" i="8"/>
  <c r="G131" i="8"/>
  <c r="J131" i="8"/>
  <c r="K131" i="8"/>
  <c r="L131" i="8"/>
  <c r="M131" i="8"/>
  <c r="N131" i="8"/>
  <c r="B143" i="8"/>
  <c r="E143" i="8"/>
  <c r="I143" i="8"/>
  <c r="J143" i="8"/>
  <c r="M143" i="8"/>
  <c r="M144" i="8" s="1"/>
  <c r="N143" i="8"/>
  <c r="M147" i="8"/>
  <c r="B188" i="8"/>
  <c r="B191" i="8"/>
  <c r="B228" i="8" s="1"/>
  <c r="B201" i="8"/>
  <c r="B209" i="8"/>
  <c r="B217" i="8"/>
  <c r="B220" i="8"/>
  <c r="B225" i="8"/>
  <c r="B19" i="6"/>
  <c r="B20" i="6" s="1"/>
  <c r="C19" i="6"/>
  <c r="D19" i="6"/>
  <c r="D23" i="6" s="1"/>
  <c r="E19" i="6"/>
  <c r="F19" i="6"/>
  <c r="F20" i="6" s="1"/>
  <c r="G19" i="6"/>
  <c r="H19" i="6"/>
  <c r="H23" i="6" s="1"/>
  <c r="I19" i="6"/>
  <c r="J19" i="6"/>
  <c r="J20" i="6" s="1"/>
  <c r="K19" i="6"/>
  <c r="L19" i="6"/>
  <c r="L23" i="6" s="1"/>
  <c r="M19" i="6"/>
  <c r="N19" i="6"/>
  <c r="N20" i="6" s="1"/>
  <c r="C23" i="6"/>
  <c r="C24" i="6" s="1"/>
  <c r="E23" i="6"/>
  <c r="E26" i="6" s="1"/>
  <c r="G23" i="6"/>
  <c r="G24" i="6" s="1"/>
  <c r="I23" i="6"/>
  <c r="I26" i="6" s="1"/>
  <c r="K23" i="6"/>
  <c r="K24" i="6" s="1"/>
  <c r="M23" i="6"/>
  <c r="M26" i="6" s="1"/>
  <c r="E25" i="6"/>
  <c r="I25" i="6"/>
  <c r="M25" i="6"/>
  <c r="C27" i="6"/>
  <c r="E27" i="6"/>
  <c r="G27" i="6"/>
  <c r="I27" i="6"/>
  <c r="K27" i="6"/>
  <c r="M27" i="6"/>
  <c r="B35" i="6"/>
  <c r="C35" i="6"/>
  <c r="D35" i="6"/>
  <c r="E35" i="6"/>
  <c r="F35" i="6"/>
  <c r="G35" i="6"/>
  <c r="H35" i="6"/>
  <c r="I35" i="6"/>
  <c r="J35" i="6"/>
  <c r="K35" i="6"/>
  <c r="L35" i="6"/>
  <c r="M35" i="6"/>
  <c r="N35" i="6"/>
  <c r="B36" i="6"/>
  <c r="B40" i="6" s="1"/>
  <c r="C36" i="6"/>
  <c r="D36" i="6"/>
  <c r="D37" i="6" s="1"/>
  <c r="E36" i="6"/>
  <c r="E38" i="6" s="1"/>
  <c r="F36" i="6"/>
  <c r="F40" i="6" s="1"/>
  <c r="G36" i="6"/>
  <c r="H36" i="6"/>
  <c r="H37" i="6" s="1"/>
  <c r="I36" i="6"/>
  <c r="I38" i="6" s="1"/>
  <c r="J36" i="6"/>
  <c r="J40" i="6" s="1"/>
  <c r="K36" i="6"/>
  <c r="L36" i="6"/>
  <c r="L37" i="6" s="1"/>
  <c r="M36" i="6"/>
  <c r="M38" i="6" s="1"/>
  <c r="N36" i="6"/>
  <c r="N40" i="6" s="1"/>
  <c r="C37" i="6"/>
  <c r="E37" i="6"/>
  <c r="G37" i="6"/>
  <c r="I37" i="6"/>
  <c r="K37" i="6"/>
  <c r="M37" i="6"/>
  <c r="C40" i="6"/>
  <c r="C43" i="6" s="1"/>
  <c r="E40" i="6"/>
  <c r="E41" i="6" s="1"/>
  <c r="G40" i="6"/>
  <c r="G43" i="6" s="1"/>
  <c r="I40" i="6"/>
  <c r="I41" i="6" s="1"/>
  <c r="K40" i="6"/>
  <c r="K43" i="6" s="1"/>
  <c r="M40" i="6"/>
  <c r="M41" i="6" s="1"/>
  <c r="C42" i="6"/>
  <c r="G42" i="6"/>
  <c r="K42" i="6"/>
  <c r="C44" i="6"/>
  <c r="E44" i="6"/>
  <c r="G44" i="6"/>
  <c r="I44" i="6"/>
  <c r="K44" i="6"/>
  <c r="M44" i="6"/>
  <c r="B52" i="6"/>
  <c r="B59" i="6"/>
  <c r="C20" i="6" s="1"/>
  <c r="B66" i="6"/>
  <c r="B60" i="6" s="1"/>
  <c r="B69" i="6"/>
  <c r="B70" i="6"/>
  <c r="C38" i="6" s="1"/>
  <c r="C45" i="6" s="1"/>
  <c r="C10" i="6" s="1"/>
  <c r="Q11" i="4"/>
  <c r="D18" i="4"/>
  <c r="D20" i="4" s="1"/>
  <c r="I30" i="4"/>
  <c r="I32" i="4"/>
  <c r="M32" i="4"/>
  <c r="C33" i="4"/>
  <c r="D33" i="4"/>
  <c r="E33" i="4"/>
  <c r="F33" i="4"/>
  <c r="G33" i="4"/>
  <c r="H33" i="4"/>
  <c r="I33" i="4"/>
  <c r="J33" i="4"/>
  <c r="K33" i="4"/>
  <c r="L33" i="4"/>
  <c r="M33" i="4"/>
  <c r="N33" i="4"/>
  <c r="O33" i="4"/>
  <c r="C34" i="4"/>
  <c r="C35" i="4" s="1"/>
  <c r="D34" i="4"/>
  <c r="E34" i="4"/>
  <c r="E35" i="4" s="1"/>
  <c r="F34" i="4"/>
  <c r="G34" i="4"/>
  <c r="G35" i="4" s="1"/>
  <c r="H34" i="4"/>
  <c r="I34" i="4"/>
  <c r="I35" i="4" s="1"/>
  <c r="J34" i="4"/>
  <c r="K34" i="4"/>
  <c r="K35" i="4" s="1"/>
  <c r="L34" i="4"/>
  <c r="M34" i="4"/>
  <c r="M35" i="4" s="1"/>
  <c r="N34" i="4"/>
  <c r="O34" i="4"/>
  <c r="O35" i="4" s="1"/>
  <c r="O58" i="4"/>
  <c r="E59" i="4"/>
  <c r="E64" i="4" s="1"/>
  <c r="I59" i="4"/>
  <c r="I64" i="4" s="1"/>
  <c r="L59" i="4"/>
  <c r="M59" i="4"/>
  <c r="M64" i="4" s="1"/>
  <c r="N59" i="4"/>
  <c r="O59" i="4"/>
  <c r="O62" i="4" s="1"/>
  <c r="C60" i="4"/>
  <c r="D60" i="4"/>
  <c r="E60" i="4"/>
  <c r="F60" i="4"/>
  <c r="G60" i="4"/>
  <c r="H60" i="4"/>
  <c r="I60" i="4"/>
  <c r="J60" i="4"/>
  <c r="K60" i="4"/>
  <c r="L60" i="4"/>
  <c r="L65" i="4" s="1"/>
  <c r="L12" i="4" s="1"/>
  <c r="K9" i="23" s="1"/>
  <c r="L61" i="4"/>
  <c r="N61" i="4"/>
  <c r="O61" i="4"/>
  <c r="L62" i="4"/>
  <c r="N62" i="4"/>
  <c r="E63" i="4"/>
  <c r="I63" i="4"/>
  <c r="L63" i="4"/>
  <c r="M63" i="4"/>
  <c r="N63" i="4"/>
  <c r="O63" i="4"/>
  <c r="L64" i="4"/>
  <c r="N64" i="4"/>
  <c r="E70" i="4"/>
  <c r="F70" i="4"/>
  <c r="G70" i="4"/>
  <c r="H70" i="4"/>
  <c r="I70" i="4"/>
  <c r="J70" i="4"/>
  <c r="K70" i="4"/>
  <c r="L70" i="4"/>
  <c r="M70" i="4"/>
  <c r="N70" i="4"/>
  <c r="O70" i="4"/>
  <c r="S70" i="4"/>
  <c r="T70" i="4"/>
  <c r="E71" i="4"/>
  <c r="F71" i="4"/>
  <c r="G71" i="4"/>
  <c r="H71" i="4"/>
  <c r="I71" i="4"/>
  <c r="J71" i="4"/>
  <c r="K71" i="4"/>
  <c r="L71" i="4"/>
  <c r="M71" i="4"/>
  <c r="N71" i="4"/>
  <c r="O71" i="4"/>
  <c r="F72" i="4"/>
  <c r="H72" i="4"/>
  <c r="J72" i="4"/>
  <c r="L72" i="4"/>
  <c r="M72" i="4"/>
  <c r="N72" i="4"/>
  <c r="O72" i="4"/>
  <c r="R72" i="4"/>
  <c r="F73" i="4"/>
  <c r="H73" i="4"/>
  <c r="J73" i="4"/>
  <c r="L73" i="4"/>
  <c r="M73" i="4"/>
  <c r="N73" i="4"/>
  <c r="O73" i="4"/>
  <c r="P73" i="4"/>
  <c r="Q73" i="4"/>
  <c r="E74" i="4"/>
  <c r="E75" i="4" s="1"/>
  <c r="G74" i="4"/>
  <c r="G75" i="4" s="1"/>
  <c r="I74" i="4"/>
  <c r="I75" i="4" s="1"/>
  <c r="K74" i="4"/>
  <c r="K75" i="4" s="1"/>
  <c r="M74" i="4"/>
  <c r="M75" i="4" s="1"/>
  <c r="M76" i="4" s="1"/>
  <c r="L18" i="23" s="1"/>
  <c r="O74" i="4"/>
  <c r="O75" i="4" s="1"/>
  <c r="C82" i="4"/>
  <c r="C108" i="4" s="1"/>
  <c r="C90" i="4"/>
  <c r="C94" i="4"/>
  <c r="C99" i="4"/>
  <c r="D35" i="4" s="1"/>
  <c r="F104" i="4"/>
  <c r="C109" i="4"/>
  <c r="C48" i="4" s="1"/>
  <c r="I109" i="4"/>
  <c r="I110" i="4"/>
  <c r="D118" i="4"/>
  <c r="C120" i="4"/>
  <c r="F59" i="4" s="1"/>
  <c r="C122" i="4"/>
  <c r="E72" i="4" s="1"/>
  <c r="E73" i="4" s="1"/>
  <c r="E76" i="4" s="1"/>
  <c r="D18" i="23" s="1"/>
  <c r="J122" i="4"/>
  <c r="C123" i="4"/>
  <c r="H74" i="4" s="1"/>
  <c r="H75" i="4" s="1"/>
  <c r="G126" i="4"/>
  <c r="C131" i="4"/>
  <c r="M60" i="4" s="1"/>
  <c r="H17" i="25"/>
  <c r="I17" i="25"/>
  <c r="L17" i="25"/>
  <c r="M17" i="25"/>
  <c r="B6" i="24"/>
  <c r="C6" i="24"/>
  <c r="D6" i="24"/>
  <c r="E6" i="24"/>
  <c r="F6" i="24"/>
  <c r="G6" i="24"/>
  <c r="H6" i="24"/>
  <c r="I6" i="24"/>
  <c r="J6" i="24"/>
  <c r="K6" i="24"/>
  <c r="L6" i="24"/>
  <c r="M6" i="24"/>
  <c r="N6" i="24"/>
  <c r="B7" i="24"/>
  <c r="C7" i="24"/>
  <c r="D7" i="24"/>
  <c r="E7" i="24"/>
  <c r="F7" i="24"/>
  <c r="G7" i="24"/>
  <c r="H7" i="24"/>
  <c r="I7" i="24"/>
  <c r="J7" i="24"/>
  <c r="K7" i="24"/>
  <c r="L7" i="24"/>
  <c r="M7" i="24"/>
  <c r="N7" i="24"/>
  <c r="B8" i="24"/>
  <c r="C8" i="24"/>
  <c r="D8" i="24"/>
  <c r="E8" i="24"/>
  <c r="F8" i="24"/>
  <c r="G8" i="24"/>
  <c r="H8" i="24"/>
  <c r="I8" i="24"/>
  <c r="J8" i="24"/>
  <c r="K8" i="24"/>
  <c r="L8" i="24"/>
  <c r="M8" i="24"/>
  <c r="N8" i="24"/>
  <c r="B9" i="24"/>
  <c r="C9" i="24"/>
  <c r="D9" i="24"/>
  <c r="E9" i="24"/>
  <c r="F9" i="24"/>
  <c r="G9" i="24"/>
  <c r="H9" i="24"/>
  <c r="I9" i="24"/>
  <c r="J9" i="24"/>
  <c r="K9" i="24"/>
  <c r="L9" i="24"/>
  <c r="M9" i="24"/>
  <c r="N9" i="24"/>
  <c r="B10" i="24"/>
  <c r="C10" i="24"/>
  <c r="D10" i="24"/>
  <c r="E10" i="24"/>
  <c r="F10" i="24"/>
  <c r="G10" i="24"/>
  <c r="H10" i="24"/>
  <c r="I10" i="24"/>
  <c r="J10" i="24"/>
  <c r="K10" i="24"/>
  <c r="L10" i="24"/>
  <c r="M10" i="24"/>
  <c r="N10" i="24"/>
  <c r="B11" i="24"/>
  <c r="C11" i="24"/>
  <c r="D11" i="24"/>
  <c r="E11" i="24"/>
  <c r="F11" i="24"/>
  <c r="G11" i="24"/>
  <c r="H11" i="24"/>
  <c r="I11" i="24"/>
  <c r="J11" i="24"/>
  <c r="K11" i="24"/>
  <c r="L11" i="24"/>
  <c r="M11" i="24"/>
  <c r="N11" i="24"/>
  <c r="B12" i="24"/>
  <c r="C12" i="24"/>
  <c r="D12" i="24"/>
  <c r="E12" i="24"/>
  <c r="F12" i="24"/>
  <c r="G12" i="24"/>
  <c r="H12" i="24"/>
  <c r="I12" i="24"/>
  <c r="J12" i="24"/>
  <c r="K12" i="24"/>
  <c r="L12" i="24"/>
  <c r="M12" i="24"/>
  <c r="N12" i="24"/>
  <c r="C12" i="23"/>
  <c r="K6" i="2"/>
  <c r="L6" i="2"/>
  <c r="M6" i="2"/>
  <c r="N6" i="2"/>
  <c r="K7" i="2"/>
  <c r="L7" i="2"/>
  <c r="M7" i="2"/>
  <c r="N7" i="2"/>
  <c r="L15" i="2"/>
  <c r="M15" i="2"/>
  <c r="N15" i="2"/>
  <c r="K16" i="2"/>
  <c r="L16" i="2"/>
  <c r="L32" i="2"/>
  <c r="M32" i="2"/>
  <c r="N32" i="2"/>
  <c r="K33" i="2"/>
  <c r="L33" i="2"/>
  <c r="K48" i="2"/>
  <c r="C50" i="2"/>
  <c r="G54" i="2"/>
  <c r="H54" i="2"/>
  <c r="I54" i="2"/>
  <c r="J54" i="2"/>
  <c r="K54" i="2"/>
  <c r="L54" i="2"/>
  <c r="M54" i="2"/>
  <c r="N54" i="2"/>
  <c r="L55" i="2"/>
  <c r="O47" i="10"/>
  <c r="O43" i="10"/>
  <c r="O96" i="10"/>
  <c r="O101" i="10"/>
  <c r="O100" i="10" s="1"/>
  <c r="O108" i="10"/>
  <c r="O109" i="10" s="1"/>
  <c r="O106" i="10"/>
  <c r="O107" i="10" s="1"/>
  <c r="O102" i="10"/>
  <c r="O104" i="10" s="1"/>
  <c r="O110" i="10" s="1"/>
  <c r="O11" i="10" s="1"/>
  <c r="N9" i="25" s="1"/>
  <c r="O105" i="10"/>
  <c r="K43" i="35" l="1"/>
  <c r="K6" i="35" s="1"/>
  <c r="G43" i="35"/>
  <c r="G6" i="35" s="1"/>
  <c r="C43" i="35"/>
  <c r="C6" i="35" s="1"/>
  <c r="J43" i="35"/>
  <c r="J6" i="35" s="1"/>
  <c r="D24" i="35"/>
  <c r="M24" i="35"/>
  <c r="M5" i="35" s="1"/>
  <c r="M55" i="35"/>
  <c r="M56" i="35" s="1"/>
  <c r="M7" i="35" s="1"/>
  <c r="M43" i="35"/>
  <c r="M6" i="35" s="1"/>
  <c r="L55" i="35"/>
  <c r="L56" i="35" s="1"/>
  <c r="L7" i="35" s="1"/>
  <c r="L5" i="35"/>
  <c r="L43" i="35"/>
  <c r="L6" i="35" s="1"/>
  <c r="K5" i="35"/>
  <c r="K55" i="35"/>
  <c r="K56" i="35" s="1"/>
  <c r="K7" i="35" s="1"/>
  <c r="J5" i="35"/>
  <c r="J55" i="35"/>
  <c r="J56" i="35" s="1"/>
  <c r="J7" i="35" s="1"/>
  <c r="I55" i="35"/>
  <c r="I56" i="35" s="1"/>
  <c r="I7" i="35" s="1"/>
  <c r="I5" i="35"/>
  <c r="I43" i="35"/>
  <c r="I6" i="35" s="1"/>
  <c r="H55" i="35"/>
  <c r="H56" i="35" s="1"/>
  <c r="H7" i="35" s="1"/>
  <c r="H5" i="35"/>
  <c r="G5" i="35"/>
  <c r="G55" i="35"/>
  <c r="G56" i="35" s="1"/>
  <c r="G7" i="35" s="1"/>
  <c r="F55" i="35"/>
  <c r="F56" i="35" s="1"/>
  <c r="F7" i="35" s="1"/>
  <c r="F5" i="35"/>
  <c r="F43" i="35"/>
  <c r="F6" i="35" s="1"/>
  <c r="E5" i="35"/>
  <c r="E55" i="35"/>
  <c r="E56" i="35" s="1"/>
  <c r="E7" i="35" s="1"/>
  <c r="E43" i="35"/>
  <c r="E6" i="35" s="1"/>
  <c r="D55" i="35"/>
  <c r="D56" i="35" s="1"/>
  <c r="D7" i="35" s="1"/>
  <c r="D5" i="35"/>
  <c r="D43" i="35"/>
  <c r="D6" i="35" s="1"/>
  <c r="C55" i="35"/>
  <c r="C56" i="35" s="1"/>
  <c r="C7" i="35" s="1"/>
  <c r="C5" i="35"/>
  <c r="B5" i="35"/>
  <c r="B55" i="35"/>
  <c r="B56" i="35" s="1"/>
  <c r="B7" i="35" s="1"/>
  <c r="B43" i="35"/>
  <c r="B6" i="35" s="1"/>
  <c r="N38" i="35"/>
  <c r="N39" i="35"/>
  <c r="N40" i="35" s="1"/>
  <c r="N22" i="35"/>
  <c r="N23" i="35" s="1"/>
  <c r="N24" i="35" s="1"/>
  <c r="N5" i="35" s="1"/>
  <c r="N20" i="35"/>
  <c r="N21" i="35" s="1"/>
  <c r="H78" i="4"/>
  <c r="G19" i="23" s="1"/>
  <c r="O37" i="4"/>
  <c r="O38" i="4"/>
  <c r="O39" i="4"/>
  <c r="O40" i="4"/>
  <c r="K37" i="4"/>
  <c r="K38" i="4"/>
  <c r="K39" i="4"/>
  <c r="K40" i="4"/>
  <c r="G37" i="4"/>
  <c r="G38" i="4"/>
  <c r="G39" i="4"/>
  <c r="G40" i="4"/>
  <c r="C37" i="4"/>
  <c r="C38" i="4"/>
  <c r="C39" i="4"/>
  <c r="C40" i="4"/>
  <c r="L27" i="6"/>
  <c r="L24" i="6"/>
  <c r="L25" i="6"/>
  <c r="L26" i="6"/>
  <c r="H27" i="6"/>
  <c r="H24" i="6"/>
  <c r="H25" i="6"/>
  <c r="H26" i="6"/>
  <c r="D27" i="6"/>
  <c r="D24" i="6"/>
  <c r="D25" i="6"/>
  <c r="D26" i="6"/>
  <c r="F63" i="4"/>
  <c r="F64" i="4"/>
  <c r="F61" i="4"/>
  <c r="F62" i="4"/>
  <c r="F65" i="4"/>
  <c r="E21" i="6"/>
  <c r="E28" i="6" s="1"/>
  <c r="I21" i="6"/>
  <c r="I28" i="6" s="1"/>
  <c r="M21" i="6"/>
  <c r="M28" i="6" s="1"/>
  <c r="D21" i="6"/>
  <c r="H21" i="6"/>
  <c r="H28" i="6" s="1"/>
  <c r="L21" i="6"/>
  <c r="L28" i="6" s="1"/>
  <c r="N44" i="6"/>
  <c r="N41" i="6"/>
  <c r="N42" i="6"/>
  <c r="N43" i="6"/>
  <c r="J44" i="6"/>
  <c r="J41" i="6"/>
  <c r="J42" i="6"/>
  <c r="J43" i="6"/>
  <c r="F44" i="6"/>
  <c r="F41" i="6"/>
  <c r="F42" i="6"/>
  <c r="F43" i="6"/>
  <c r="B44" i="6"/>
  <c r="B41" i="6"/>
  <c r="B42" i="6"/>
  <c r="B43" i="6"/>
  <c r="K21" i="6"/>
  <c r="G21" i="6"/>
  <c r="C21" i="6"/>
  <c r="C41" i="27"/>
  <c r="D41" i="27"/>
  <c r="A41" i="27"/>
  <c r="E41" i="27"/>
  <c r="B41" i="27"/>
  <c r="F47" i="4"/>
  <c r="J47" i="4"/>
  <c r="N47" i="4"/>
  <c r="C47" i="4"/>
  <c r="G47" i="4"/>
  <c r="K47" i="4"/>
  <c r="O47" i="4"/>
  <c r="D47" i="4"/>
  <c r="H47" i="4"/>
  <c r="L47" i="4"/>
  <c r="E47" i="4"/>
  <c r="I47" i="4"/>
  <c r="M47" i="4"/>
  <c r="O76" i="4"/>
  <c r="N18" i="23" s="1"/>
  <c r="M39" i="4"/>
  <c r="M40" i="4"/>
  <c r="M37" i="4"/>
  <c r="M38" i="4"/>
  <c r="I39" i="4"/>
  <c r="I40" i="4"/>
  <c r="I37" i="4"/>
  <c r="I38" i="4"/>
  <c r="E39" i="4"/>
  <c r="E40" i="4"/>
  <c r="E37" i="4"/>
  <c r="E38" i="4"/>
  <c r="D40" i="4"/>
  <c r="D37" i="4"/>
  <c r="D38" i="4"/>
  <c r="D39" i="4"/>
  <c r="B13" i="27"/>
  <c r="C13" i="27"/>
  <c r="D13" i="27"/>
  <c r="A13" i="27"/>
  <c r="E13" i="27"/>
  <c r="L48" i="4"/>
  <c r="H48" i="4"/>
  <c r="D48" i="4"/>
  <c r="L35" i="4"/>
  <c r="H35" i="4"/>
  <c r="O20" i="4"/>
  <c r="K20" i="4"/>
  <c r="G20" i="4"/>
  <c r="C20" i="4"/>
  <c r="N38" i="6"/>
  <c r="N45" i="6" s="1"/>
  <c r="J38" i="6"/>
  <c r="J45" i="6" s="1"/>
  <c r="F38" i="6"/>
  <c r="F45" i="6" s="1"/>
  <c r="B38" i="6"/>
  <c r="B45" i="6" s="1"/>
  <c r="M20" i="6"/>
  <c r="I20" i="6"/>
  <c r="E20" i="6"/>
  <c r="D187" i="27"/>
  <c r="B133" i="8"/>
  <c r="F133" i="8"/>
  <c r="J133" i="8"/>
  <c r="N133" i="8"/>
  <c r="G133" i="8"/>
  <c r="K133" i="8"/>
  <c r="M148" i="8"/>
  <c r="M149" i="8"/>
  <c r="M146" i="8"/>
  <c r="D113" i="8"/>
  <c r="D111" i="8"/>
  <c r="D110" i="8"/>
  <c r="D112" i="8"/>
  <c r="C100" i="4"/>
  <c r="C89" i="4"/>
  <c r="M78" i="4"/>
  <c r="L19" i="23" s="1"/>
  <c r="E78" i="4"/>
  <c r="D19" i="23" s="1"/>
  <c r="H76" i="4"/>
  <c r="G18" i="23" s="1"/>
  <c r="N74" i="4"/>
  <c r="N75" i="4" s="1"/>
  <c r="N78" i="4" s="1"/>
  <c r="M19" i="23" s="1"/>
  <c r="J74" i="4"/>
  <c r="J75" i="4" s="1"/>
  <c r="J78" i="4" s="1"/>
  <c r="I19" i="23" s="1"/>
  <c r="F74" i="4"/>
  <c r="F75" i="4" s="1"/>
  <c r="F78" i="4" s="1"/>
  <c r="E19" i="23" s="1"/>
  <c r="K72" i="4"/>
  <c r="K73" i="4" s="1"/>
  <c r="K76" i="4" s="1"/>
  <c r="J18" i="23" s="1"/>
  <c r="G72" i="4"/>
  <c r="G73" i="4" s="1"/>
  <c r="G78" i="4" s="1"/>
  <c r="F19" i="23" s="1"/>
  <c r="O64" i="4"/>
  <c r="M62" i="4"/>
  <c r="M65" i="4" s="1"/>
  <c r="I62" i="4"/>
  <c r="I65" i="4" s="1"/>
  <c r="E62" i="4"/>
  <c r="E65" i="4" s="1"/>
  <c r="O60" i="4"/>
  <c r="O65" i="4" s="1"/>
  <c r="H59" i="4"/>
  <c r="D59" i="4"/>
  <c r="O48" i="4"/>
  <c r="K48" i="4"/>
  <c r="G48" i="4"/>
  <c r="N20" i="4"/>
  <c r="J20" i="4"/>
  <c r="F20" i="4"/>
  <c r="M43" i="6"/>
  <c r="I43" i="6"/>
  <c r="E43" i="6"/>
  <c r="K41" i="6"/>
  <c r="G41" i="6"/>
  <c r="C41" i="6"/>
  <c r="L40" i="6"/>
  <c r="H40" i="6"/>
  <c r="D40" i="6"/>
  <c r="N37" i="6"/>
  <c r="J37" i="6"/>
  <c r="F37" i="6"/>
  <c r="B37" i="6"/>
  <c r="K26" i="6"/>
  <c r="G26" i="6"/>
  <c r="C26" i="6"/>
  <c r="M24" i="6"/>
  <c r="I24" i="6"/>
  <c r="E24" i="6"/>
  <c r="N23" i="6"/>
  <c r="J23" i="6"/>
  <c r="F23" i="6"/>
  <c r="B23" i="6"/>
  <c r="L20" i="6"/>
  <c r="H20" i="6"/>
  <c r="D20" i="6"/>
  <c r="D199" i="27"/>
  <c r="B145" i="8"/>
  <c r="J145" i="8"/>
  <c r="N145" i="8"/>
  <c r="H108" i="8"/>
  <c r="L96" i="8"/>
  <c r="B42" i="27"/>
  <c r="C42" i="27"/>
  <c r="D42" i="27"/>
  <c r="A42" i="27"/>
  <c r="E42" i="27"/>
  <c r="C29" i="27"/>
  <c r="A29" i="27"/>
  <c r="E29" i="27"/>
  <c r="M61" i="4"/>
  <c r="I61" i="4"/>
  <c r="E61" i="4"/>
  <c r="N60" i="4"/>
  <c r="N65" i="4" s="1"/>
  <c r="K59" i="4"/>
  <c r="G59" i="4"/>
  <c r="C59" i="4"/>
  <c r="N48" i="4"/>
  <c r="J48" i="4"/>
  <c r="F48" i="4"/>
  <c r="M36" i="4"/>
  <c r="M41" i="4" s="1"/>
  <c r="I36" i="4"/>
  <c r="I41" i="4" s="1"/>
  <c r="E36" i="4"/>
  <c r="E41" i="4" s="1"/>
  <c r="N35" i="4"/>
  <c r="J35" i="4"/>
  <c r="F35" i="4"/>
  <c r="M20" i="4"/>
  <c r="I20" i="4"/>
  <c r="E20" i="4"/>
  <c r="M42" i="6"/>
  <c r="M45" i="6" s="1"/>
  <c r="I42" i="6"/>
  <c r="I45" i="6" s="1"/>
  <c r="E42" i="6"/>
  <c r="E45" i="6" s="1"/>
  <c r="L38" i="6"/>
  <c r="H38" i="6"/>
  <c r="D38" i="6"/>
  <c r="K25" i="6"/>
  <c r="G25" i="6"/>
  <c r="C25" i="6"/>
  <c r="N21" i="6"/>
  <c r="J21" i="6"/>
  <c r="F21" i="6"/>
  <c r="B21" i="6"/>
  <c r="K20" i="6"/>
  <c r="G20" i="6"/>
  <c r="D162" i="27"/>
  <c r="D174" i="27"/>
  <c r="D186" i="27"/>
  <c r="D198" i="27"/>
  <c r="D150" i="27"/>
  <c r="E198" i="27"/>
  <c r="B162" i="27"/>
  <c r="B174" i="27"/>
  <c r="B196" i="8"/>
  <c r="B212" i="8"/>
  <c r="E108" i="8"/>
  <c r="I108" i="8"/>
  <c r="M108" i="8"/>
  <c r="N120" i="8"/>
  <c r="B132" i="8"/>
  <c r="F132" i="8"/>
  <c r="J132" i="8"/>
  <c r="N132" i="8"/>
  <c r="B144" i="8"/>
  <c r="J144" i="8"/>
  <c r="N144" i="8"/>
  <c r="N108" i="8"/>
  <c r="G120" i="8"/>
  <c r="K120" i="8"/>
  <c r="G132" i="8"/>
  <c r="K132" i="8"/>
  <c r="G96" i="8"/>
  <c r="K96" i="8"/>
  <c r="G108" i="8"/>
  <c r="K108" i="8"/>
  <c r="D120" i="8"/>
  <c r="H120" i="8"/>
  <c r="L120" i="8"/>
  <c r="L132" i="8"/>
  <c r="I144" i="8"/>
  <c r="M132" i="8"/>
  <c r="M120" i="8"/>
  <c r="L108" i="8"/>
  <c r="K97" i="8"/>
  <c r="N96" i="8"/>
  <c r="N97" i="8"/>
  <c r="O78" i="4"/>
  <c r="N19" i="23" s="1"/>
  <c r="K78" i="4"/>
  <c r="J19" i="23" s="1"/>
  <c r="L74" i="4"/>
  <c r="L75" i="4" s="1"/>
  <c r="L78" i="4" s="1"/>
  <c r="K19" i="23" s="1"/>
  <c r="I72" i="4"/>
  <c r="I73" i="4" s="1"/>
  <c r="I76" i="4" s="1"/>
  <c r="H18" i="23" s="1"/>
  <c r="J59" i="4"/>
  <c r="M48" i="4"/>
  <c r="I48" i="4"/>
  <c r="E48" i="4"/>
  <c r="L20" i="4"/>
  <c r="H20" i="4"/>
  <c r="K38" i="6"/>
  <c r="K45" i="6" s="1"/>
  <c r="G38" i="6"/>
  <c r="G45" i="6" s="1"/>
  <c r="B204" i="8"/>
  <c r="E144" i="8"/>
  <c r="L133" i="8"/>
  <c r="L121" i="8"/>
  <c r="D121" i="8"/>
  <c r="K109" i="8"/>
  <c r="G97" i="8"/>
  <c r="M57" i="8"/>
  <c r="M67" i="8"/>
  <c r="M72" i="8" s="1"/>
  <c r="I57" i="8"/>
  <c r="I67" i="8"/>
  <c r="E57" i="8"/>
  <c r="E67" i="8"/>
  <c r="N57" i="8"/>
  <c r="N66" i="8"/>
  <c r="J57" i="8"/>
  <c r="J66" i="8"/>
  <c r="F57" i="8"/>
  <c r="F66" i="8"/>
  <c r="B57" i="8"/>
  <c r="B66" i="8"/>
  <c r="B64" i="8"/>
  <c r="B68" i="8"/>
  <c r="B65" i="8"/>
  <c r="B69" i="8"/>
  <c r="G135" i="33"/>
  <c r="G136" i="33"/>
  <c r="G137" i="33"/>
  <c r="G134" i="33"/>
  <c r="E125" i="33"/>
  <c r="E122" i="33"/>
  <c r="E123" i="33"/>
  <c r="E126" i="33" s="1"/>
  <c r="E164" i="33" s="1"/>
  <c r="E124" i="33"/>
  <c r="J64" i="8"/>
  <c r="J68" i="8"/>
  <c r="J65" i="8"/>
  <c r="J69" i="8"/>
  <c r="F64" i="8"/>
  <c r="F68" i="8"/>
  <c r="F65" i="8"/>
  <c r="F69" i="8"/>
  <c r="L16" i="8"/>
  <c r="L19" i="8" s="1"/>
  <c r="L17" i="8"/>
  <c r="G147" i="33"/>
  <c r="G148" i="33"/>
  <c r="G149" i="33"/>
  <c r="G146" i="33"/>
  <c r="G101" i="33"/>
  <c r="G98" i="33"/>
  <c r="G99" i="33"/>
  <c r="G100" i="33"/>
  <c r="M145" i="8"/>
  <c r="M150" i="8" s="1"/>
  <c r="M166" i="8" s="1"/>
  <c r="I145" i="8"/>
  <c r="E145" i="8"/>
  <c r="M133" i="8"/>
  <c r="M121" i="8"/>
  <c r="L109" i="8"/>
  <c r="H109" i="8"/>
  <c r="D109" i="8"/>
  <c r="D114" i="8" s="1"/>
  <c r="D163" i="8" s="1"/>
  <c r="L97" i="8"/>
  <c r="B95" i="8"/>
  <c r="F71" i="8"/>
  <c r="J67" i="8"/>
  <c r="H57" i="8"/>
  <c r="C57" i="8"/>
  <c r="D134" i="33"/>
  <c r="D135" i="33"/>
  <c r="D136" i="33"/>
  <c r="D137" i="33"/>
  <c r="G111" i="33"/>
  <c r="G113" i="33"/>
  <c r="G112" i="33"/>
  <c r="G110" i="33"/>
  <c r="I121" i="33"/>
  <c r="I120" i="33"/>
  <c r="F67" i="8"/>
  <c r="F72" i="8" s="1"/>
  <c r="N72" i="8"/>
  <c r="J72" i="8"/>
  <c r="J81" i="8" s="1"/>
  <c r="B72" i="8"/>
  <c r="B81" i="8" s="1"/>
  <c r="K57" i="8"/>
  <c r="K65" i="8"/>
  <c r="G57" i="8"/>
  <c r="G65" i="8"/>
  <c r="I65" i="8"/>
  <c r="I69" i="8"/>
  <c r="I66" i="8"/>
  <c r="I70" i="8"/>
  <c r="E65" i="8"/>
  <c r="E69" i="8"/>
  <c r="E66" i="8"/>
  <c r="E70" i="8"/>
  <c r="H66" i="8"/>
  <c r="H70" i="8"/>
  <c r="H67" i="8"/>
  <c r="H71" i="8"/>
  <c r="D66" i="8"/>
  <c r="D72" i="8" s="1"/>
  <c r="D70" i="8"/>
  <c r="D67" i="8"/>
  <c r="D71" i="8"/>
  <c r="D138" i="33"/>
  <c r="D165" i="33" s="1"/>
  <c r="I149" i="33"/>
  <c r="I146" i="33"/>
  <c r="I147" i="33"/>
  <c r="I148" i="33"/>
  <c r="E149" i="33"/>
  <c r="E146" i="33"/>
  <c r="E147" i="33"/>
  <c r="E150" i="33" s="1"/>
  <c r="E166" i="33" s="1"/>
  <c r="E148" i="33"/>
  <c r="G123" i="33"/>
  <c r="G124" i="33"/>
  <c r="G125" i="33"/>
  <c r="G122" i="33"/>
  <c r="L56" i="8"/>
  <c r="L71" i="8" s="1"/>
  <c r="D46" i="8"/>
  <c r="F147" i="33"/>
  <c r="F150" i="33" s="1"/>
  <c r="F166" i="33" s="1"/>
  <c r="B147" i="33"/>
  <c r="B150" i="33" s="1"/>
  <c r="B166" i="33" s="1"/>
  <c r="H145" i="33"/>
  <c r="B135" i="33"/>
  <c r="B138" i="33" s="1"/>
  <c r="B165" i="33" s="1"/>
  <c r="H133" i="33"/>
  <c r="D108" i="33"/>
  <c r="D109" i="33"/>
  <c r="B107" i="33"/>
  <c r="F70" i="33"/>
  <c r="I95" i="33"/>
  <c r="J57" i="33"/>
  <c r="F57" i="33"/>
  <c r="B57" i="33"/>
  <c r="G57" i="33"/>
  <c r="C57" i="33"/>
  <c r="J129" i="10"/>
  <c r="K129" i="10"/>
  <c r="J131" i="10"/>
  <c r="K131" i="10"/>
  <c r="K64" i="8"/>
  <c r="G64" i="8"/>
  <c r="C17" i="8"/>
  <c r="C19" i="8" s="1"/>
  <c r="F146" i="33"/>
  <c r="B146" i="33"/>
  <c r="G145" i="33"/>
  <c r="G150" i="33" s="1"/>
  <c r="G166" i="33" s="1"/>
  <c r="H144" i="33"/>
  <c r="B134" i="33"/>
  <c r="G133" i="33"/>
  <c r="G138" i="33" s="1"/>
  <c r="G165" i="33" s="1"/>
  <c r="H132" i="33"/>
  <c r="G121" i="33"/>
  <c r="G126" i="33" s="1"/>
  <c r="G164" i="33" s="1"/>
  <c r="F65" i="33"/>
  <c r="F69" i="33"/>
  <c r="F66" i="33"/>
  <c r="F67" i="33"/>
  <c r="I129" i="10"/>
  <c r="I131" i="10"/>
  <c r="B129" i="10"/>
  <c r="B131" i="10"/>
  <c r="M129" i="10"/>
  <c r="M131" i="10"/>
  <c r="H131" i="10"/>
  <c r="H129" i="10"/>
  <c r="D131" i="10"/>
  <c r="D129" i="10"/>
  <c r="K71" i="8"/>
  <c r="G71" i="8"/>
  <c r="H108" i="33"/>
  <c r="H109" i="33"/>
  <c r="H96" i="33"/>
  <c r="H97" i="33"/>
  <c r="I66" i="33"/>
  <c r="I70" i="33"/>
  <c r="I64" i="33"/>
  <c r="I68" i="33"/>
  <c r="E66" i="33"/>
  <c r="E70" i="33"/>
  <c r="E67" i="33"/>
  <c r="E64" i="33"/>
  <c r="E68" i="33"/>
  <c r="C276" i="27"/>
  <c r="D276" i="27"/>
  <c r="A276" i="27"/>
  <c r="O129" i="10"/>
  <c r="O131" i="10"/>
  <c r="F129" i="10"/>
  <c r="F131" i="10"/>
  <c r="L131" i="10"/>
  <c r="L129" i="10"/>
  <c r="G129" i="10"/>
  <c r="G131" i="10"/>
  <c r="C129" i="10"/>
  <c r="C131" i="10"/>
  <c r="I145" i="33"/>
  <c r="I150" i="33" s="1"/>
  <c r="I166" i="33" s="1"/>
  <c r="G109" i="33"/>
  <c r="G114" i="33" s="1"/>
  <c r="G163" i="33" s="1"/>
  <c r="G97" i="33"/>
  <c r="G102" i="33" s="1"/>
  <c r="G162" i="33" s="1"/>
  <c r="F107" i="33"/>
  <c r="G72" i="33"/>
  <c r="G87" i="33" s="1"/>
  <c r="B65" i="33"/>
  <c r="B69" i="33"/>
  <c r="B66" i="33"/>
  <c r="B67" i="33"/>
  <c r="M11" i="33"/>
  <c r="D67" i="33"/>
  <c r="D71" i="33"/>
  <c r="D64" i="33"/>
  <c r="D65" i="33"/>
  <c r="D69" i="33"/>
  <c r="N129" i="10"/>
  <c r="N131" i="10"/>
  <c r="E129" i="10"/>
  <c r="E131" i="10"/>
  <c r="B292" i="27"/>
  <c r="C292" i="27"/>
  <c r="D292" i="27"/>
  <c r="A292" i="27"/>
  <c r="E292" i="27"/>
  <c r="D63" i="10"/>
  <c r="H63" i="10"/>
  <c r="L63" i="10"/>
  <c r="E63" i="10"/>
  <c r="I63" i="10"/>
  <c r="M63" i="10"/>
  <c r="B63" i="10"/>
  <c r="F63" i="10"/>
  <c r="J63" i="10"/>
  <c r="N63" i="10"/>
  <c r="C63" i="10"/>
  <c r="G63" i="10"/>
  <c r="K63" i="10"/>
  <c r="O63" i="10"/>
  <c r="K300" i="27"/>
  <c r="A324" i="27"/>
  <c r="E324" i="27"/>
  <c r="E101" i="10"/>
  <c r="I101" i="10"/>
  <c r="M101" i="10"/>
  <c r="N101" i="10"/>
  <c r="F101" i="10"/>
  <c r="I99" i="10"/>
  <c r="N99" i="10"/>
  <c r="F99" i="10"/>
  <c r="O99" i="10"/>
  <c r="K99" i="10"/>
  <c r="G99" i="10"/>
  <c r="C99" i="10"/>
  <c r="G43" i="10"/>
  <c r="H69" i="33"/>
  <c r="H72" i="33" s="1"/>
  <c r="C17" i="33"/>
  <c r="C19" i="33" s="1"/>
  <c r="L15" i="33"/>
  <c r="D291" i="27"/>
  <c r="A293" i="27"/>
  <c r="E293" i="27"/>
  <c r="C294" i="27"/>
  <c r="A291" i="27"/>
  <c r="E291" i="27"/>
  <c r="B293" i="27"/>
  <c r="D294" i="27"/>
  <c r="B291" i="27"/>
  <c r="C293" i="27"/>
  <c r="A294" i="27"/>
  <c r="A295" i="27" s="1"/>
  <c r="A296" i="27" s="1"/>
  <c r="E294" i="27"/>
  <c r="E295" i="27" s="1"/>
  <c r="E296" i="27" s="1"/>
  <c r="C291" i="27"/>
  <c r="D293" i="27"/>
  <c r="B294" i="27"/>
  <c r="B295" i="27" s="1"/>
  <c r="B296" i="27" s="1"/>
  <c r="B62" i="10"/>
  <c r="F62" i="10"/>
  <c r="J62" i="10"/>
  <c r="N62" i="10"/>
  <c r="B64" i="10"/>
  <c r="F64" i="10"/>
  <c r="J64" i="10"/>
  <c r="N64" i="10"/>
  <c r="D65" i="10"/>
  <c r="D66" i="10" s="1"/>
  <c r="D67" i="10" s="1"/>
  <c r="H65" i="10"/>
  <c r="L65" i="10"/>
  <c r="C62" i="10"/>
  <c r="G62" i="10"/>
  <c r="K62" i="10"/>
  <c r="O62" i="10"/>
  <c r="C64" i="10"/>
  <c r="G64" i="10"/>
  <c r="K64" i="10"/>
  <c r="O64" i="10"/>
  <c r="E65" i="10"/>
  <c r="I65" i="10"/>
  <c r="M65" i="10"/>
  <c r="D62" i="10"/>
  <c r="H62" i="10"/>
  <c r="L62" i="10"/>
  <c r="D64" i="10"/>
  <c r="H64" i="10"/>
  <c r="L64" i="10"/>
  <c r="B65" i="10"/>
  <c r="B66" i="10" s="1"/>
  <c r="B67" i="10" s="1"/>
  <c r="F65" i="10"/>
  <c r="F66" i="10" s="1"/>
  <c r="F67" i="10" s="1"/>
  <c r="J65" i="10"/>
  <c r="J66" i="10" s="1"/>
  <c r="J67" i="10" s="1"/>
  <c r="N65" i="10"/>
  <c r="N66" i="10" s="1"/>
  <c r="N67" i="10" s="1"/>
  <c r="E62" i="10"/>
  <c r="I62" i="10"/>
  <c r="M62" i="10"/>
  <c r="E64" i="10"/>
  <c r="I64" i="10"/>
  <c r="M64" i="10"/>
  <c r="C65" i="10"/>
  <c r="C66" i="10" s="1"/>
  <c r="C67" i="10" s="1"/>
  <c r="G65" i="10"/>
  <c r="G66" i="10" s="1"/>
  <c r="G67" i="10" s="1"/>
  <c r="K65" i="10"/>
  <c r="K66" i="10" s="1"/>
  <c r="K67" i="10" s="1"/>
  <c r="O65" i="10"/>
  <c r="O66" i="10" s="1"/>
  <c r="O67" i="10" s="1"/>
  <c r="K101" i="10"/>
  <c r="C101" i="10"/>
  <c r="H99" i="10"/>
  <c r="M96" i="10"/>
  <c r="C43" i="10"/>
  <c r="G78" i="33"/>
  <c r="J19" i="33"/>
  <c r="B174" i="10"/>
  <c r="B253" i="27"/>
  <c r="C253" i="27"/>
  <c r="D253" i="27"/>
  <c r="A253" i="27"/>
  <c r="E253" i="27"/>
  <c r="C20" i="10"/>
  <c r="G20" i="10"/>
  <c r="K20" i="10"/>
  <c r="O20" i="10"/>
  <c r="F20" i="10"/>
  <c r="L20" i="10"/>
  <c r="B20" i="10"/>
  <c r="H20" i="10"/>
  <c r="M20" i="10"/>
  <c r="D20" i="10"/>
  <c r="I20" i="10"/>
  <c r="N20" i="10"/>
  <c r="E20" i="10"/>
  <c r="J20" i="10"/>
  <c r="J101" i="10"/>
  <c r="B101" i="10"/>
  <c r="M99" i="10"/>
  <c r="E99" i="10"/>
  <c r="K96" i="10"/>
  <c r="C96" i="10"/>
  <c r="J99" i="10"/>
  <c r="B99" i="10"/>
  <c r="O44" i="10"/>
  <c r="O49" i="10" s="1"/>
  <c r="O9" i="10" s="1"/>
  <c r="N7" i="25" s="1"/>
  <c r="L43" i="10"/>
  <c r="L44" i="10"/>
  <c r="L49" i="10" s="1"/>
  <c r="L9" i="10" s="1"/>
  <c r="K7" i="25" s="1"/>
  <c r="H43" i="10"/>
  <c r="H44" i="10"/>
  <c r="H49" i="10" s="1"/>
  <c r="H9" i="10" s="1"/>
  <c r="H7" i="25" s="1"/>
  <c r="D43" i="10"/>
  <c r="D44" i="10"/>
  <c r="D49" i="10" s="1"/>
  <c r="D9" i="10" s="1"/>
  <c r="D7" i="25" s="1"/>
  <c r="G101" i="10"/>
  <c r="L99" i="10"/>
  <c r="D99" i="10"/>
  <c r="L96" i="10"/>
  <c r="L101" i="10"/>
  <c r="H96" i="10"/>
  <c r="H101" i="10"/>
  <c r="D96" i="10"/>
  <c r="D101" i="10"/>
  <c r="K43" i="10"/>
  <c r="E28" i="12"/>
  <c r="E27" i="12" s="1"/>
  <c r="K21" i="12"/>
  <c r="E199" i="18"/>
  <c r="E196" i="18"/>
  <c r="C26" i="28"/>
  <c r="C32" i="28" s="1"/>
  <c r="F54" i="2" s="1"/>
  <c r="N42" i="10"/>
  <c r="J42" i="10"/>
  <c r="F42" i="10"/>
  <c r="B42" i="10"/>
  <c r="D21" i="12"/>
  <c r="H21" i="12"/>
  <c r="L21" i="12"/>
  <c r="B28" i="12"/>
  <c r="B27" i="12" s="1"/>
  <c r="F28" i="12"/>
  <c r="E21" i="12"/>
  <c r="I21" i="12"/>
  <c r="M21" i="12"/>
  <c r="C28" i="12"/>
  <c r="C37" i="12" s="1"/>
  <c r="D28" i="12"/>
  <c r="J21" i="12"/>
  <c r="B21" i="12"/>
  <c r="K44" i="10"/>
  <c r="K49" i="10" s="1"/>
  <c r="G44" i="10"/>
  <c r="G49" i="10" s="1"/>
  <c r="G9" i="10" s="1"/>
  <c r="G7" i="25" s="1"/>
  <c r="C44" i="10"/>
  <c r="C49" i="10" s="1"/>
  <c r="C9" i="10" s="1"/>
  <c r="C7" i="25" s="1"/>
  <c r="M42" i="10"/>
  <c r="I42" i="10"/>
  <c r="E42" i="10"/>
  <c r="G21" i="12"/>
  <c r="B17" i="16"/>
  <c r="B9" i="16" s="1"/>
  <c r="B11" i="16" s="1"/>
  <c r="F17" i="16"/>
  <c r="F9" i="16" s="1"/>
  <c r="F11" i="16" s="1"/>
  <c r="J17" i="16"/>
  <c r="J9" i="16" s="1"/>
  <c r="J11" i="16" s="1"/>
  <c r="C17" i="16"/>
  <c r="C9" i="16" s="1"/>
  <c r="C11" i="16" s="1"/>
  <c r="G17" i="16"/>
  <c r="G9" i="16" s="1"/>
  <c r="G11" i="16" s="1"/>
  <c r="K17" i="16"/>
  <c r="D17" i="16"/>
  <c r="D9" i="16" s="1"/>
  <c r="D11" i="16" s="1"/>
  <c r="H17" i="16"/>
  <c r="H9" i="16" s="1"/>
  <c r="H11" i="16" s="1"/>
  <c r="L17" i="16"/>
  <c r="L19" i="16" s="1"/>
  <c r="I17" i="16"/>
  <c r="I9" i="16" s="1"/>
  <c r="I11" i="16" s="1"/>
  <c r="B26" i="28"/>
  <c r="B32" i="28" s="1"/>
  <c r="E54" i="2" s="1"/>
  <c r="K298" i="27"/>
  <c r="G300" i="27"/>
  <c r="M47" i="10"/>
  <c r="I47" i="10"/>
  <c r="E47" i="10"/>
  <c r="E36" i="12"/>
  <c r="E17" i="25" s="1"/>
  <c r="N21" i="12"/>
  <c r="F21" i="12"/>
  <c r="E17" i="16"/>
  <c r="E9" i="16" s="1"/>
  <c r="E11" i="16" s="1"/>
  <c r="D26" i="12"/>
  <c r="D36" i="12" s="1"/>
  <c r="D17" i="25" s="1"/>
  <c r="K19" i="12"/>
  <c r="K36" i="12" s="1"/>
  <c r="K17" i="25" s="1"/>
  <c r="G19" i="12"/>
  <c r="G36" i="12" s="1"/>
  <c r="G17" i="25" s="1"/>
  <c r="C19" i="12"/>
  <c r="C20" i="12" s="1"/>
  <c r="D194" i="18"/>
  <c r="B44" i="28"/>
  <c r="C25" i="28" s="1"/>
  <c r="I63" i="20"/>
  <c r="E63" i="20"/>
  <c r="E64" i="20" s="1"/>
  <c r="M40" i="20"/>
  <c r="M63" i="20" s="1"/>
  <c r="I40" i="20"/>
  <c r="E326" i="27"/>
  <c r="E321" i="27"/>
  <c r="A326" i="27"/>
  <c r="A321" i="27"/>
  <c r="G298" i="27"/>
  <c r="E277" i="27"/>
  <c r="E282" i="27" s="1"/>
  <c r="E242" i="27" s="1"/>
  <c r="C26" i="12"/>
  <c r="N19" i="12"/>
  <c r="N36" i="12" s="1"/>
  <c r="N17" i="25" s="1"/>
  <c r="J19" i="12"/>
  <c r="J36" i="12" s="1"/>
  <c r="J17" i="25" s="1"/>
  <c r="F19" i="12"/>
  <c r="F36" i="12" s="1"/>
  <c r="F17" i="25" s="1"/>
  <c r="B19" i="12"/>
  <c r="B36" i="12" s="1"/>
  <c r="B17" i="25" s="1"/>
  <c r="L18" i="20"/>
  <c r="L19" i="20"/>
  <c r="L63" i="20" s="1"/>
  <c r="B326" i="27"/>
  <c r="B324" i="27"/>
  <c r="C324" i="27"/>
  <c r="C321" i="27"/>
  <c r="D317" i="27"/>
  <c r="D319" i="27" s="1"/>
  <c r="I298" i="27"/>
  <c r="I300" i="27"/>
  <c r="H295" i="27"/>
  <c r="H296" i="27" s="1"/>
  <c r="D277" i="27"/>
  <c r="D282" i="27" s="1"/>
  <c r="D242" i="27" s="1"/>
  <c r="H194" i="18"/>
  <c r="Q50" i="20"/>
  <c r="P55" i="20"/>
  <c r="B275" i="27"/>
  <c r="B280" i="27"/>
  <c r="B281" i="27"/>
  <c r="B278" i="27"/>
  <c r="B279" i="27"/>
  <c r="B30" i="28"/>
  <c r="C326" i="27"/>
  <c r="B321" i="27"/>
  <c r="J298" i="27"/>
  <c r="A277" i="27"/>
  <c r="A282" i="27" s="1"/>
  <c r="A242" i="27" s="1"/>
  <c r="E280" i="27"/>
  <c r="E276" i="27"/>
  <c r="E199" i="27"/>
  <c r="B187" i="27"/>
  <c r="J300" i="27"/>
  <c r="B199" i="27"/>
  <c r="B198" i="27"/>
  <c r="B186" i="27"/>
  <c r="B135" i="27"/>
  <c r="D133" i="27"/>
  <c r="E119" i="27"/>
  <c r="E123" i="27"/>
  <c r="E120" i="27"/>
  <c r="E124" i="27"/>
  <c r="E121" i="27"/>
  <c r="E118" i="27"/>
  <c r="E122" i="27"/>
  <c r="A119" i="27"/>
  <c r="A123" i="27"/>
  <c r="A120" i="27"/>
  <c r="A124" i="27"/>
  <c r="A121" i="27"/>
  <c r="A125" i="27"/>
  <c r="A118" i="27"/>
  <c r="A122" i="27"/>
  <c r="B29" i="27"/>
  <c r="D141" i="27"/>
  <c r="D151" i="27"/>
  <c r="B132" i="27"/>
  <c r="B144" i="27" s="1"/>
  <c r="B136" i="27"/>
  <c r="B140" i="27"/>
  <c r="B134" i="27"/>
  <c r="B138" i="27"/>
  <c r="D135" i="27"/>
  <c r="B133" i="27"/>
  <c r="C121" i="27"/>
  <c r="C125" i="27"/>
  <c r="C118" i="27"/>
  <c r="C122" i="27"/>
  <c r="C119" i="27"/>
  <c r="C123" i="27"/>
  <c r="C120" i="27"/>
  <c r="C124" i="27"/>
  <c r="D29" i="27"/>
  <c r="B149" i="27"/>
  <c r="D139" i="27"/>
  <c r="B137" i="27"/>
  <c r="D126" i="27"/>
  <c r="M8" i="35" l="1"/>
  <c r="H8" i="35"/>
  <c r="L8" i="35"/>
  <c r="K8" i="35"/>
  <c r="J8" i="35"/>
  <c r="I8" i="35"/>
  <c r="G8" i="35"/>
  <c r="F8" i="35"/>
  <c r="E8" i="35"/>
  <c r="D8" i="35"/>
  <c r="C8" i="35"/>
  <c r="B8" i="35"/>
  <c r="N55" i="35"/>
  <c r="N56" i="35" s="1"/>
  <c r="N7" i="35" s="1"/>
  <c r="N43" i="35"/>
  <c r="N6" i="35" s="1"/>
  <c r="M78" i="8"/>
  <c r="M84" i="8"/>
  <c r="M87" i="8"/>
  <c r="M80" i="8"/>
  <c r="M88" i="8"/>
  <c r="M83" i="8"/>
  <c r="M89" i="8"/>
  <c r="M79" i="8"/>
  <c r="M81" i="8"/>
  <c r="M86" i="8"/>
  <c r="M82" i="8"/>
  <c r="M10" i="6"/>
  <c r="M12" i="23" s="1"/>
  <c r="M50" i="2"/>
  <c r="H80" i="33"/>
  <c r="H81" i="33"/>
  <c r="H85" i="33"/>
  <c r="H89" i="33"/>
  <c r="H79" i="33"/>
  <c r="H83" i="33"/>
  <c r="H86" i="33"/>
  <c r="H82" i="33"/>
  <c r="H88" i="33"/>
  <c r="H84" i="33"/>
  <c r="H78" i="33"/>
  <c r="H90" i="33" s="1"/>
  <c r="C67" i="8"/>
  <c r="C71" i="8"/>
  <c r="C64" i="8"/>
  <c r="C68" i="8"/>
  <c r="C66" i="8"/>
  <c r="C70" i="8"/>
  <c r="C65" i="8"/>
  <c r="C69" i="8"/>
  <c r="D79" i="8"/>
  <c r="D78" i="8"/>
  <c r="D81" i="8"/>
  <c r="D80" i="8"/>
  <c r="D82" i="8"/>
  <c r="D86" i="8"/>
  <c r="D87" i="8"/>
  <c r="D83" i="8"/>
  <c r="F79" i="8"/>
  <c r="F80" i="8"/>
  <c r="F78" i="8"/>
  <c r="F88" i="8"/>
  <c r="F81" i="8"/>
  <c r="E10" i="6"/>
  <c r="E12" i="23" s="1"/>
  <c r="E50" i="2"/>
  <c r="C38" i="12"/>
  <c r="C18" i="25"/>
  <c r="C64" i="33"/>
  <c r="C68" i="33"/>
  <c r="C65" i="33"/>
  <c r="C66" i="33"/>
  <c r="C67" i="33"/>
  <c r="C71" i="33"/>
  <c r="C70" i="33"/>
  <c r="C69" i="33"/>
  <c r="I10" i="6"/>
  <c r="I12" i="23" s="1"/>
  <c r="I50" i="2"/>
  <c r="M12" i="4"/>
  <c r="L9" i="23" s="1"/>
  <c r="L48" i="2"/>
  <c r="C126" i="27"/>
  <c r="C136" i="27"/>
  <c r="A161" i="27"/>
  <c r="B203" i="27"/>
  <c r="B200" i="27"/>
  <c r="B201" i="27"/>
  <c r="B202" i="27"/>
  <c r="C143" i="27"/>
  <c r="C197" i="27"/>
  <c r="D134" i="27"/>
  <c r="D138" i="27"/>
  <c r="D132" i="27"/>
  <c r="D144" i="27" s="1"/>
  <c r="D136" i="27"/>
  <c r="D142" i="27"/>
  <c r="D140" i="27"/>
  <c r="C137" i="27"/>
  <c r="C139" i="27"/>
  <c r="C149" i="27"/>
  <c r="D143" i="27"/>
  <c r="C142" i="27"/>
  <c r="C185" i="27"/>
  <c r="C161" i="27"/>
  <c r="D137" i="27"/>
  <c r="B33" i="27"/>
  <c r="B34" i="27"/>
  <c r="B31" i="27"/>
  <c r="B32" i="27"/>
  <c r="A149" i="27"/>
  <c r="E185" i="27"/>
  <c r="B191" i="27"/>
  <c r="B188" i="27"/>
  <c r="B189" i="27"/>
  <c r="B190" i="27"/>
  <c r="J302" i="27"/>
  <c r="J299" i="27"/>
  <c r="J301" i="27"/>
  <c r="C333" i="27"/>
  <c r="C334" i="27" s="1"/>
  <c r="C325" i="27"/>
  <c r="C330" i="27"/>
  <c r="C327" i="27"/>
  <c r="C329" i="27" s="1"/>
  <c r="C335" i="27" s="1"/>
  <c r="C244" i="27" s="1"/>
  <c r="C331" i="27"/>
  <c r="C332" i="27" s="1"/>
  <c r="I302" i="27"/>
  <c r="I299" i="27"/>
  <c r="I301" i="27"/>
  <c r="F20" i="12"/>
  <c r="F37" i="12"/>
  <c r="B25" i="28"/>
  <c r="H33" i="2"/>
  <c r="H55" i="2"/>
  <c r="H16" i="2"/>
  <c r="C33" i="2"/>
  <c r="C16" i="2"/>
  <c r="C55" i="2"/>
  <c r="G37" i="12"/>
  <c r="G20" i="12"/>
  <c r="J20" i="12"/>
  <c r="J37" i="12"/>
  <c r="I20" i="12"/>
  <c r="I37" i="12"/>
  <c r="L37" i="12"/>
  <c r="L20" i="12"/>
  <c r="F44" i="10"/>
  <c r="F49" i="10" s="1"/>
  <c r="F9" i="10" s="1"/>
  <c r="F7" i="25" s="1"/>
  <c r="F43" i="10"/>
  <c r="K20" i="12"/>
  <c r="K37" i="12"/>
  <c r="D100" i="10"/>
  <c r="D102" i="10"/>
  <c r="D104" i="10" s="1"/>
  <c r="D106" i="10"/>
  <c r="D107" i="10" s="1"/>
  <c r="D108" i="10"/>
  <c r="D109" i="10" s="1"/>
  <c r="D105" i="10"/>
  <c r="L100" i="10"/>
  <c r="L102" i="10"/>
  <c r="L104" i="10" s="1"/>
  <c r="L110" i="10" s="1"/>
  <c r="L11" i="10" s="1"/>
  <c r="K9" i="25" s="1"/>
  <c r="L105" i="10"/>
  <c r="L106" i="10"/>
  <c r="L107" i="10" s="1"/>
  <c r="L108" i="10"/>
  <c r="L109" i="10" s="1"/>
  <c r="G100" i="10"/>
  <c r="G102" i="10"/>
  <c r="G104" i="10" s="1"/>
  <c r="G106" i="10"/>
  <c r="G107" i="10" s="1"/>
  <c r="G105" i="10"/>
  <c r="G108" i="10"/>
  <c r="G109" i="10" s="1"/>
  <c r="J24" i="10"/>
  <c r="J22" i="10"/>
  <c r="J21" i="10"/>
  <c r="D21" i="10"/>
  <c r="D24" i="10"/>
  <c r="D22" i="10"/>
  <c r="L21" i="10"/>
  <c r="L22" i="10"/>
  <c r="L24" i="10"/>
  <c r="G22" i="10"/>
  <c r="G21" i="10"/>
  <c r="G24" i="10"/>
  <c r="D255" i="27"/>
  <c r="D254" i="27"/>
  <c r="D257" i="27"/>
  <c r="J65" i="33"/>
  <c r="J69" i="33"/>
  <c r="J66" i="33"/>
  <c r="M10" i="33"/>
  <c r="N11" i="33" s="1"/>
  <c r="J67" i="33"/>
  <c r="J64" i="33"/>
  <c r="J68" i="33"/>
  <c r="O70" i="10"/>
  <c r="O68" i="10"/>
  <c r="O69" i="10"/>
  <c r="F68" i="10"/>
  <c r="F69" i="10"/>
  <c r="F70" i="10"/>
  <c r="M66" i="10"/>
  <c r="M67" i="10" s="1"/>
  <c r="H66" i="10"/>
  <c r="H67" i="10" s="1"/>
  <c r="M105" i="10"/>
  <c r="M108" i="10"/>
  <c r="M109" i="10" s="1"/>
  <c r="M100" i="10"/>
  <c r="M102" i="10"/>
  <c r="M104" i="10" s="1"/>
  <c r="M106" i="10"/>
  <c r="M107" i="10" s="1"/>
  <c r="D143" i="33"/>
  <c r="J71" i="33"/>
  <c r="F108" i="33"/>
  <c r="F109" i="33"/>
  <c r="G167" i="33"/>
  <c r="G177" i="33"/>
  <c r="L130" i="10"/>
  <c r="L133" i="10"/>
  <c r="L132" i="10"/>
  <c r="E131" i="33"/>
  <c r="I131" i="33"/>
  <c r="H111" i="33"/>
  <c r="H113" i="33"/>
  <c r="H112" i="33"/>
  <c r="H110" i="33"/>
  <c r="D130" i="10"/>
  <c r="D133" i="10"/>
  <c r="D132" i="10"/>
  <c r="H134" i="33"/>
  <c r="H135" i="33"/>
  <c r="H136" i="33"/>
  <c r="H137" i="33"/>
  <c r="G181" i="33"/>
  <c r="G82" i="8"/>
  <c r="G72" i="8"/>
  <c r="J70" i="33"/>
  <c r="D88" i="8"/>
  <c r="D131" i="8"/>
  <c r="H131" i="8"/>
  <c r="E119" i="8"/>
  <c r="I119" i="8"/>
  <c r="N79" i="8"/>
  <c r="N86" i="8"/>
  <c r="N78" i="8"/>
  <c r="N82" i="8"/>
  <c r="N87" i="8"/>
  <c r="N80" i="8"/>
  <c r="N88" i="8"/>
  <c r="N83" i="8"/>
  <c r="N85" i="8"/>
  <c r="N89" i="8"/>
  <c r="I125" i="33"/>
  <c r="I122" i="33"/>
  <c r="I123" i="33"/>
  <c r="I124" i="33"/>
  <c r="J85" i="8"/>
  <c r="J95" i="8"/>
  <c r="D14" i="24"/>
  <c r="F72" i="33"/>
  <c r="F82" i="8"/>
  <c r="J82" i="8"/>
  <c r="B86" i="8"/>
  <c r="B107" i="8"/>
  <c r="F84" i="8"/>
  <c r="N84" i="8"/>
  <c r="I95" i="8"/>
  <c r="B85" i="8"/>
  <c r="G10" i="6"/>
  <c r="G12" i="23" s="1"/>
  <c r="G50" i="2"/>
  <c r="L113" i="8"/>
  <c r="L111" i="8"/>
  <c r="L110" i="8"/>
  <c r="L112" i="8"/>
  <c r="L137" i="8"/>
  <c r="L134" i="8"/>
  <c r="L135" i="8"/>
  <c r="L136" i="8"/>
  <c r="K111" i="8"/>
  <c r="K110" i="8"/>
  <c r="K112" i="8"/>
  <c r="K113" i="8"/>
  <c r="K134" i="8"/>
  <c r="K135" i="8"/>
  <c r="K136" i="8"/>
  <c r="K137" i="8"/>
  <c r="N110" i="8"/>
  <c r="N112" i="8"/>
  <c r="N113" i="8"/>
  <c r="N111" i="8"/>
  <c r="N135" i="8"/>
  <c r="N136" i="8"/>
  <c r="N137" i="8"/>
  <c r="N134" i="8"/>
  <c r="N123" i="8"/>
  <c r="N124" i="8"/>
  <c r="N125" i="8"/>
  <c r="N122" i="8"/>
  <c r="B175" i="27"/>
  <c r="D175" i="27"/>
  <c r="N121" i="8"/>
  <c r="G121" i="8"/>
  <c r="K121" i="8"/>
  <c r="E200" i="27"/>
  <c r="E201" i="27"/>
  <c r="E202" i="27"/>
  <c r="E203" i="27"/>
  <c r="D177" i="27"/>
  <c r="D178" i="27"/>
  <c r="D179" i="27"/>
  <c r="D176" i="27"/>
  <c r="F38" i="4"/>
  <c r="F39" i="4"/>
  <c r="F40" i="4"/>
  <c r="F37" i="4"/>
  <c r="I10" i="4"/>
  <c r="H7" i="23" s="1"/>
  <c r="H46" i="2"/>
  <c r="N12" i="4"/>
  <c r="M9" i="23" s="1"/>
  <c r="M48" i="2"/>
  <c r="E34" i="27"/>
  <c r="E31" i="27"/>
  <c r="E32" i="27"/>
  <c r="E33" i="27"/>
  <c r="L100" i="8"/>
  <c r="L101" i="8"/>
  <c r="L98" i="8"/>
  <c r="L99" i="8"/>
  <c r="J25" i="6"/>
  <c r="J26" i="6"/>
  <c r="J27" i="6"/>
  <c r="J24" i="6"/>
  <c r="D42" i="6"/>
  <c r="D43" i="6"/>
  <c r="D44" i="6"/>
  <c r="D41" i="6"/>
  <c r="H61" i="4"/>
  <c r="H62" i="4"/>
  <c r="H65" i="4" s="1"/>
  <c r="H63" i="4"/>
  <c r="H64" i="4"/>
  <c r="L76" i="4"/>
  <c r="K18" i="23" s="1"/>
  <c r="C12" i="27"/>
  <c r="D12" i="27"/>
  <c r="A12" i="27"/>
  <c r="E12" i="27"/>
  <c r="B12" i="27"/>
  <c r="E19" i="4"/>
  <c r="I19" i="4"/>
  <c r="M19" i="4"/>
  <c r="F19" i="4"/>
  <c r="J19" i="4"/>
  <c r="N19" i="4"/>
  <c r="C19" i="4"/>
  <c r="G19" i="4"/>
  <c r="K19" i="4"/>
  <c r="O19" i="4"/>
  <c r="D19" i="4"/>
  <c r="H19" i="4"/>
  <c r="L19" i="4"/>
  <c r="F10" i="6"/>
  <c r="F12" i="23" s="1"/>
  <c r="F50" i="2"/>
  <c r="L40" i="4"/>
  <c r="L37" i="4"/>
  <c r="L38" i="4"/>
  <c r="L39" i="4"/>
  <c r="L49" i="4"/>
  <c r="L50" i="4"/>
  <c r="L51" i="4"/>
  <c r="L52" i="4"/>
  <c r="K50" i="4"/>
  <c r="K51" i="4"/>
  <c r="K52" i="4"/>
  <c r="K49" i="4"/>
  <c r="J51" i="4"/>
  <c r="J52" i="4"/>
  <c r="J49" i="4"/>
  <c r="J50" i="4"/>
  <c r="A43" i="27"/>
  <c r="A44" i="27"/>
  <c r="A47" i="27" s="1"/>
  <c r="A5" i="27" s="1"/>
  <c r="A45" i="27"/>
  <c r="A46" i="27"/>
  <c r="C28" i="6"/>
  <c r="H9" i="6"/>
  <c r="H49" i="2"/>
  <c r="E9" i="6"/>
  <c r="E49" i="2"/>
  <c r="E161" i="27"/>
  <c r="B192" i="27"/>
  <c r="B219" i="27" s="1"/>
  <c r="H196" i="18"/>
  <c r="H199" i="18"/>
  <c r="A331" i="27"/>
  <c r="A332" i="27" s="1"/>
  <c r="A327" i="27"/>
  <c r="A329" i="27" s="1"/>
  <c r="A335" i="27" s="1"/>
  <c r="A244" i="27" s="1"/>
  <c r="A325" i="27"/>
  <c r="A330" i="27"/>
  <c r="A333" i="27"/>
  <c r="A334" i="27" s="1"/>
  <c r="N20" i="12"/>
  <c r="N37" i="12"/>
  <c r="D33" i="2"/>
  <c r="D55" i="2"/>
  <c r="D16" i="2"/>
  <c r="J33" i="2"/>
  <c r="J16" i="2"/>
  <c r="J55" i="2"/>
  <c r="E43" i="10"/>
  <c r="E44" i="10"/>
  <c r="E49" i="10" s="1"/>
  <c r="E9" i="10" s="1"/>
  <c r="E7" i="25" s="1"/>
  <c r="D27" i="12"/>
  <c r="E20" i="12"/>
  <c r="E37" i="12"/>
  <c r="H37" i="12"/>
  <c r="H20" i="12"/>
  <c r="J44" i="10"/>
  <c r="J49" i="10" s="1"/>
  <c r="J43" i="10"/>
  <c r="E22" i="10"/>
  <c r="E21" i="10"/>
  <c r="E24" i="10"/>
  <c r="M21" i="10"/>
  <c r="M24" i="10"/>
  <c r="M22" i="10"/>
  <c r="F24" i="10"/>
  <c r="F22" i="10"/>
  <c r="F21" i="10"/>
  <c r="C22" i="10"/>
  <c r="C24" i="10"/>
  <c r="C21" i="10"/>
  <c r="C257" i="27"/>
  <c r="C254" i="27"/>
  <c r="C255" i="27"/>
  <c r="K70" i="10"/>
  <c r="K68" i="10"/>
  <c r="K69" i="10"/>
  <c r="B68" i="10"/>
  <c r="B69" i="10"/>
  <c r="B70" i="10"/>
  <c r="I66" i="10"/>
  <c r="I67" i="10" s="1"/>
  <c r="D69" i="10"/>
  <c r="D70" i="10"/>
  <c r="D68" i="10"/>
  <c r="E297" i="27"/>
  <c r="E298" i="27"/>
  <c r="E299" i="27"/>
  <c r="D295" i="27"/>
  <c r="D296" i="27" s="1"/>
  <c r="C295" i="27"/>
  <c r="C296" i="27" s="1"/>
  <c r="I105" i="10"/>
  <c r="I108" i="10"/>
  <c r="I109" i="10" s="1"/>
  <c r="I106" i="10"/>
  <c r="I107" i="10" s="1"/>
  <c r="I100" i="10"/>
  <c r="I102" i="10"/>
  <c r="I104" i="10" s="1"/>
  <c r="K299" i="27"/>
  <c r="K301" i="27"/>
  <c r="K302" i="27"/>
  <c r="E130" i="10"/>
  <c r="E133" i="10"/>
  <c r="E132" i="10"/>
  <c r="D119" i="33"/>
  <c r="D95" i="33"/>
  <c r="B119" i="33"/>
  <c r="G178" i="33"/>
  <c r="G130" i="10"/>
  <c r="G133" i="10"/>
  <c r="G132" i="10"/>
  <c r="F132" i="10"/>
  <c r="F130" i="10"/>
  <c r="F133" i="10"/>
  <c r="E107" i="33"/>
  <c r="G89" i="8"/>
  <c r="G143" i="8"/>
  <c r="B132" i="10"/>
  <c r="B130" i="10"/>
  <c r="B133" i="10"/>
  <c r="F95" i="33"/>
  <c r="F85" i="33"/>
  <c r="G180" i="33"/>
  <c r="K72" i="8"/>
  <c r="K83" i="8" s="1"/>
  <c r="I96" i="33"/>
  <c r="I97" i="33"/>
  <c r="L143" i="8"/>
  <c r="D84" i="8"/>
  <c r="H84" i="8"/>
  <c r="E72" i="8"/>
  <c r="E87" i="8" s="1"/>
  <c r="I126" i="33"/>
  <c r="I164" i="33" s="1"/>
  <c r="H72" i="8"/>
  <c r="H88" i="8" s="1"/>
  <c r="F143" i="8"/>
  <c r="F89" i="8"/>
  <c r="F119" i="8"/>
  <c r="F87" i="8"/>
  <c r="J119" i="8"/>
  <c r="J87" i="8"/>
  <c r="L57" i="8"/>
  <c r="B82" i="8"/>
  <c r="L138" i="8"/>
  <c r="L165" i="8" s="1"/>
  <c r="K10" i="6"/>
  <c r="K12" i="23" s="1"/>
  <c r="K50" i="2"/>
  <c r="N98" i="8"/>
  <c r="N99" i="8"/>
  <c r="N102" i="8" s="1"/>
  <c r="N162" i="8" s="1"/>
  <c r="N100" i="8"/>
  <c r="N101" i="8"/>
  <c r="M124" i="8"/>
  <c r="M125" i="8"/>
  <c r="M122" i="8"/>
  <c r="M123" i="8"/>
  <c r="L125" i="8"/>
  <c r="L122" i="8"/>
  <c r="L123" i="8"/>
  <c r="L126" i="8" s="1"/>
  <c r="L164" i="8" s="1"/>
  <c r="L124" i="8"/>
  <c r="G111" i="8"/>
  <c r="G110" i="8"/>
  <c r="G112" i="8"/>
  <c r="G113" i="8"/>
  <c r="G134" i="8"/>
  <c r="G135" i="8"/>
  <c r="G136" i="8"/>
  <c r="G137" i="8"/>
  <c r="N147" i="8"/>
  <c r="N148" i="8"/>
  <c r="N149" i="8"/>
  <c r="N146" i="8"/>
  <c r="J135" i="8"/>
  <c r="J138" i="8" s="1"/>
  <c r="J165" i="8" s="1"/>
  <c r="J136" i="8"/>
  <c r="J137" i="8"/>
  <c r="J134" i="8"/>
  <c r="M110" i="8"/>
  <c r="M112" i="8"/>
  <c r="M113" i="8"/>
  <c r="M111" i="8"/>
  <c r="D153" i="27"/>
  <c r="D155" i="27"/>
  <c r="D154" i="27"/>
  <c r="D152" i="27"/>
  <c r="D165" i="27"/>
  <c r="D167" i="27"/>
  <c r="D164" i="27"/>
  <c r="D166" i="27"/>
  <c r="J38" i="4"/>
  <c r="J39" i="4"/>
  <c r="J40" i="4"/>
  <c r="J37" i="4"/>
  <c r="M10" i="4"/>
  <c r="L7" i="23" s="1"/>
  <c r="L46" i="2"/>
  <c r="C62" i="4"/>
  <c r="C65" i="4" s="1"/>
  <c r="C63" i="4"/>
  <c r="C64" i="4"/>
  <c r="C61" i="4"/>
  <c r="A34" i="27"/>
  <c r="A31" i="27"/>
  <c r="A32" i="27"/>
  <c r="A33" i="27"/>
  <c r="H113" i="8"/>
  <c r="H111" i="8"/>
  <c r="H114" i="8" s="1"/>
  <c r="H163" i="8" s="1"/>
  <c r="H110" i="8"/>
  <c r="H112" i="8"/>
  <c r="N25" i="6"/>
  <c r="N26" i="6"/>
  <c r="N27" i="6"/>
  <c r="N24" i="6"/>
  <c r="H42" i="6"/>
  <c r="H45" i="6" s="1"/>
  <c r="H43" i="6"/>
  <c r="H44" i="6"/>
  <c r="H41" i="6"/>
  <c r="K53" i="4"/>
  <c r="O12" i="4"/>
  <c r="N9" i="23" s="1"/>
  <c r="N48" i="2"/>
  <c r="A30" i="27"/>
  <c r="E30" i="27"/>
  <c r="E35" i="27" s="1"/>
  <c r="E4" i="27" s="1"/>
  <c r="B30" i="27"/>
  <c r="B35" i="27" s="1"/>
  <c r="B4" i="27" s="1"/>
  <c r="C30" i="27"/>
  <c r="D30" i="27"/>
  <c r="D36" i="4"/>
  <c r="H36" i="4"/>
  <c r="L36" i="4"/>
  <c r="L41" i="4" s="1"/>
  <c r="F36" i="4"/>
  <c r="F41" i="4" s="1"/>
  <c r="J36" i="4"/>
  <c r="J41" i="4" s="1"/>
  <c r="C36" i="4"/>
  <c r="C41" i="4" s="1"/>
  <c r="G36" i="4"/>
  <c r="G41" i="4" s="1"/>
  <c r="K36" i="4"/>
  <c r="K41" i="4" s="1"/>
  <c r="O36" i="4"/>
  <c r="O41" i="4" s="1"/>
  <c r="K138" i="8"/>
  <c r="K165" i="8" s="1"/>
  <c r="J10" i="6"/>
  <c r="J12" i="23" s="1"/>
  <c r="J50" i="2"/>
  <c r="G76" i="4"/>
  <c r="F18" i="23" s="1"/>
  <c r="M52" i="4"/>
  <c r="M49" i="4"/>
  <c r="M50" i="4"/>
  <c r="M51" i="4"/>
  <c r="H49" i="4"/>
  <c r="H50" i="4"/>
  <c r="H51" i="4"/>
  <c r="H52" i="4"/>
  <c r="G50" i="4"/>
  <c r="G53" i="4" s="1"/>
  <c r="G51" i="4"/>
  <c r="G52" i="4"/>
  <c r="G49" i="4"/>
  <c r="F51" i="4"/>
  <c r="F52" i="4"/>
  <c r="F49" i="4"/>
  <c r="F50" i="4"/>
  <c r="D44" i="27"/>
  <c r="D47" i="27" s="1"/>
  <c r="D5" i="27" s="1"/>
  <c r="D45" i="27"/>
  <c r="D46" i="27"/>
  <c r="D43" i="27"/>
  <c r="G28" i="6"/>
  <c r="D28" i="6"/>
  <c r="F76" i="4"/>
  <c r="E18" i="23" s="1"/>
  <c r="N76" i="4"/>
  <c r="M18" i="23" s="1"/>
  <c r="B151" i="27"/>
  <c r="B150" i="27"/>
  <c r="E173" i="27"/>
  <c r="E204" i="27"/>
  <c r="E220" i="27" s="1"/>
  <c r="B276" i="27"/>
  <c r="B277" i="27"/>
  <c r="B282" i="27" s="1"/>
  <c r="B242" i="27" s="1"/>
  <c r="D321" i="27"/>
  <c r="D324" i="27"/>
  <c r="D326" i="27"/>
  <c r="B325" i="27"/>
  <c r="B330" i="27"/>
  <c r="B331" i="27"/>
  <c r="B332" i="27" s="1"/>
  <c r="B333" i="27"/>
  <c r="B334" i="27" s="1"/>
  <c r="B327" i="27"/>
  <c r="B329" i="27" s="1"/>
  <c r="B335" i="27" s="1"/>
  <c r="B244" i="27" s="1"/>
  <c r="C196" i="18"/>
  <c r="C199" i="18"/>
  <c r="G299" i="27"/>
  <c r="G301" i="27"/>
  <c r="G302" i="27"/>
  <c r="I16" i="2"/>
  <c r="I55" i="2"/>
  <c r="I33" i="2"/>
  <c r="K9" i="16"/>
  <c r="K19" i="16"/>
  <c r="F33" i="2"/>
  <c r="F16" i="2"/>
  <c r="F55" i="2"/>
  <c r="I43" i="10"/>
  <c r="I44" i="10"/>
  <c r="I49" i="10" s="1"/>
  <c r="I9" i="10" s="1"/>
  <c r="I7" i="25" s="1"/>
  <c r="C27" i="12"/>
  <c r="D37" i="12"/>
  <c r="D20" i="12"/>
  <c r="N44" i="10"/>
  <c r="N49" i="10" s="1"/>
  <c r="N9" i="10" s="1"/>
  <c r="M7" i="25" s="1"/>
  <c r="N43" i="10"/>
  <c r="E198" i="18"/>
  <c r="E197" i="18"/>
  <c r="H100" i="10"/>
  <c r="H102" i="10"/>
  <c r="H104" i="10" s="1"/>
  <c r="H105" i="10"/>
  <c r="H106" i="10"/>
  <c r="H107" i="10" s="1"/>
  <c r="H108" i="10"/>
  <c r="H109" i="10" s="1"/>
  <c r="B100" i="10"/>
  <c r="B102" i="10"/>
  <c r="B104" i="10" s="1"/>
  <c r="B105" i="10"/>
  <c r="B108" i="10"/>
  <c r="B109" i="10" s="1"/>
  <c r="B106" i="10"/>
  <c r="B107" i="10" s="1"/>
  <c r="N24" i="10"/>
  <c r="N21" i="10"/>
  <c r="N22" i="10"/>
  <c r="H21" i="10"/>
  <c r="H24" i="10"/>
  <c r="H22" i="10"/>
  <c r="O21" i="10"/>
  <c r="O22" i="10"/>
  <c r="O24" i="10"/>
  <c r="E254" i="27"/>
  <c r="E257" i="27"/>
  <c r="E255" i="27"/>
  <c r="B254" i="27"/>
  <c r="B257" i="27"/>
  <c r="B255" i="27"/>
  <c r="C100" i="10"/>
  <c r="C102" i="10"/>
  <c r="C104" i="10" s="1"/>
  <c r="C106" i="10"/>
  <c r="C107" i="10" s="1"/>
  <c r="C105" i="10"/>
  <c r="C108" i="10"/>
  <c r="C109" i="10" s="1"/>
  <c r="G70" i="10"/>
  <c r="G68" i="10"/>
  <c r="G69" i="10"/>
  <c r="N68" i="10"/>
  <c r="N69" i="10"/>
  <c r="N70" i="10"/>
  <c r="E66" i="10"/>
  <c r="E67" i="10" s="1"/>
  <c r="B299" i="27"/>
  <c r="B297" i="27"/>
  <c r="B298" i="27"/>
  <c r="A297" i="27"/>
  <c r="A298" i="27"/>
  <c r="A299" i="27"/>
  <c r="F108" i="10"/>
  <c r="F109" i="10" s="1"/>
  <c r="F100" i="10"/>
  <c r="F102" i="10"/>
  <c r="F104" i="10" s="1"/>
  <c r="F106" i="10"/>
  <c r="F107" i="10" s="1"/>
  <c r="F105" i="10"/>
  <c r="E105" i="10"/>
  <c r="E108" i="10"/>
  <c r="E109" i="10" s="1"/>
  <c r="E100" i="10"/>
  <c r="E102" i="10"/>
  <c r="E104" i="10" s="1"/>
  <c r="E110" i="10" s="1"/>
  <c r="E11" i="10" s="1"/>
  <c r="E9" i="25" s="1"/>
  <c r="E106" i="10"/>
  <c r="E107" i="10" s="1"/>
  <c r="B72" i="33"/>
  <c r="G82" i="33"/>
  <c r="G86" i="33"/>
  <c r="G79" i="33"/>
  <c r="G83" i="33"/>
  <c r="G88" i="33"/>
  <c r="G80" i="33"/>
  <c r="G84" i="33"/>
  <c r="E72" i="33"/>
  <c r="I107" i="33"/>
  <c r="H100" i="33"/>
  <c r="H101" i="33"/>
  <c r="H98" i="33"/>
  <c r="H99" i="33"/>
  <c r="H102" i="33" s="1"/>
  <c r="H162" i="33" s="1"/>
  <c r="K89" i="8"/>
  <c r="K143" i="8"/>
  <c r="H130" i="10"/>
  <c r="H133" i="10"/>
  <c r="H132" i="10"/>
  <c r="F84" i="33"/>
  <c r="K130" i="10"/>
  <c r="K133" i="10"/>
  <c r="K132" i="10"/>
  <c r="B108" i="33"/>
  <c r="B109" i="33"/>
  <c r="D111" i="33"/>
  <c r="D114" i="33" s="1"/>
  <c r="D163" i="33" s="1"/>
  <c r="D110" i="33"/>
  <c r="D113" i="33"/>
  <c r="D112" i="33"/>
  <c r="D89" i="8"/>
  <c r="D143" i="8"/>
  <c r="H89" i="8"/>
  <c r="H143" i="8"/>
  <c r="E88" i="8"/>
  <c r="E131" i="8"/>
  <c r="I131" i="8"/>
  <c r="G83" i="8"/>
  <c r="B79" i="8"/>
  <c r="B80" i="8"/>
  <c r="B88" i="8"/>
  <c r="B78" i="8"/>
  <c r="B89" i="8"/>
  <c r="J79" i="8"/>
  <c r="J88" i="8"/>
  <c r="J78" i="8"/>
  <c r="J80" i="8"/>
  <c r="J89" i="8"/>
  <c r="F85" i="8"/>
  <c r="F95" i="8"/>
  <c r="L72" i="8"/>
  <c r="B96" i="8"/>
  <c r="B97" i="8"/>
  <c r="L114" i="8"/>
  <c r="L163" i="8" s="1"/>
  <c r="F83" i="8"/>
  <c r="J83" i="8"/>
  <c r="B119" i="8"/>
  <c r="B87" i="8"/>
  <c r="B84" i="8"/>
  <c r="J84" i="8"/>
  <c r="E85" i="8"/>
  <c r="E95" i="8"/>
  <c r="M95" i="8"/>
  <c r="M85" i="8"/>
  <c r="K114" i="8"/>
  <c r="K163" i="8" s="1"/>
  <c r="E148" i="8"/>
  <c r="E149" i="8"/>
  <c r="E146" i="8"/>
  <c r="E147" i="8"/>
  <c r="E150" i="8" s="1"/>
  <c r="E166" i="8" s="1"/>
  <c r="M53" i="4"/>
  <c r="K102" i="8"/>
  <c r="K162" i="8" s="1"/>
  <c r="M136" i="8"/>
  <c r="M137" i="8"/>
  <c r="M134" i="8"/>
  <c r="M135" i="8"/>
  <c r="M138" i="8" s="1"/>
  <c r="M165" i="8" s="1"/>
  <c r="H125" i="8"/>
  <c r="H122" i="8"/>
  <c r="H123" i="8"/>
  <c r="H124" i="8"/>
  <c r="K101" i="8"/>
  <c r="K98" i="8"/>
  <c r="K99" i="8"/>
  <c r="K100" i="8"/>
  <c r="K122" i="8"/>
  <c r="K123" i="8"/>
  <c r="K124" i="8"/>
  <c r="K125" i="8"/>
  <c r="J147" i="8"/>
  <c r="J150" i="8" s="1"/>
  <c r="J166" i="8" s="1"/>
  <c r="J148" i="8"/>
  <c r="J149" i="8"/>
  <c r="J146" i="8"/>
  <c r="F135" i="8"/>
  <c r="F138" i="8" s="1"/>
  <c r="F165" i="8" s="1"/>
  <c r="F136" i="8"/>
  <c r="F137" i="8"/>
  <c r="F134" i="8"/>
  <c r="I110" i="8"/>
  <c r="I112" i="8"/>
  <c r="I113" i="8"/>
  <c r="I111" i="8"/>
  <c r="B179" i="27"/>
  <c r="B176" i="27"/>
  <c r="B177" i="27"/>
  <c r="B178" i="27"/>
  <c r="D201" i="27"/>
  <c r="D202" i="27"/>
  <c r="D203" i="27"/>
  <c r="D200" i="27"/>
  <c r="J28" i="6"/>
  <c r="N38" i="4"/>
  <c r="N39" i="4"/>
  <c r="N40" i="4"/>
  <c r="N37" i="4"/>
  <c r="F53" i="4"/>
  <c r="G62" i="4"/>
  <c r="G63" i="4"/>
  <c r="G64" i="4"/>
  <c r="G61" i="4"/>
  <c r="C32" i="27"/>
  <c r="C33" i="27"/>
  <c r="C34" i="27"/>
  <c r="C31" i="27"/>
  <c r="H121" i="8"/>
  <c r="D204" i="27"/>
  <c r="D220" i="27" s="1"/>
  <c r="B25" i="6"/>
  <c r="B28" i="6" s="1"/>
  <c r="B26" i="6"/>
  <c r="B27" i="6"/>
  <c r="B24" i="6"/>
  <c r="L42" i="6"/>
  <c r="L45" i="6" s="1"/>
  <c r="L43" i="6"/>
  <c r="L44" i="6"/>
  <c r="L41" i="6"/>
  <c r="I78" i="4"/>
  <c r="H19" i="23" s="1"/>
  <c r="G138" i="8"/>
  <c r="G165" i="8" s="1"/>
  <c r="N10" i="6"/>
  <c r="N12" i="23" s="1"/>
  <c r="N50" i="2"/>
  <c r="H53" i="4"/>
  <c r="I52" i="4"/>
  <c r="I49" i="4"/>
  <c r="I50" i="4"/>
  <c r="I53" i="4" s="1"/>
  <c r="I51" i="4"/>
  <c r="D49" i="4"/>
  <c r="D50" i="4"/>
  <c r="D53" i="4" s="1"/>
  <c r="D51" i="4"/>
  <c r="D52" i="4"/>
  <c r="C50" i="4"/>
  <c r="C53" i="4" s="1"/>
  <c r="C51" i="4"/>
  <c r="C52" i="4"/>
  <c r="C49" i="4"/>
  <c r="B46" i="27"/>
  <c r="B43" i="27"/>
  <c r="B44" i="27"/>
  <c r="B45" i="27"/>
  <c r="C45" i="27"/>
  <c r="C46" i="27"/>
  <c r="C43" i="27"/>
  <c r="C44" i="27"/>
  <c r="C47" i="27" s="1"/>
  <c r="C5" i="27" s="1"/>
  <c r="K28" i="6"/>
  <c r="M9" i="6"/>
  <c r="M49" i="2"/>
  <c r="N36" i="4"/>
  <c r="N41" i="4" s="1"/>
  <c r="C138" i="27"/>
  <c r="D156" i="27"/>
  <c r="D216" i="27" s="1"/>
  <c r="A185" i="27"/>
  <c r="C141" i="27"/>
  <c r="C173" i="27"/>
  <c r="A126" i="27"/>
  <c r="A137" i="27" s="1"/>
  <c r="E136" i="27"/>
  <c r="E126" i="27"/>
  <c r="D31" i="27"/>
  <c r="D32" i="27"/>
  <c r="D33" i="27"/>
  <c r="D34" i="27"/>
  <c r="A197" i="27"/>
  <c r="A141" i="27"/>
  <c r="A173" i="27"/>
  <c r="E149" i="27"/>
  <c r="E137" i="27"/>
  <c r="B204" i="27"/>
  <c r="B220" i="27" s="1"/>
  <c r="H298" i="27"/>
  <c r="H300" i="27"/>
  <c r="E331" i="27"/>
  <c r="E332" i="27" s="1"/>
  <c r="E327" i="27"/>
  <c r="E329" i="27" s="1"/>
  <c r="E325" i="27"/>
  <c r="E330" i="27"/>
  <c r="E333" i="27"/>
  <c r="E334" i="27" s="1"/>
  <c r="C36" i="12"/>
  <c r="C17" i="25" s="1"/>
  <c r="E16" i="2"/>
  <c r="E33" i="2"/>
  <c r="E55" i="2"/>
  <c r="G16" i="2"/>
  <c r="G33" i="2"/>
  <c r="G55" i="2"/>
  <c r="B33" i="2"/>
  <c r="B16" i="2"/>
  <c r="B55" i="2"/>
  <c r="M43" i="10"/>
  <c r="M44" i="10"/>
  <c r="M49" i="10" s="1"/>
  <c r="M9" i="10" s="1"/>
  <c r="L7" i="25" s="1"/>
  <c r="B20" i="12"/>
  <c r="B37" i="12"/>
  <c r="M20" i="12"/>
  <c r="M37" i="12"/>
  <c r="B44" i="10"/>
  <c r="B49" i="10" s="1"/>
  <c r="B9" i="10" s="1"/>
  <c r="B7" i="25" s="1"/>
  <c r="B43" i="10"/>
  <c r="E202" i="18"/>
  <c r="E201" i="18"/>
  <c r="E200" i="18"/>
  <c r="E203" i="18"/>
  <c r="T104" i="10"/>
  <c r="T117" i="10"/>
  <c r="T130" i="10"/>
  <c r="T132" i="10" s="1"/>
  <c r="P96" i="10"/>
  <c r="J100" i="10"/>
  <c r="J102" i="10"/>
  <c r="J104" i="10" s="1"/>
  <c r="J110" i="10" s="1"/>
  <c r="J11" i="10" s="1"/>
  <c r="J9" i="25" s="1"/>
  <c r="J108" i="10"/>
  <c r="J109" i="10" s="1"/>
  <c r="J106" i="10"/>
  <c r="J107" i="10" s="1"/>
  <c r="J105" i="10"/>
  <c r="I21" i="10"/>
  <c r="I24" i="10"/>
  <c r="I22" i="10"/>
  <c r="B24" i="10"/>
  <c r="B21" i="10"/>
  <c r="B22" i="10"/>
  <c r="K22" i="10"/>
  <c r="K24" i="10"/>
  <c r="K21" i="10"/>
  <c r="A254" i="27"/>
  <c r="A255" i="27"/>
  <c r="A257" i="27"/>
  <c r="K100" i="10"/>
  <c r="K102" i="10"/>
  <c r="K104" i="10" s="1"/>
  <c r="K110" i="10" s="1"/>
  <c r="K11" i="10" s="1"/>
  <c r="K106" i="10"/>
  <c r="K107" i="10" s="1"/>
  <c r="K108" i="10"/>
  <c r="K109" i="10" s="1"/>
  <c r="K105" i="10"/>
  <c r="C70" i="10"/>
  <c r="C68" i="10"/>
  <c r="C69" i="10"/>
  <c r="J68" i="10"/>
  <c r="J69" i="10"/>
  <c r="J70" i="10"/>
  <c r="L66" i="10"/>
  <c r="L67" i="10" s="1"/>
  <c r="H119" i="33"/>
  <c r="H87" i="33"/>
  <c r="N106" i="10"/>
  <c r="N107" i="10" s="1"/>
  <c r="N105" i="10"/>
  <c r="N100" i="10"/>
  <c r="N102" i="10"/>
  <c r="N104" i="10" s="1"/>
  <c r="N110" i="10" s="1"/>
  <c r="N11" i="10" s="1"/>
  <c r="M9" i="25" s="1"/>
  <c r="N108" i="10"/>
  <c r="N109" i="10" s="1"/>
  <c r="N132" i="10"/>
  <c r="N130" i="10"/>
  <c r="N133" i="10"/>
  <c r="B95" i="33"/>
  <c r="B85" i="33"/>
  <c r="G89" i="33"/>
  <c r="C130" i="10"/>
  <c r="C133" i="10"/>
  <c r="C132" i="10"/>
  <c r="O130" i="10"/>
  <c r="O133" i="10"/>
  <c r="O132" i="10"/>
  <c r="E95" i="33"/>
  <c r="E85" i="33"/>
  <c r="I72" i="33"/>
  <c r="I82" i="33" s="1"/>
  <c r="D72" i="33"/>
  <c r="D89" i="33" s="1"/>
  <c r="G81" i="33"/>
  <c r="G90" i="33" s="1"/>
  <c r="G85" i="33"/>
  <c r="H114" i="33"/>
  <c r="H163" i="33" s="1"/>
  <c r="M130" i="10"/>
  <c r="M133" i="10"/>
  <c r="M132" i="10"/>
  <c r="I130" i="10"/>
  <c r="I133" i="10"/>
  <c r="I132" i="10"/>
  <c r="F87" i="33"/>
  <c r="F119" i="33"/>
  <c r="G179" i="33"/>
  <c r="H146" i="33"/>
  <c r="H147" i="33"/>
  <c r="H150" i="33" s="1"/>
  <c r="H166" i="33" s="1"/>
  <c r="H148" i="33"/>
  <c r="H149" i="33"/>
  <c r="J132" i="10"/>
  <c r="J130" i="10"/>
  <c r="J133" i="10"/>
  <c r="F88" i="33"/>
  <c r="F131" i="33"/>
  <c r="H138" i="33"/>
  <c r="H165" i="33" s="1"/>
  <c r="D85" i="8"/>
  <c r="D95" i="8"/>
  <c r="H85" i="8"/>
  <c r="H95" i="8"/>
  <c r="E84" i="8"/>
  <c r="I84" i="8"/>
  <c r="N81" i="8"/>
  <c r="I72" i="8"/>
  <c r="I87" i="8" s="1"/>
  <c r="L102" i="8"/>
  <c r="L162" i="8" s="1"/>
  <c r="M126" i="8"/>
  <c r="M164" i="8" s="1"/>
  <c r="M17" i="24"/>
  <c r="F86" i="8"/>
  <c r="F107" i="8"/>
  <c r="J86" i="8"/>
  <c r="J107" i="8"/>
  <c r="B83" i="8"/>
  <c r="B163" i="27"/>
  <c r="B168" i="27" s="1"/>
  <c r="B217" i="27" s="1"/>
  <c r="D163" i="27"/>
  <c r="D168" i="27" s="1"/>
  <c r="D217" i="27" s="1"/>
  <c r="E109" i="8"/>
  <c r="I109" i="8"/>
  <c r="I114" i="8" s="1"/>
  <c r="I163" i="8" s="1"/>
  <c r="M109" i="8"/>
  <c r="M114" i="8" s="1"/>
  <c r="M163" i="8" s="1"/>
  <c r="N109" i="8"/>
  <c r="N114" i="8" s="1"/>
  <c r="N163" i="8" s="1"/>
  <c r="J63" i="4"/>
  <c r="J64" i="4"/>
  <c r="J61" i="4"/>
  <c r="J62" i="4"/>
  <c r="J65" i="4" s="1"/>
  <c r="G109" i="8"/>
  <c r="G114" i="8" s="1"/>
  <c r="G163" i="8" s="1"/>
  <c r="I148" i="8"/>
  <c r="I149" i="8"/>
  <c r="I146" i="8"/>
  <c r="I147" i="8"/>
  <c r="I150" i="8" s="1"/>
  <c r="I166" i="8" s="1"/>
  <c r="D125" i="8"/>
  <c r="D122" i="8"/>
  <c r="D123" i="8"/>
  <c r="D126" i="8" s="1"/>
  <c r="D164" i="8" s="1"/>
  <c r="D124" i="8"/>
  <c r="G101" i="8"/>
  <c r="G98" i="8"/>
  <c r="G99" i="8"/>
  <c r="G102" i="8" s="1"/>
  <c r="G162" i="8" s="1"/>
  <c r="G100" i="8"/>
  <c r="G122" i="8"/>
  <c r="G123" i="8"/>
  <c r="G124" i="8"/>
  <c r="G125" i="8"/>
  <c r="B147" i="8"/>
  <c r="B150" i="8" s="1"/>
  <c r="B166" i="8" s="1"/>
  <c r="B148" i="8"/>
  <c r="B149" i="8"/>
  <c r="B146" i="8"/>
  <c r="B135" i="8"/>
  <c r="B138" i="8" s="1"/>
  <c r="B165" i="8" s="1"/>
  <c r="B136" i="8"/>
  <c r="B137" i="8"/>
  <c r="B134" i="8"/>
  <c r="E110" i="8"/>
  <c r="E112" i="8"/>
  <c r="E113" i="8"/>
  <c r="E111" i="8"/>
  <c r="B167" i="27"/>
  <c r="B165" i="27"/>
  <c r="B164" i="27"/>
  <c r="B166" i="27"/>
  <c r="D189" i="27"/>
  <c r="D190" i="27"/>
  <c r="D191" i="27"/>
  <c r="D192" i="27" s="1"/>
  <c r="D219" i="27" s="1"/>
  <c r="D188" i="27"/>
  <c r="N28" i="6"/>
  <c r="D45" i="6"/>
  <c r="E10" i="4"/>
  <c r="D7" i="23" s="1"/>
  <c r="D46" i="2"/>
  <c r="J53" i="4"/>
  <c r="K62" i="4"/>
  <c r="K65" i="4" s="1"/>
  <c r="K63" i="4"/>
  <c r="K64" i="4"/>
  <c r="K61" i="4"/>
  <c r="E47" i="27"/>
  <c r="E5" i="27" s="1"/>
  <c r="B47" i="27"/>
  <c r="B5" i="27" s="1"/>
  <c r="N150" i="8"/>
  <c r="N166" i="8" s="1"/>
  <c r="F25" i="6"/>
  <c r="F28" i="6" s="1"/>
  <c r="F26" i="6"/>
  <c r="F27" i="6"/>
  <c r="F24" i="6"/>
  <c r="D61" i="4"/>
  <c r="D62" i="4"/>
  <c r="D63" i="4"/>
  <c r="D64" i="4"/>
  <c r="N138" i="8"/>
  <c r="N165" i="8" s="1"/>
  <c r="B10" i="6"/>
  <c r="B12" i="23" s="1"/>
  <c r="B50" i="2"/>
  <c r="H40" i="4"/>
  <c r="H37" i="4"/>
  <c r="H38" i="4"/>
  <c r="H39" i="4"/>
  <c r="L53" i="4"/>
  <c r="J76" i="4"/>
  <c r="I18" i="23" s="1"/>
  <c r="E52" i="4"/>
  <c r="E49" i="4"/>
  <c r="E50" i="4"/>
  <c r="E53" i="4" s="1"/>
  <c r="E51" i="4"/>
  <c r="O50" i="4"/>
  <c r="O53" i="4" s="1"/>
  <c r="O51" i="4"/>
  <c r="O52" i="4"/>
  <c r="O49" i="4"/>
  <c r="N51" i="4"/>
  <c r="N52" i="4"/>
  <c r="N49" i="4"/>
  <c r="N50" i="4"/>
  <c r="N53" i="4" s="1"/>
  <c r="E43" i="27"/>
  <c r="E44" i="27"/>
  <c r="E45" i="27"/>
  <c r="E46" i="27"/>
  <c r="L9" i="6"/>
  <c r="L49" i="2"/>
  <c r="I9" i="6"/>
  <c r="I49" i="2"/>
  <c r="N8" i="35" l="1"/>
  <c r="E17" i="24"/>
  <c r="G11" i="4"/>
  <c r="F8" i="23" s="1"/>
  <c r="F47" i="2"/>
  <c r="H14" i="24"/>
  <c r="N11" i="4"/>
  <c r="M8" i="23" s="1"/>
  <c r="M47" i="2"/>
  <c r="B16" i="24"/>
  <c r="H181" i="33"/>
  <c r="E11" i="4"/>
  <c r="D8" i="23" s="1"/>
  <c r="D47" i="2"/>
  <c r="I17" i="24"/>
  <c r="L10" i="6"/>
  <c r="L12" i="23" s="1"/>
  <c r="L50" i="2"/>
  <c r="B9" i="6"/>
  <c r="B49" i="2"/>
  <c r="F16" i="24"/>
  <c r="J17" i="24"/>
  <c r="H10" i="6"/>
  <c r="H12" i="23" s="1"/>
  <c r="H50" i="2"/>
  <c r="L15" i="24"/>
  <c r="O11" i="4"/>
  <c r="N8" i="23" s="1"/>
  <c r="N47" i="2"/>
  <c r="F9" i="6"/>
  <c r="F49" i="2"/>
  <c r="B17" i="24"/>
  <c r="G13" i="24"/>
  <c r="D15" i="24"/>
  <c r="I11" i="4"/>
  <c r="H8" i="23" s="1"/>
  <c r="H47" i="2"/>
  <c r="M16" i="24"/>
  <c r="H167" i="33"/>
  <c r="H179" i="33" s="1"/>
  <c r="H177" i="33"/>
  <c r="N13" i="24"/>
  <c r="D11" i="4"/>
  <c r="C8" i="23" s="1"/>
  <c r="C47" i="2"/>
  <c r="J16" i="24"/>
  <c r="G14" i="24"/>
  <c r="M14" i="24"/>
  <c r="F132" i="33"/>
  <c r="F133" i="33"/>
  <c r="I138" i="10"/>
  <c r="I12" i="10" s="1"/>
  <c r="I10" i="25" s="1"/>
  <c r="M134" i="10"/>
  <c r="M136" i="10"/>
  <c r="M135" i="10"/>
  <c r="M137" i="10"/>
  <c r="N134" i="10"/>
  <c r="N136" i="10"/>
  <c r="N135" i="10"/>
  <c r="N137" i="10"/>
  <c r="C74" i="10"/>
  <c r="C71" i="10"/>
  <c r="C72" i="10"/>
  <c r="C73" i="10"/>
  <c r="I25" i="10"/>
  <c r="I26" i="10"/>
  <c r="I27" i="10"/>
  <c r="I28" i="10"/>
  <c r="E335" i="27"/>
  <c r="E244" i="27" s="1"/>
  <c r="A174" i="27"/>
  <c r="A175" i="27"/>
  <c r="E133" i="27"/>
  <c r="E134" i="27"/>
  <c r="E135" i="27"/>
  <c r="E143" i="27"/>
  <c r="E132" i="27"/>
  <c r="C174" i="27"/>
  <c r="C175" i="27"/>
  <c r="K9" i="6"/>
  <c r="K49" i="2"/>
  <c r="C11" i="4"/>
  <c r="B8" i="23" s="1"/>
  <c r="B47" i="2"/>
  <c r="G16" i="24"/>
  <c r="F11" i="4"/>
  <c r="E8" i="23" s="1"/>
  <c r="E47" i="2"/>
  <c r="J9" i="6"/>
  <c r="J49" i="2"/>
  <c r="E96" i="8"/>
  <c r="E97" i="8"/>
  <c r="L79" i="8"/>
  <c r="L78" i="8"/>
  <c r="L80" i="8"/>
  <c r="L82" i="8"/>
  <c r="L88" i="8"/>
  <c r="L85" i="8"/>
  <c r="L81" i="8"/>
  <c r="L86" i="8"/>
  <c r="L84" i="8"/>
  <c r="L87" i="8"/>
  <c r="L83" i="8"/>
  <c r="E132" i="8"/>
  <c r="E133" i="8"/>
  <c r="D145" i="8"/>
  <c r="D144" i="8"/>
  <c r="E79" i="33"/>
  <c r="E80" i="33"/>
  <c r="E81" i="33"/>
  <c r="E78" i="33"/>
  <c r="E89" i="33"/>
  <c r="E83" i="33"/>
  <c r="E87" i="33"/>
  <c r="E68" i="10"/>
  <c r="E69" i="10"/>
  <c r="E70" i="10"/>
  <c r="H110" i="10"/>
  <c r="H11" i="10" s="1"/>
  <c r="H9" i="25" s="1"/>
  <c r="E174" i="27"/>
  <c r="E175" i="27"/>
  <c r="K16" i="24"/>
  <c r="C10" i="4"/>
  <c r="B7" i="23" s="1"/>
  <c r="B46" i="2"/>
  <c r="H41" i="4"/>
  <c r="J120" i="8"/>
  <c r="J121" i="8"/>
  <c r="K82" i="8"/>
  <c r="F96" i="33"/>
  <c r="F97" i="33"/>
  <c r="G144" i="8"/>
  <c r="G145" i="8"/>
  <c r="E84" i="33"/>
  <c r="D96" i="33"/>
  <c r="D97" i="33"/>
  <c r="D298" i="27"/>
  <c r="D297" i="27"/>
  <c r="D299" i="27"/>
  <c r="B71" i="10"/>
  <c r="B72" i="10"/>
  <c r="B75" i="10" s="1"/>
  <c r="B10" i="10" s="1"/>
  <c r="B8" i="25" s="1"/>
  <c r="B73" i="10"/>
  <c r="B74" i="10"/>
  <c r="C261" i="27"/>
  <c r="C260" i="27"/>
  <c r="C259" i="27"/>
  <c r="C258" i="27"/>
  <c r="M25" i="10"/>
  <c r="M27" i="10"/>
  <c r="M26" i="10"/>
  <c r="M28" i="10"/>
  <c r="H38" i="12"/>
  <c r="H18" i="25"/>
  <c r="N38" i="12"/>
  <c r="N18" i="25"/>
  <c r="H198" i="18"/>
  <c r="H197" i="18"/>
  <c r="E28" i="2"/>
  <c r="C9" i="6"/>
  <c r="C49" i="2"/>
  <c r="L21" i="4"/>
  <c r="L24" i="4"/>
  <c r="L22" i="4"/>
  <c r="L23" i="4"/>
  <c r="K21" i="4"/>
  <c r="K24" i="4"/>
  <c r="K22" i="4"/>
  <c r="K23" i="4"/>
  <c r="J22" i="4"/>
  <c r="J23" i="4"/>
  <c r="J21" i="4"/>
  <c r="J24" i="4"/>
  <c r="E23" i="4"/>
  <c r="E21" i="4"/>
  <c r="E24" i="4"/>
  <c r="E22" i="4"/>
  <c r="D15" i="27"/>
  <c r="D16" i="27"/>
  <c r="D17" i="27"/>
  <c r="D14" i="27"/>
  <c r="D180" i="27"/>
  <c r="D218" i="27" s="1"/>
  <c r="I85" i="8"/>
  <c r="B108" i="8"/>
  <c r="B109" i="8"/>
  <c r="F78" i="33"/>
  <c r="F79" i="33"/>
  <c r="F80" i="33"/>
  <c r="F81" i="33"/>
  <c r="F89" i="33"/>
  <c r="F82" i="33"/>
  <c r="F86" i="33"/>
  <c r="J96" i="8"/>
  <c r="J97" i="8"/>
  <c r="D135" i="10"/>
  <c r="D137" i="10"/>
  <c r="D134" i="10"/>
  <c r="D136" i="10"/>
  <c r="E133" i="33"/>
  <c r="E132" i="33"/>
  <c r="F110" i="33"/>
  <c r="F112" i="33"/>
  <c r="F111" i="33"/>
  <c r="F113" i="33"/>
  <c r="F71" i="10"/>
  <c r="F72" i="10"/>
  <c r="F75" i="10" s="1"/>
  <c r="F10" i="10" s="1"/>
  <c r="F8" i="25" s="1"/>
  <c r="F73" i="10"/>
  <c r="F74" i="10"/>
  <c r="J95" i="33"/>
  <c r="G27" i="10"/>
  <c r="G25" i="10"/>
  <c r="G28" i="10"/>
  <c r="G26" i="10"/>
  <c r="L38" i="12"/>
  <c r="L18" i="25"/>
  <c r="E142" i="27"/>
  <c r="C198" i="27"/>
  <c r="C199" i="27"/>
  <c r="C131" i="33"/>
  <c r="C19" i="25"/>
  <c r="C53" i="2"/>
  <c r="F90" i="8"/>
  <c r="C119" i="8"/>
  <c r="C107" i="8"/>
  <c r="L28" i="2"/>
  <c r="M15" i="24"/>
  <c r="D96" i="8"/>
  <c r="D97" i="8"/>
  <c r="I134" i="10"/>
  <c r="I136" i="10"/>
  <c r="I135" i="10"/>
  <c r="I137" i="10"/>
  <c r="D80" i="33"/>
  <c r="D81" i="33"/>
  <c r="D79" i="33"/>
  <c r="D86" i="33"/>
  <c r="D84" i="33"/>
  <c r="D78" i="33"/>
  <c r="D88" i="33"/>
  <c r="E96" i="33"/>
  <c r="E97" i="33"/>
  <c r="H120" i="33"/>
  <c r="H121" i="33"/>
  <c r="M38" i="12"/>
  <c r="M18" i="25"/>
  <c r="N10" i="4"/>
  <c r="M7" i="23" s="1"/>
  <c r="M46" i="2"/>
  <c r="K13" i="24"/>
  <c r="K14" i="24"/>
  <c r="B120" i="8"/>
  <c r="B121" i="8"/>
  <c r="L14" i="24"/>
  <c r="F96" i="8"/>
  <c r="F97" i="8"/>
  <c r="J90" i="8"/>
  <c r="B90" i="8"/>
  <c r="K135" i="10"/>
  <c r="K137" i="10"/>
  <c r="K138" i="10" s="1"/>
  <c r="K12" i="10" s="1"/>
  <c r="K134" i="10"/>
  <c r="K136" i="10"/>
  <c r="H135" i="10"/>
  <c r="H137" i="10"/>
  <c r="H138" i="10" s="1"/>
  <c r="H12" i="10" s="1"/>
  <c r="H10" i="25" s="1"/>
  <c r="H134" i="10"/>
  <c r="H136" i="10"/>
  <c r="I86" i="33"/>
  <c r="B78" i="33"/>
  <c r="B79" i="33"/>
  <c r="B80" i="33"/>
  <c r="B81" i="33"/>
  <c r="B86" i="33"/>
  <c r="B89" i="33"/>
  <c r="B88" i="33"/>
  <c r="B82" i="33"/>
  <c r="N71" i="10"/>
  <c r="N72" i="10"/>
  <c r="N73" i="10"/>
  <c r="N74" i="10"/>
  <c r="E259" i="27"/>
  <c r="E258" i="27"/>
  <c r="E260" i="27"/>
  <c r="E261" i="27"/>
  <c r="E262" i="27" s="1"/>
  <c r="E241" i="27" s="1"/>
  <c r="D327" i="27"/>
  <c r="D329" i="27" s="1"/>
  <c r="D335" i="27" s="1"/>
  <c r="D244" i="27" s="1"/>
  <c r="D333" i="27"/>
  <c r="D334" i="27" s="1"/>
  <c r="D331" i="27"/>
  <c r="D332" i="27" s="1"/>
  <c r="D330" i="27"/>
  <c r="D325" i="27"/>
  <c r="B155" i="27"/>
  <c r="B153" i="27"/>
  <c r="B152" i="27"/>
  <c r="B154" i="27"/>
  <c r="O10" i="4"/>
  <c r="N7" i="23" s="1"/>
  <c r="N46" i="2"/>
  <c r="J10" i="4"/>
  <c r="I7" i="23" s="1"/>
  <c r="I46" i="2"/>
  <c r="D41" i="4"/>
  <c r="K11" i="4"/>
  <c r="J8" i="23" s="1"/>
  <c r="J47" i="2"/>
  <c r="I83" i="8"/>
  <c r="K80" i="8"/>
  <c r="K85" i="8"/>
  <c r="K81" i="8"/>
  <c r="K86" i="8"/>
  <c r="K79" i="8"/>
  <c r="K87" i="8"/>
  <c r="K88" i="8"/>
  <c r="K84" i="8"/>
  <c r="K78" i="8"/>
  <c r="B134" i="10"/>
  <c r="B136" i="10"/>
  <c r="B135" i="10"/>
  <c r="B137" i="10"/>
  <c r="E86" i="33"/>
  <c r="D85" i="33"/>
  <c r="E134" i="10"/>
  <c r="E136" i="10"/>
  <c r="E135" i="10"/>
  <c r="E138" i="10" s="1"/>
  <c r="E12" i="10" s="1"/>
  <c r="E10" i="25" s="1"/>
  <c r="E137" i="10"/>
  <c r="E300" i="27"/>
  <c r="E302" i="27"/>
  <c r="E301" i="27"/>
  <c r="E303" i="27"/>
  <c r="D73" i="10"/>
  <c r="D74" i="10"/>
  <c r="D71" i="10"/>
  <c r="D72" i="10"/>
  <c r="K74" i="10"/>
  <c r="K71" i="10"/>
  <c r="K72" i="10"/>
  <c r="K73" i="10"/>
  <c r="E38" i="12"/>
  <c r="E18" i="25"/>
  <c r="E11" i="23"/>
  <c r="E13" i="23" s="1"/>
  <c r="E11" i="6"/>
  <c r="H21" i="4"/>
  <c r="H24" i="4"/>
  <c r="H22" i="4"/>
  <c r="H23" i="4"/>
  <c r="G21" i="4"/>
  <c r="G24" i="4"/>
  <c r="G22" i="4"/>
  <c r="G23" i="4"/>
  <c r="F22" i="4"/>
  <c r="F23" i="4"/>
  <c r="F21" i="4"/>
  <c r="F24" i="4"/>
  <c r="B17" i="27"/>
  <c r="B14" i="27"/>
  <c r="B15" i="27"/>
  <c r="B18" i="27" s="1"/>
  <c r="B3" i="27" s="1"/>
  <c r="B6" i="27" s="1"/>
  <c r="B16" i="27"/>
  <c r="C16" i="27"/>
  <c r="C17" i="27"/>
  <c r="C14" i="27"/>
  <c r="C15" i="27"/>
  <c r="K126" i="8"/>
  <c r="K164" i="8" s="1"/>
  <c r="B180" i="27"/>
  <c r="B218" i="27" s="1"/>
  <c r="I96" i="8"/>
  <c r="I97" i="8"/>
  <c r="N90" i="8"/>
  <c r="I120" i="8"/>
  <c r="I121" i="8"/>
  <c r="H133" i="8"/>
  <c r="H132" i="8"/>
  <c r="E88" i="33"/>
  <c r="G182" i="33"/>
  <c r="J143" i="33"/>
  <c r="O72" i="10"/>
  <c r="O71" i="10"/>
  <c r="O74" i="10"/>
  <c r="O73" i="10"/>
  <c r="D260" i="27"/>
  <c r="D259" i="27"/>
  <c r="D261" i="27"/>
  <c r="D258" i="27"/>
  <c r="D110" i="10"/>
  <c r="D11" i="10" s="1"/>
  <c r="D9" i="25" s="1"/>
  <c r="I38" i="12"/>
  <c r="I18" i="25"/>
  <c r="C162" i="27"/>
  <c r="C163" i="27"/>
  <c r="C134" i="27"/>
  <c r="C135" i="27"/>
  <c r="C133" i="27"/>
  <c r="C132" i="27"/>
  <c r="C144" i="27" s="1"/>
  <c r="C89" i="33"/>
  <c r="C143" i="33"/>
  <c r="C107" i="33"/>
  <c r="D90" i="8"/>
  <c r="C72" i="8"/>
  <c r="C82" i="8"/>
  <c r="L11" i="4"/>
  <c r="K8" i="23" s="1"/>
  <c r="K47" i="2"/>
  <c r="I14" i="24"/>
  <c r="F108" i="8"/>
  <c r="F109" i="8"/>
  <c r="L11" i="6"/>
  <c r="L11" i="23"/>
  <c r="L13" i="23" s="1"/>
  <c r="D65" i="4"/>
  <c r="N17" i="24"/>
  <c r="D10" i="6"/>
  <c r="D12" i="23" s="1"/>
  <c r="D50" i="2"/>
  <c r="E114" i="8"/>
  <c r="E163" i="8" s="1"/>
  <c r="L13" i="24"/>
  <c r="J134" i="10"/>
  <c r="J136" i="10"/>
  <c r="J135" i="10"/>
  <c r="J138" i="10" s="1"/>
  <c r="J12" i="10" s="1"/>
  <c r="J10" i="25" s="1"/>
  <c r="J137" i="10"/>
  <c r="F120" i="33"/>
  <c r="F121" i="33"/>
  <c r="H178" i="33"/>
  <c r="C135" i="10"/>
  <c r="C138" i="10" s="1"/>
  <c r="C12" i="10" s="1"/>
  <c r="C10" i="25" s="1"/>
  <c r="C137" i="10"/>
  <c r="C134" i="10"/>
  <c r="C136" i="10"/>
  <c r="B96" i="33"/>
  <c r="B97" i="33"/>
  <c r="N138" i="10"/>
  <c r="N12" i="10" s="1"/>
  <c r="M10" i="25" s="1"/>
  <c r="L69" i="10"/>
  <c r="L70" i="10"/>
  <c r="L68" i="10"/>
  <c r="C75" i="10"/>
  <c r="C10" i="10" s="1"/>
  <c r="C8" i="25" s="1"/>
  <c r="A259" i="27"/>
  <c r="A258" i="27"/>
  <c r="A261" i="27"/>
  <c r="A260" i="27"/>
  <c r="K25" i="10"/>
  <c r="K27" i="10"/>
  <c r="K28" i="10"/>
  <c r="K26" i="10"/>
  <c r="B28" i="10"/>
  <c r="B25" i="10"/>
  <c r="B27" i="10"/>
  <c r="B26" i="10"/>
  <c r="B29" i="10" s="1"/>
  <c r="B8" i="10" s="1"/>
  <c r="H299" i="27"/>
  <c r="H301" i="27"/>
  <c r="H302" i="27"/>
  <c r="E150" i="27"/>
  <c r="E151" i="27"/>
  <c r="A198" i="27"/>
  <c r="A199" i="27"/>
  <c r="A133" i="27"/>
  <c r="A134" i="27"/>
  <c r="A135" i="27"/>
  <c r="A132" i="27"/>
  <c r="A144" i="27" s="1"/>
  <c r="A186" i="27"/>
  <c r="A187" i="27"/>
  <c r="M28" i="2"/>
  <c r="H11" i="4"/>
  <c r="G8" i="23" s="1"/>
  <c r="G47" i="2"/>
  <c r="H126" i="8"/>
  <c r="H164" i="8" s="1"/>
  <c r="M11" i="4"/>
  <c r="L8" i="23" s="1"/>
  <c r="L47" i="2"/>
  <c r="I132" i="8"/>
  <c r="I133" i="8"/>
  <c r="H145" i="8"/>
  <c r="H144" i="8"/>
  <c r="I108" i="33"/>
  <c r="I109" i="33"/>
  <c r="B83" i="33"/>
  <c r="A300" i="27"/>
  <c r="A302" i="27"/>
  <c r="A301" i="27"/>
  <c r="A303" i="27"/>
  <c r="N75" i="10"/>
  <c r="N10" i="10" s="1"/>
  <c r="M8" i="25" s="1"/>
  <c r="G74" i="10"/>
  <c r="G71" i="10"/>
  <c r="G72" i="10"/>
  <c r="G75" i="10" s="1"/>
  <c r="G10" i="10" s="1"/>
  <c r="G8" i="25" s="1"/>
  <c r="G73" i="10"/>
  <c r="C110" i="10"/>
  <c r="C11" i="10" s="1"/>
  <c r="C9" i="25" s="1"/>
  <c r="B258" i="27"/>
  <c r="B261" i="27"/>
  <c r="B259" i="27"/>
  <c r="B262" i="27" s="1"/>
  <c r="B241" i="27" s="1"/>
  <c r="B260" i="27"/>
  <c r="C201" i="18"/>
  <c r="C200" i="18"/>
  <c r="C203" i="18"/>
  <c r="C202" i="18"/>
  <c r="B156" i="27"/>
  <c r="B216" i="27" s="1"/>
  <c r="D9" i="6"/>
  <c r="D49" i="2"/>
  <c r="K10" i="4"/>
  <c r="J7" i="23" s="1"/>
  <c r="J46" i="2"/>
  <c r="F10" i="4"/>
  <c r="E7" i="23" s="1"/>
  <c r="E46" i="2"/>
  <c r="D35" i="27"/>
  <c r="D4" i="27" s="1"/>
  <c r="A35" i="27"/>
  <c r="A4" i="27" s="1"/>
  <c r="F120" i="8"/>
  <c r="F121" i="8"/>
  <c r="F144" i="8"/>
  <c r="F145" i="8"/>
  <c r="E78" i="8"/>
  <c r="E81" i="8"/>
  <c r="E89" i="8"/>
  <c r="E79" i="8"/>
  <c r="E80" i="8"/>
  <c r="E86" i="8"/>
  <c r="E82" i="8"/>
  <c r="L145" i="8"/>
  <c r="L144" i="8"/>
  <c r="E108" i="33"/>
  <c r="E109" i="33"/>
  <c r="B120" i="33"/>
  <c r="B121" i="33"/>
  <c r="D120" i="33"/>
  <c r="D121" i="33"/>
  <c r="I110" i="10"/>
  <c r="I11" i="10" s="1"/>
  <c r="I9" i="25" s="1"/>
  <c r="E304" i="27"/>
  <c r="E243" i="27" s="1"/>
  <c r="D75" i="10"/>
  <c r="D10" i="10" s="1"/>
  <c r="D8" i="25" s="1"/>
  <c r="C262" i="27"/>
  <c r="C241" i="27" s="1"/>
  <c r="C27" i="10"/>
  <c r="C26" i="10"/>
  <c r="C28" i="10"/>
  <c r="C25" i="10"/>
  <c r="F25" i="10"/>
  <c r="F27" i="10"/>
  <c r="F28" i="10"/>
  <c r="F26" i="10"/>
  <c r="F29" i="10" s="1"/>
  <c r="F8" i="10" s="1"/>
  <c r="E25" i="10"/>
  <c r="E26" i="10"/>
  <c r="E29" i="10" s="1"/>
  <c r="E8" i="10" s="1"/>
  <c r="E27" i="10"/>
  <c r="E28" i="10"/>
  <c r="K9" i="10"/>
  <c r="J9" i="10"/>
  <c r="J7" i="25" s="1"/>
  <c r="E162" i="27"/>
  <c r="E163" i="27"/>
  <c r="H28" i="2"/>
  <c r="D21" i="4"/>
  <c r="D24" i="4"/>
  <c r="D22" i="4"/>
  <c r="D23" i="4"/>
  <c r="C21" i="4"/>
  <c r="C24" i="4"/>
  <c r="C22" i="4"/>
  <c r="C23" i="4"/>
  <c r="M23" i="4"/>
  <c r="M21" i="4"/>
  <c r="M24" i="4"/>
  <c r="M22" i="4"/>
  <c r="E14" i="27"/>
  <c r="E15" i="27"/>
  <c r="E18" i="27" s="1"/>
  <c r="E3" i="27" s="1"/>
  <c r="E6" i="27" s="1"/>
  <c r="E16" i="27"/>
  <c r="E17" i="27"/>
  <c r="G126" i="8"/>
  <c r="G164" i="8" s="1"/>
  <c r="J88" i="33"/>
  <c r="J131" i="33"/>
  <c r="F83" i="33"/>
  <c r="I133" i="33"/>
  <c r="I132" i="33"/>
  <c r="B84" i="33"/>
  <c r="M110" i="10"/>
  <c r="M11" i="10" s="1"/>
  <c r="L9" i="25" s="1"/>
  <c r="H69" i="10"/>
  <c r="H70" i="10"/>
  <c r="H68" i="10"/>
  <c r="J86" i="33"/>
  <c r="J107" i="33"/>
  <c r="G29" i="10"/>
  <c r="G8" i="10" s="1"/>
  <c r="G38" i="12"/>
  <c r="G18" i="25"/>
  <c r="F38" i="12"/>
  <c r="F18" i="25"/>
  <c r="I304" i="27"/>
  <c r="I307" i="27" s="1"/>
  <c r="C245" i="27" s="1"/>
  <c r="I305" i="27"/>
  <c r="I303" i="27"/>
  <c r="I306" i="27"/>
  <c r="J304" i="27"/>
  <c r="J307" i="27" s="1"/>
  <c r="D245" i="27" s="1"/>
  <c r="J303" i="27"/>
  <c r="J306" i="27"/>
  <c r="J305" i="27"/>
  <c r="A150" i="27"/>
  <c r="A151" i="27"/>
  <c r="C140" i="27"/>
  <c r="C150" i="27"/>
  <c r="C151" i="27"/>
  <c r="A162" i="27"/>
  <c r="A163" i="27"/>
  <c r="C85" i="33"/>
  <c r="C95" i="33"/>
  <c r="C82" i="33"/>
  <c r="C72" i="33"/>
  <c r="C86" i="33" s="1"/>
  <c r="C131" i="8"/>
  <c r="C88" i="8"/>
  <c r="C89" i="8"/>
  <c r="C143" i="8"/>
  <c r="I11" i="23"/>
  <c r="I13" i="23" s="1"/>
  <c r="I11" i="6"/>
  <c r="J11" i="4"/>
  <c r="I8" i="23" s="1"/>
  <c r="I47" i="2"/>
  <c r="I28" i="2"/>
  <c r="N16" i="24"/>
  <c r="N9" i="6"/>
  <c r="N49" i="2"/>
  <c r="N14" i="24"/>
  <c r="J108" i="8"/>
  <c r="J109" i="8"/>
  <c r="I78" i="8"/>
  <c r="I81" i="8"/>
  <c r="I79" i="8"/>
  <c r="I80" i="8"/>
  <c r="I89" i="8"/>
  <c r="I86" i="8"/>
  <c r="I82" i="8"/>
  <c r="H96" i="8"/>
  <c r="H97" i="8"/>
  <c r="H180" i="33"/>
  <c r="M138" i="10"/>
  <c r="M12" i="10" s="1"/>
  <c r="L10" i="25" s="1"/>
  <c r="I79" i="33"/>
  <c r="I80" i="33"/>
  <c r="I81" i="33"/>
  <c r="I89" i="33"/>
  <c r="I78" i="33"/>
  <c r="I83" i="33"/>
  <c r="I87" i="33"/>
  <c r="I85" i="33"/>
  <c r="O135" i="10"/>
  <c r="O138" i="10" s="1"/>
  <c r="O12" i="10" s="1"/>
  <c r="N10" i="25" s="1"/>
  <c r="O137" i="10"/>
  <c r="O134" i="10"/>
  <c r="O136" i="10"/>
  <c r="D82" i="33"/>
  <c r="J71" i="10"/>
  <c r="J72" i="10"/>
  <c r="J75" i="10" s="1"/>
  <c r="J73" i="10"/>
  <c r="J74" i="10"/>
  <c r="A262" i="27"/>
  <c r="A241" i="27" s="1"/>
  <c r="K29" i="10"/>
  <c r="I29" i="10"/>
  <c r="I8" i="10" s="1"/>
  <c r="B38" i="12"/>
  <c r="B18" i="25"/>
  <c r="E139" i="27"/>
  <c r="A143" i="27"/>
  <c r="A136" i="27"/>
  <c r="A142" i="27"/>
  <c r="M11" i="23"/>
  <c r="M13" i="23" s="1"/>
  <c r="M11" i="6"/>
  <c r="G65" i="4"/>
  <c r="G75" i="2"/>
  <c r="M96" i="8"/>
  <c r="M97" i="8"/>
  <c r="B98" i="8"/>
  <c r="B99" i="8"/>
  <c r="B102" i="8" s="1"/>
  <c r="B162" i="8" s="1"/>
  <c r="B100" i="8"/>
  <c r="B101" i="8"/>
  <c r="I88" i="8"/>
  <c r="B110" i="33"/>
  <c r="B112" i="33"/>
  <c r="B113" i="33"/>
  <c r="B114" i="33" s="1"/>
  <c r="B163" i="33" s="1"/>
  <c r="B111" i="33"/>
  <c r="K144" i="8"/>
  <c r="K145" i="8"/>
  <c r="E82" i="33"/>
  <c r="D83" i="33"/>
  <c r="F110" i="10"/>
  <c r="F11" i="10" s="1"/>
  <c r="F9" i="25" s="1"/>
  <c r="A304" i="27"/>
  <c r="A243" i="27" s="1"/>
  <c r="B301" i="27"/>
  <c r="B304" i="27" s="1"/>
  <c r="B243" i="27" s="1"/>
  <c r="B303" i="27"/>
  <c r="B302" i="27"/>
  <c r="B300" i="27"/>
  <c r="O27" i="10"/>
  <c r="O26" i="10"/>
  <c r="O29" i="10" s="1"/>
  <c r="O8" i="10" s="1"/>
  <c r="O25" i="10"/>
  <c r="O28" i="10"/>
  <c r="H26" i="10"/>
  <c r="H29" i="10" s="1"/>
  <c r="H8" i="10" s="1"/>
  <c r="H27" i="10"/>
  <c r="H25" i="10"/>
  <c r="H28" i="10"/>
  <c r="N26" i="10"/>
  <c r="N29" i="10" s="1"/>
  <c r="N8" i="10" s="1"/>
  <c r="N28" i="10"/>
  <c r="N25" i="10"/>
  <c r="N27" i="10"/>
  <c r="B110" i="10"/>
  <c r="B11" i="10" s="1"/>
  <c r="B9" i="25" s="1"/>
  <c r="E204" i="18"/>
  <c r="C7" i="18" s="1"/>
  <c r="C54" i="2" s="1"/>
  <c r="D38" i="12"/>
  <c r="D18" i="25"/>
  <c r="K11" i="16"/>
  <c r="K32" i="2"/>
  <c r="K55" i="2"/>
  <c r="G303" i="27"/>
  <c r="G306" i="27"/>
  <c r="G305" i="27"/>
  <c r="G304" i="27"/>
  <c r="G307" i="27" s="1"/>
  <c r="A245" i="27" s="1"/>
  <c r="C198" i="18"/>
  <c r="C204" i="18" s="1"/>
  <c r="B7" i="18" s="1"/>
  <c r="B54" i="2" s="1"/>
  <c r="C197" i="18"/>
  <c r="E141" i="27"/>
  <c r="E138" i="27"/>
  <c r="G9" i="6"/>
  <c r="G49" i="2"/>
  <c r="G10" i="4"/>
  <c r="F7" i="23" s="1"/>
  <c r="F46" i="2"/>
  <c r="L10" i="4"/>
  <c r="K7" i="23" s="1"/>
  <c r="K46" i="2"/>
  <c r="C35" i="27"/>
  <c r="C4" i="27" s="1"/>
  <c r="L16" i="24"/>
  <c r="H79" i="8"/>
  <c r="H80" i="8"/>
  <c r="H82" i="8"/>
  <c r="H78" i="8"/>
  <c r="H86" i="8"/>
  <c r="H81" i="8"/>
  <c r="H87" i="8"/>
  <c r="H83" i="8"/>
  <c r="E83" i="8"/>
  <c r="L89" i="8"/>
  <c r="I99" i="33"/>
  <c r="I102" i="33" s="1"/>
  <c r="I162" i="33" s="1"/>
  <c r="I100" i="33"/>
  <c r="I101" i="33"/>
  <c r="I98" i="33"/>
  <c r="B138" i="10"/>
  <c r="B12" i="10" s="1"/>
  <c r="B10" i="25" s="1"/>
  <c r="I84" i="33"/>
  <c r="F134" i="10"/>
  <c r="F136" i="10"/>
  <c r="F135" i="10"/>
  <c r="F138" i="10" s="1"/>
  <c r="F12" i="10" s="1"/>
  <c r="F10" i="25" s="1"/>
  <c r="F137" i="10"/>
  <c r="G135" i="10"/>
  <c r="G138" i="10" s="1"/>
  <c r="G12" i="10" s="1"/>
  <c r="G10" i="25" s="1"/>
  <c r="G137" i="10"/>
  <c r="G134" i="10"/>
  <c r="G136" i="10"/>
  <c r="B87" i="33"/>
  <c r="D87" i="33"/>
  <c r="K303" i="27"/>
  <c r="K306" i="27"/>
  <c r="K305" i="27"/>
  <c r="K304" i="27"/>
  <c r="K307" i="27" s="1"/>
  <c r="E245" i="27" s="1"/>
  <c r="C299" i="27"/>
  <c r="C298" i="27"/>
  <c r="C297" i="27"/>
  <c r="I68" i="10"/>
  <c r="I69" i="10"/>
  <c r="I70" i="10"/>
  <c r="K75" i="10"/>
  <c r="C29" i="10"/>
  <c r="C8" i="10" s="1"/>
  <c r="M29" i="10"/>
  <c r="M8" i="10" s="1"/>
  <c r="H200" i="18"/>
  <c r="H203" i="18"/>
  <c r="H202" i="18"/>
  <c r="H201" i="18"/>
  <c r="E140" i="27"/>
  <c r="H11" i="6"/>
  <c r="H11" i="23"/>
  <c r="H13" i="23" s="1"/>
  <c r="F75" i="2"/>
  <c r="O21" i="4"/>
  <c r="O24" i="4"/>
  <c r="N77" i="2" s="1"/>
  <c r="O22" i="4"/>
  <c r="O23" i="4"/>
  <c r="N22" i="4"/>
  <c r="N23" i="4"/>
  <c r="R24" i="4"/>
  <c r="N21" i="4"/>
  <c r="N24" i="4"/>
  <c r="I23" i="4"/>
  <c r="I21" i="4"/>
  <c r="I24" i="4"/>
  <c r="I22" i="4"/>
  <c r="A14" i="27"/>
  <c r="A15" i="27"/>
  <c r="A16" i="27"/>
  <c r="A17" i="27"/>
  <c r="N126" i="8"/>
  <c r="N164" i="8" s="1"/>
  <c r="E120" i="8"/>
  <c r="E121" i="8"/>
  <c r="D133" i="8"/>
  <c r="D132" i="8"/>
  <c r="G80" i="8"/>
  <c r="G79" i="8"/>
  <c r="G85" i="8"/>
  <c r="G86" i="8"/>
  <c r="G81" i="8"/>
  <c r="G87" i="8"/>
  <c r="G88" i="8"/>
  <c r="G84" i="8"/>
  <c r="G78" i="8"/>
  <c r="D138" i="10"/>
  <c r="D12" i="10" s="1"/>
  <c r="D10" i="25" s="1"/>
  <c r="I88" i="33"/>
  <c r="L135" i="10"/>
  <c r="L138" i="10" s="1"/>
  <c r="L12" i="10" s="1"/>
  <c r="K10" i="25" s="1"/>
  <c r="L137" i="10"/>
  <c r="L134" i="10"/>
  <c r="L136" i="10"/>
  <c r="F114" i="33"/>
  <c r="F163" i="33" s="1"/>
  <c r="D144" i="33"/>
  <c r="D145" i="33"/>
  <c r="M68" i="10"/>
  <c r="M69" i="10"/>
  <c r="M70" i="10"/>
  <c r="O75" i="10"/>
  <c r="O10" i="10" s="1"/>
  <c r="N8" i="25" s="1"/>
  <c r="J82" i="33"/>
  <c r="J72" i="33"/>
  <c r="J85" i="33" s="1"/>
  <c r="J87" i="33"/>
  <c r="J119" i="33"/>
  <c r="D262" i="27"/>
  <c r="D241" i="27" s="1"/>
  <c r="L26" i="10"/>
  <c r="L29" i="10" s="1"/>
  <c r="L8" i="10" s="1"/>
  <c r="L25" i="10"/>
  <c r="L27" i="10"/>
  <c r="L28" i="10"/>
  <c r="D26" i="10"/>
  <c r="D27" i="10"/>
  <c r="D28" i="10"/>
  <c r="D29" i="10" s="1"/>
  <c r="D8" i="10" s="1"/>
  <c r="D25" i="10"/>
  <c r="J28" i="10"/>
  <c r="J26" i="10"/>
  <c r="J29" i="10" s="1"/>
  <c r="J25" i="10"/>
  <c r="J27" i="10"/>
  <c r="G110" i="10"/>
  <c r="G11" i="10" s="1"/>
  <c r="G9" i="25" s="1"/>
  <c r="K38" i="12"/>
  <c r="K18" i="25"/>
  <c r="J38" i="12"/>
  <c r="J18" i="25"/>
  <c r="E186" i="27"/>
  <c r="E187" i="27"/>
  <c r="A139" i="27"/>
  <c r="C186" i="27"/>
  <c r="C187" i="27"/>
  <c r="A138" i="27"/>
  <c r="A140" i="27"/>
  <c r="C87" i="33"/>
  <c r="C119" i="33"/>
  <c r="C84" i="33"/>
  <c r="C84" i="8"/>
  <c r="C85" i="8"/>
  <c r="C95" i="8"/>
  <c r="M90" i="8"/>
  <c r="B13" i="24" l="1"/>
  <c r="E6" i="25"/>
  <c r="E246" i="27"/>
  <c r="K10" i="10"/>
  <c r="J10" i="10"/>
  <c r="J8" i="25" s="1"/>
  <c r="D13" i="10"/>
  <c r="D52" i="2" s="1"/>
  <c r="D6" i="25"/>
  <c r="D11" i="25" s="1"/>
  <c r="O13" i="10"/>
  <c r="N52" i="2" s="1"/>
  <c r="N6" i="25"/>
  <c r="N11" i="25" s="1"/>
  <c r="K6" i="25"/>
  <c r="J8" i="10"/>
  <c r="K8" i="10"/>
  <c r="K13" i="10" s="1"/>
  <c r="J52" i="2" s="1"/>
  <c r="M6" i="25"/>
  <c r="M11" i="25" s="1"/>
  <c r="N13" i="10"/>
  <c r="M52" i="2" s="1"/>
  <c r="H6" i="25"/>
  <c r="F13" i="10"/>
  <c r="F52" i="2" s="1"/>
  <c r="F6" i="25"/>
  <c r="F11" i="25" s="1"/>
  <c r="B13" i="10"/>
  <c r="B52" i="2" s="1"/>
  <c r="B6" i="25"/>
  <c r="B11" i="25" s="1"/>
  <c r="I25" i="4"/>
  <c r="L6" i="25"/>
  <c r="J120" i="33"/>
  <c r="J121" i="33"/>
  <c r="C13" i="10"/>
  <c r="C52" i="2" s="1"/>
  <c r="C6" i="25"/>
  <c r="C11" i="25" s="1"/>
  <c r="C21" i="25" s="1"/>
  <c r="M99" i="8"/>
  <c r="M100" i="8"/>
  <c r="M101" i="8"/>
  <c r="M77" i="2" s="1"/>
  <c r="M98" i="8"/>
  <c r="C97" i="33"/>
  <c r="C96" i="33"/>
  <c r="A164" i="27"/>
  <c r="A166" i="27"/>
  <c r="A165" i="27"/>
  <c r="A167" i="27"/>
  <c r="G15" i="24"/>
  <c r="D122" i="33"/>
  <c r="D123" i="33"/>
  <c r="D124" i="33"/>
  <c r="D125" i="33"/>
  <c r="L75" i="2"/>
  <c r="I136" i="8"/>
  <c r="I137" i="8"/>
  <c r="I134" i="8"/>
  <c r="I135" i="8"/>
  <c r="H15" i="24"/>
  <c r="H305" i="27"/>
  <c r="H303" i="27"/>
  <c r="H306" i="27"/>
  <c r="H304" i="27"/>
  <c r="C80" i="8"/>
  <c r="C79" i="8"/>
  <c r="C81" i="8"/>
  <c r="C78" i="8"/>
  <c r="C109" i="33"/>
  <c r="C108" i="33"/>
  <c r="I19" i="25"/>
  <c r="I53" i="2"/>
  <c r="J89" i="33"/>
  <c r="I75" i="2"/>
  <c r="E19" i="25"/>
  <c r="E53" i="2"/>
  <c r="B90" i="33"/>
  <c r="M19" i="25"/>
  <c r="M53" i="2"/>
  <c r="C86" i="8"/>
  <c r="C31" i="2"/>
  <c r="C132" i="33"/>
  <c r="C133" i="33"/>
  <c r="O109" i="8"/>
  <c r="N75" i="2" s="1"/>
  <c r="J75" i="2"/>
  <c r="F90" i="33"/>
  <c r="H19" i="25"/>
  <c r="H53" i="2"/>
  <c r="D100" i="33"/>
  <c r="D101" i="33"/>
  <c r="D98" i="33"/>
  <c r="D99" i="33"/>
  <c r="E136" i="8"/>
  <c r="E137" i="8"/>
  <c r="E134" i="8"/>
  <c r="E135" i="8"/>
  <c r="E144" i="27"/>
  <c r="H182" i="33"/>
  <c r="F11" i="23"/>
  <c r="F13" i="23" s="1"/>
  <c r="F11" i="6"/>
  <c r="B11" i="23"/>
  <c r="B13" i="23" s="1"/>
  <c r="B11" i="6"/>
  <c r="N25" i="4"/>
  <c r="C301" i="27"/>
  <c r="C303" i="27"/>
  <c r="C300" i="27"/>
  <c r="C302" i="27"/>
  <c r="K75" i="2"/>
  <c r="A246" i="27"/>
  <c r="I90" i="8"/>
  <c r="D146" i="33"/>
  <c r="D147" i="33"/>
  <c r="D148" i="33"/>
  <c r="D149" i="33"/>
  <c r="G90" i="8"/>
  <c r="A18" i="27"/>
  <c r="A3" i="27" s="1"/>
  <c r="R26" i="4"/>
  <c r="R27" i="4" s="1"/>
  <c r="U23" i="4"/>
  <c r="O25" i="4"/>
  <c r="D19" i="25"/>
  <c r="D53" i="2"/>
  <c r="K146" i="8"/>
  <c r="K147" i="8"/>
  <c r="K148" i="8"/>
  <c r="K149" i="8"/>
  <c r="K77" i="2" s="1"/>
  <c r="B19" i="25"/>
  <c r="B53" i="2"/>
  <c r="I90" i="33"/>
  <c r="H100" i="8"/>
  <c r="H101" i="8"/>
  <c r="H77" i="2" s="1"/>
  <c r="H98" i="8"/>
  <c r="H99" i="8"/>
  <c r="C132" i="8"/>
  <c r="C133" i="8"/>
  <c r="A152" i="27"/>
  <c r="A154" i="27"/>
  <c r="A153" i="27"/>
  <c r="A156" i="27" s="1"/>
  <c r="A216" i="27" s="1"/>
  <c r="A155" i="27"/>
  <c r="G13" i="10"/>
  <c r="G52" i="2" s="1"/>
  <c r="G6" i="25"/>
  <c r="G11" i="25" s="1"/>
  <c r="E164" i="27"/>
  <c r="E166" i="27"/>
  <c r="E165" i="27"/>
  <c r="E168" i="27" s="1"/>
  <c r="E217" i="27" s="1"/>
  <c r="E167" i="27"/>
  <c r="E110" i="33"/>
  <c r="E113" i="33"/>
  <c r="E112" i="33"/>
  <c r="E111" i="33"/>
  <c r="E114" i="33" s="1"/>
  <c r="E163" i="33" s="1"/>
  <c r="F147" i="8"/>
  <c r="F150" i="8" s="1"/>
  <c r="F166" i="8" s="1"/>
  <c r="F148" i="8"/>
  <c r="F149" i="8"/>
  <c r="F146" i="8"/>
  <c r="E75" i="2"/>
  <c r="D28" i="2"/>
  <c r="H149" i="8"/>
  <c r="H146" i="8"/>
  <c r="H147" i="8"/>
  <c r="H76" i="2" s="1"/>
  <c r="H148" i="8"/>
  <c r="A200" i="27"/>
  <c r="A201" i="27"/>
  <c r="A204" i="27" s="1"/>
  <c r="A220" i="27" s="1"/>
  <c r="A202" i="27"/>
  <c r="A203" i="27"/>
  <c r="H307" i="27"/>
  <c r="B245" i="27" s="1"/>
  <c r="B246" i="27" s="1"/>
  <c r="F110" i="8"/>
  <c r="F112" i="8"/>
  <c r="F113" i="8"/>
  <c r="F111" i="8"/>
  <c r="F114" i="8" s="1"/>
  <c r="F163" i="8" s="1"/>
  <c r="C83" i="8"/>
  <c r="C166" i="27"/>
  <c r="C164" i="27"/>
  <c r="C167" i="27"/>
  <c r="C165" i="27"/>
  <c r="C168" i="27" s="1"/>
  <c r="C217" i="27" s="1"/>
  <c r="I99" i="8"/>
  <c r="I102" i="8" s="1"/>
  <c r="I162" i="8" s="1"/>
  <c r="I100" i="8"/>
  <c r="I101" i="8"/>
  <c r="I98" i="8"/>
  <c r="F25" i="4"/>
  <c r="D10" i="4"/>
  <c r="C7" i="23" s="1"/>
  <c r="C46" i="2"/>
  <c r="F98" i="8"/>
  <c r="F99" i="8"/>
  <c r="F102" i="8" s="1"/>
  <c r="F162" i="8" s="1"/>
  <c r="F100" i="8"/>
  <c r="F101" i="8"/>
  <c r="B123" i="8"/>
  <c r="B126" i="8" s="1"/>
  <c r="B164" i="8" s="1"/>
  <c r="B124" i="8"/>
  <c r="B125" i="8"/>
  <c r="B122" i="8"/>
  <c r="E99" i="33"/>
  <c r="E102" i="33" s="1"/>
  <c r="E162" i="33" s="1"/>
  <c r="E100" i="33"/>
  <c r="E98" i="33"/>
  <c r="E101" i="33"/>
  <c r="D75" i="2"/>
  <c r="C87" i="8"/>
  <c r="L19" i="25"/>
  <c r="L53" i="2"/>
  <c r="J96" i="33"/>
  <c r="J97" i="33"/>
  <c r="J98" i="8"/>
  <c r="J99" i="8"/>
  <c r="J102" i="8" s="1"/>
  <c r="J162" i="8" s="1"/>
  <c r="J100" i="8"/>
  <c r="J101" i="8"/>
  <c r="J77" i="2" s="1"/>
  <c r="B75" i="2"/>
  <c r="D18" i="27"/>
  <c r="D3" i="27" s="1"/>
  <c r="D6" i="27" s="1"/>
  <c r="J25" i="4"/>
  <c r="N19" i="25"/>
  <c r="N53" i="2"/>
  <c r="F98" i="33"/>
  <c r="F99" i="33"/>
  <c r="F102" i="33" s="1"/>
  <c r="F162" i="33" s="1"/>
  <c r="F100" i="33"/>
  <c r="F101" i="33"/>
  <c r="J123" i="8"/>
  <c r="J126" i="8" s="1"/>
  <c r="J164" i="8" s="1"/>
  <c r="J124" i="8"/>
  <c r="J125" i="8"/>
  <c r="J122" i="8"/>
  <c r="E176" i="27"/>
  <c r="E177" i="27"/>
  <c r="E180" i="27" s="1"/>
  <c r="E218" i="27" s="1"/>
  <c r="E178" i="27"/>
  <c r="E179" i="27"/>
  <c r="E72" i="10"/>
  <c r="E73" i="10"/>
  <c r="E74" i="10"/>
  <c r="E71" i="10"/>
  <c r="D149" i="8"/>
  <c r="D146" i="8"/>
  <c r="D147" i="8"/>
  <c r="D148" i="8"/>
  <c r="E99" i="8"/>
  <c r="E102" i="8" s="1"/>
  <c r="E162" i="8" s="1"/>
  <c r="E100" i="8"/>
  <c r="E101" i="8"/>
  <c r="E98" i="8"/>
  <c r="D221" i="27"/>
  <c r="N18" i="24"/>
  <c r="J19" i="25"/>
  <c r="J53" i="2"/>
  <c r="D150" i="33"/>
  <c r="D166" i="33" s="1"/>
  <c r="H102" i="8"/>
  <c r="H162" i="8" s="1"/>
  <c r="H75" i="2"/>
  <c r="K19" i="25"/>
  <c r="K53" i="2"/>
  <c r="M72" i="10"/>
  <c r="M76" i="2" s="1"/>
  <c r="M73" i="10"/>
  <c r="M74" i="10"/>
  <c r="M71" i="10"/>
  <c r="E124" i="8"/>
  <c r="E125" i="8"/>
  <c r="E122" i="8"/>
  <c r="E123" i="8"/>
  <c r="E126" i="8" s="1"/>
  <c r="E164" i="8" s="1"/>
  <c r="C97" i="8"/>
  <c r="C96" i="8"/>
  <c r="C120" i="33"/>
  <c r="C121" i="33"/>
  <c r="E188" i="27"/>
  <c r="E189" i="27"/>
  <c r="E192" i="27" s="1"/>
  <c r="E219" i="27" s="1"/>
  <c r="E190" i="27"/>
  <c r="E191" i="27"/>
  <c r="J78" i="33"/>
  <c r="J79" i="33"/>
  <c r="J80" i="33"/>
  <c r="J81" i="33"/>
  <c r="M75" i="10"/>
  <c r="M10" i="10" s="1"/>
  <c r="L8" i="25" s="1"/>
  <c r="D137" i="8"/>
  <c r="D134" i="8"/>
  <c r="D135" i="8"/>
  <c r="D138" i="8" s="1"/>
  <c r="D165" i="8" s="1"/>
  <c r="D136" i="8"/>
  <c r="N15" i="24"/>
  <c r="I72" i="10"/>
  <c r="I73" i="10"/>
  <c r="I74" i="10"/>
  <c r="I71" i="10"/>
  <c r="C304" i="27"/>
  <c r="C243" i="27" s="1"/>
  <c r="H90" i="8"/>
  <c r="G28" i="2"/>
  <c r="I6" i="25"/>
  <c r="J110" i="8"/>
  <c r="J112" i="8"/>
  <c r="J113" i="8"/>
  <c r="J111" i="8"/>
  <c r="J114" i="8" s="1"/>
  <c r="J163" i="8" s="1"/>
  <c r="N28" i="2"/>
  <c r="C144" i="8"/>
  <c r="C145" i="8"/>
  <c r="C79" i="33"/>
  <c r="C80" i="33"/>
  <c r="C81" i="33"/>
  <c r="C78" i="33"/>
  <c r="C154" i="27"/>
  <c r="C152" i="27"/>
  <c r="C153" i="27"/>
  <c r="C156" i="27" s="1"/>
  <c r="C216" i="27" s="1"/>
  <c r="C155" i="27"/>
  <c r="G19" i="25"/>
  <c r="G53" i="2"/>
  <c r="J84" i="33"/>
  <c r="H73" i="10"/>
  <c r="H74" i="10"/>
  <c r="H71" i="10"/>
  <c r="H72" i="10"/>
  <c r="J132" i="33"/>
  <c r="J133" i="33"/>
  <c r="M25" i="4"/>
  <c r="B124" i="33"/>
  <c r="B125" i="33"/>
  <c r="B122" i="33"/>
  <c r="B123" i="33"/>
  <c r="B126" i="33" s="1"/>
  <c r="B164" i="33" s="1"/>
  <c r="D11" i="6"/>
  <c r="D11" i="23"/>
  <c r="D13" i="23" s="1"/>
  <c r="H150" i="8"/>
  <c r="H166" i="8" s="1"/>
  <c r="C144" i="33"/>
  <c r="C145" i="33"/>
  <c r="I124" i="8"/>
  <c r="I125" i="8"/>
  <c r="I122" i="8"/>
  <c r="I123" i="8"/>
  <c r="I126" i="8" s="1"/>
  <c r="I164" i="8" s="1"/>
  <c r="C18" i="27"/>
  <c r="C3" i="27" s="1"/>
  <c r="C6" i="27" s="1"/>
  <c r="K90" i="8"/>
  <c r="H122" i="33"/>
  <c r="H123" i="33"/>
  <c r="H126" i="33" s="1"/>
  <c r="H124" i="33"/>
  <c r="H125" i="33"/>
  <c r="D100" i="8"/>
  <c r="D101" i="8"/>
  <c r="D77" i="2" s="1"/>
  <c r="D98" i="8"/>
  <c r="D99" i="8"/>
  <c r="D102" i="8" s="1"/>
  <c r="D162" i="8" s="1"/>
  <c r="C120" i="8"/>
  <c r="C121" i="8"/>
  <c r="C83" i="33"/>
  <c r="E137" i="33"/>
  <c r="E134" i="33"/>
  <c r="E135" i="33"/>
  <c r="E136" i="33"/>
  <c r="B110" i="8"/>
  <c r="B112" i="8"/>
  <c r="B113" i="8"/>
  <c r="B77" i="2" s="1"/>
  <c r="B111" i="8"/>
  <c r="B114" i="8" s="1"/>
  <c r="B163" i="8" s="1"/>
  <c r="D76" i="2"/>
  <c r="E25" i="4"/>
  <c r="C28" i="2"/>
  <c r="D300" i="27"/>
  <c r="D302" i="27"/>
  <c r="D301" i="27"/>
  <c r="D304" i="27" s="1"/>
  <c r="D243" i="27" s="1"/>
  <c r="D246" i="27" s="1"/>
  <c r="D303" i="27"/>
  <c r="H10" i="4"/>
  <c r="G7" i="23" s="1"/>
  <c r="G46" i="2"/>
  <c r="E75" i="10"/>
  <c r="E10" i="10" s="1"/>
  <c r="E8" i="25" s="1"/>
  <c r="D150" i="8"/>
  <c r="D166" i="8" s="1"/>
  <c r="L90" i="8"/>
  <c r="J28" i="2"/>
  <c r="K28" i="2"/>
  <c r="A176" i="27"/>
  <c r="A177" i="27"/>
  <c r="A180" i="27" s="1"/>
  <c r="A218" i="27" s="1"/>
  <c r="A178" i="27"/>
  <c r="A179" i="27"/>
  <c r="N167" i="8"/>
  <c r="N179" i="8" s="1"/>
  <c r="C190" i="27"/>
  <c r="C191" i="27"/>
  <c r="C188" i="27"/>
  <c r="C189" i="27"/>
  <c r="C192" i="27" s="1"/>
  <c r="C219" i="27" s="1"/>
  <c r="I75" i="10"/>
  <c r="I10" i="10" s="1"/>
  <c r="I8" i="25" s="1"/>
  <c r="G11" i="23"/>
  <c r="G13" i="23" s="1"/>
  <c r="G11" i="6"/>
  <c r="M102" i="8"/>
  <c r="M162" i="8" s="1"/>
  <c r="M75" i="2"/>
  <c r="N11" i="23"/>
  <c r="N13" i="23" s="1"/>
  <c r="N11" i="6"/>
  <c r="A168" i="27"/>
  <c r="A217" i="27" s="1"/>
  <c r="F19" i="25"/>
  <c r="F53" i="2"/>
  <c r="J108" i="33"/>
  <c r="J109" i="33"/>
  <c r="H75" i="10"/>
  <c r="H10" i="10" s="1"/>
  <c r="H8" i="25" s="1"/>
  <c r="I137" i="33"/>
  <c r="I134" i="33"/>
  <c r="I135" i="33"/>
  <c r="I138" i="33" s="1"/>
  <c r="I165" i="33" s="1"/>
  <c r="I136" i="33"/>
  <c r="B76" i="2"/>
  <c r="C25" i="4"/>
  <c r="D25" i="4"/>
  <c r="C246" i="27"/>
  <c r="D126" i="33"/>
  <c r="D164" i="33" s="1"/>
  <c r="L149" i="8"/>
  <c r="L77" i="2" s="1"/>
  <c r="L146" i="8"/>
  <c r="L147" i="8"/>
  <c r="L150" i="8" s="1"/>
  <c r="L166" i="8" s="1"/>
  <c r="L148" i="8"/>
  <c r="E90" i="8"/>
  <c r="F123" i="8"/>
  <c r="F126" i="8" s="1"/>
  <c r="F164" i="8" s="1"/>
  <c r="F124" i="8"/>
  <c r="F125" i="8"/>
  <c r="F122" i="8"/>
  <c r="B231" i="27"/>
  <c r="B236" i="27" s="1"/>
  <c r="B221" i="27"/>
  <c r="I110" i="33"/>
  <c r="I113" i="33"/>
  <c r="I111" i="33"/>
  <c r="I114" i="33" s="1"/>
  <c r="I163" i="33" s="1"/>
  <c r="I112" i="33"/>
  <c r="I138" i="8"/>
  <c r="I165" i="8" s="1"/>
  <c r="A188" i="27"/>
  <c r="A189" i="27"/>
  <c r="A192" i="27" s="1"/>
  <c r="A219" i="27" s="1"/>
  <c r="A190" i="27"/>
  <c r="A191" i="27"/>
  <c r="E152" i="27"/>
  <c r="E154" i="27"/>
  <c r="E153" i="27"/>
  <c r="E156" i="27" s="1"/>
  <c r="E216" i="27" s="1"/>
  <c r="E155" i="27"/>
  <c r="L73" i="10"/>
  <c r="L74" i="10"/>
  <c r="L71" i="10"/>
  <c r="L72" i="10"/>
  <c r="L75" i="10" s="1"/>
  <c r="L10" i="10" s="1"/>
  <c r="B98" i="33"/>
  <c r="B99" i="33"/>
  <c r="B102" i="33" s="1"/>
  <c r="B162" i="33" s="1"/>
  <c r="B100" i="33"/>
  <c r="B101" i="33"/>
  <c r="F124" i="33"/>
  <c r="F125" i="33"/>
  <c r="F122" i="33"/>
  <c r="F123" i="33"/>
  <c r="F126" i="33" s="1"/>
  <c r="F164" i="33" s="1"/>
  <c r="E14" i="24"/>
  <c r="J144" i="33"/>
  <c r="J145" i="33"/>
  <c r="H137" i="8"/>
  <c r="H134" i="8"/>
  <c r="H135" i="8"/>
  <c r="H138" i="8" s="1"/>
  <c r="H165" i="8" s="1"/>
  <c r="H136" i="8"/>
  <c r="K15" i="24"/>
  <c r="F76" i="2"/>
  <c r="G25" i="4"/>
  <c r="H25" i="4"/>
  <c r="D90" i="33"/>
  <c r="C109" i="8"/>
  <c r="C108" i="8"/>
  <c r="C88" i="33"/>
  <c r="C202" i="27"/>
  <c r="C203" i="27"/>
  <c r="C200" i="27"/>
  <c r="C201" i="27"/>
  <c r="C204" i="27" s="1"/>
  <c r="C220" i="27" s="1"/>
  <c r="J83" i="33"/>
  <c r="E138" i="33"/>
  <c r="E165" i="33" s="1"/>
  <c r="J76" i="2"/>
  <c r="K25" i="4"/>
  <c r="K76" i="2"/>
  <c r="L25" i="4"/>
  <c r="C11" i="23"/>
  <c r="C13" i="23" s="1"/>
  <c r="C11" i="6"/>
  <c r="H204" i="18"/>
  <c r="D7" i="18" s="1"/>
  <c r="D54" i="2" s="1"/>
  <c r="D102" i="33"/>
  <c r="D162" i="33" s="1"/>
  <c r="G146" i="8"/>
  <c r="G147" i="8"/>
  <c r="G76" i="2" s="1"/>
  <c r="G148" i="8"/>
  <c r="G149" i="8"/>
  <c r="G77" i="2" s="1"/>
  <c r="E90" i="33"/>
  <c r="E138" i="8"/>
  <c r="E165" i="8" s="1"/>
  <c r="J11" i="23"/>
  <c r="J13" i="23" s="1"/>
  <c r="J11" i="6"/>
  <c r="K11" i="23"/>
  <c r="K13" i="23" s="1"/>
  <c r="K11" i="6"/>
  <c r="C178" i="27"/>
  <c r="C179" i="27"/>
  <c r="C176" i="27"/>
  <c r="C177" i="27"/>
  <c r="C180" i="27" s="1"/>
  <c r="C218" i="27" s="1"/>
  <c r="F136" i="33"/>
  <c r="F137" i="33"/>
  <c r="F134" i="33"/>
  <c r="F135" i="33"/>
  <c r="F138" i="33" s="1"/>
  <c r="F165" i="33" s="1"/>
  <c r="F28" i="2"/>
  <c r="B28" i="2"/>
  <c r="K8" i="25" l="1"/>
  <c r="L13" i="10"/>
  <c r="K52" i="2" s="1"/>
  <c r="D167" i="8"/>
  <c r="D13" i="24"/>
  <c r="J14" i="24"/>
  <c r="F177" i="8"/>
  <c r="F167" i="8"/>
  <c r="F13" i="24"/>
  <c r="I13" i="24"/>
  <c r="I167" i="8"/>
  <c r="F17" i="24"/>
  <c r="A221" i="27"/>
  <c r="A231" i="27"/>
  <c r="A236" i="27" s="1"/>
  <c r="F180" i="33"/>
  <c r="G81" i="2"/>
  <c r="G78" i="2"/>
  <c r="G80" i="2" s="1"/>
  <c r="E221" i="27"/>
  <c r="E235" i="27" s="1"/>
  <c r="E231" i="27"/>
  <c r="L181" i="8"/>
  <c r="L17" i="24"/>
  <c r="L18" i="24" s="1"/>
  <c r="L167" i="8"/>
  <c r="A233" i="27"/>
  <c r="B178" i="8"/>
  <c r="B14" i="24"/>
  <c r="B167" i="8"/>
  <c r="E233" i="27"/>
  <c r="F177" i="33"/>
  <c r="F167" i="33"/>
  <c r="F179" i="33" s="1"/>
  <c r="E167" i="33"/>
  <c r="E177" i="33" s="1"/>
  <c r="B15" i="24"/>
  <c r="B179" i="8"/>
  <c r="A235" i="27"/>
  <c r="H16" i="24"/>
  <c r="B167" i="33"/>
  <c r="A234" i="27"/>
  <c r="I178" i="33"/>
  <c r="I167" i="33"/>
  <c r="F179" i="8"/>
  <c r="F15" i="24"/>
  <c r="I180" i="33"/>
  <c r="I179" i="8"/>
  <c r="I15" i="24"/>
  <c r="C221" i="27"/>
  <c r="C233" i="27" s="1"/>
  <c r="D180" i="8"/>
  <c r="D16" i="24"/>
  <c r="E179" i="8"/>
  <c r="E15" i="24"/>
  <c r="E177" i="8"/>
  <c r="E167" i="8"/>
  <c r="E13" i="24"/>
  <c r="J15" i="24"/>
  <c r="J167" i="8"/>
  <c r="J13" i="24"/>
  <c r="J18" i="24" s="1"/>
  <c r="F178" i="8"/>
  <c r="F14" i="24"/>
  <c r="E232" i="27"/>
  <c r="J148" i="33"/>
  <c r="J149" i="33"/>
  <c r="J146" i="33"/>
  <c r="J147" i="33"/>
  <c r="B235" i="27"/>
  <c r="B234" i="27"/>
  <c r="B232" i="27"/>
  <c r="C9" i="4"/>
  <c r="B45" i="2"/>
  <c r="A232" i="27"/>
  <c r="M177" i="8"/>
  <c r="M167" i="8"/>
  <c r="M13" i="24"/>
  <c r="M18" i="24" s="1"/>
  <c r="E9" i="4"/>
  <c r="D45" i="2"/>
  <c r="B233" i="27"/>
  <c r="M9" i="4"/>
  <c r="L45" i="2"/>
  <c r="C146" i="8"/>
  <c r="C147" i="8"/>
  <c r="C148" i="8"/>
  <c r="C149" i="8"/>
  <c r="I13" i="10"/>
  <c r="I52" i="2" s="1"/>
  <c r="K31" i="2"/>
  <c r="H167" i="8"/>
  <c r="H13" i="24"/>
  <c r="D235" i="27"/>
  <c r="D232" i="27"/>
  <c r="D234" i="27"/>
  <c r="D231" i="27"/>
  <c r="D236" i="27" s="1"/>
  <c r="J9" i="4"/>
  <c r="I45" i="2"/>
  <c r="B78" i="2"/>
  <c r="B80" i="2" s="1"/>
  <c r="L31" i="2"/>
  <c r="I77" i="2"/>
  <c r="G21" i="25"/>
  <c r="C134" i="8"/>
  <c r="C135" i="8"/>
  <c r="C136" i="8"/>
  <c r="C137" i="8"/>
  <c r="O9" i="4"/>
  <c r="N45" i="2"/>
  <c r="K80" i="2"/>
  <c r="K78" i="2"/>
  <c r="K81" i="2" s="1"/>
  <c r="N9" i="4"/>
  <c r="M45" i="2"/>
  <c r="J78" i="2"/>
  <c r="J82" i="2" s="1"/>
  <c r="C135" i="33"/>
  <c r="C136" i="33"/>
  <c r="C137" i="33"/>
  <c r="C134" i="33"/>
  <c r="E31" i="2"/>
  <c r="C101" i="33"/>
  <c r="C98" i="33"/>
  <c r="C99" i="33"/>
  <c r="C100" i="33"/>
  <c r="C14" i="2"/>
  <c r="C30" i="2"/>
  <c r="L11" i="25"/>
  <c r="L21" i="25" s="1"/>
  <c r="F21" i="25"/>
  <c r="H13" i="10"/>
  <c r="H52" i="2" s="1"/>
  <c r="J13" i="10"/>
  <c r="J6" i="25"/>
  <c r="J11" i="25" s="1"/>
  <c r="J21" i="25" s="1"/>
  <c r="E13" i="10"/>
  <c r="E52" i="2" s="1"/>
  <c r="K9" i="4"/>
  <c r="J45" i="2"/>
  <c r="H9" i="4"/>
  <c r="G45" i="2"/>
  <c r="B81" i="2"/>
  <c r="J110" i="33"/>
  <c r="J112" i="33"/>
  <c r="J111" i="33"/>
  <c r="J114" i="33" s="1"/>
  <c r="J163" i="33" s="1"/>
  <c r="J113" i="33"/>
  <c r="N51" i="2"/>
  <c r="N177" i="8"/>
  <c r="N180" i="8"/>
  <c r="N178" i="8"/>
  <c r="N181" i="8"/>
  <c r="D181" i="8"/>
  <c r="D17" i="24"/>
  <c r="G150" i="8"/>
  <c r="G166" i="8" s="1"/>
  <c r="C122" i="8"/>
  <c r="C123" i="8"/>
  <c r="C126" i="8" s="1"/>
  <c r="C164" i="8" s="1"/>
  <c r="C124" i="8"/>
  <c r="C125" i="8"/>
  <c r="L76" i="2"/>
  <c r="G31" i="2"/>
  <c r="C123" i="33"/>
  <c r="C126" i="33" s="1"/>
  <c r="C164" i="33" s="1"/>
  <c r="C124" i="33"/>
  <c r="C125" i="33"/>
  <c r="C122" i="33"/>
  <c r="N31" i="2"/>
  <c r="N66" i="2"/>
  <c r="I76" i="2"/>
  <c r="O111" i="8"/>
  <c r="N76" i="2" s="1"/>
  <c r="F9" i="4"/>
  <c r="E45" i="2"/>
  <c r="G14" i="2"/>
  <c r="G30" i="2"/>
  <c r="B31" i="2"/>
  <c r="K82" i="2"/>
  <c r="D31" i="2"/>
  <c r="K150" i="8"/>
  <c r="K166" i="8" s="1"/>
  <c r="H31" i="2"/>
  <c r="N78" i="2"/>
  <c r="N82" i="2" s="1"/>
  <c r="N80" i="2"/>
  <c r="M31" i="2"/>
  <c r="C111" i="33"/>
  <c r="C110" i="33"/>
  <c r="C113" i="33"/>
  <c r="C112" i="33"/>
  <c r="C102" i="33"/>
  <c r="C162" i="33" s="1"/>
  <c r="I9" i="4"/>
  <c r="H45" i="2"/>
  <c r="F14" i="2"/>
  <c r="F30" i="2"/>
  <c r="M30" i="2"/>
  <c r="M14" i="2"/>
  <c r="N21" i="25"/>
  <c r="B18" i="24"/>
  <c r="J81" i="2"/>
  <c r="C111" i="8"/>
  <c r="C110" i="8"/>
  <c r="C112" i="8"/>
  <c r="C113" i="8"/>
  <c r="D9" i="4"/>
  <c r="C45" i="2"/>
  <c r="F31" i="2"/>
  <c r="C147" i="33"/>
  <c r="C150" i="33" s="1"/>
  <c r="C166" i="33" s="1"/>
  <c r="C148" i="33"/>
  <c r="C149" i="33"/>
  <c r="C146" i="33"/>
  <c r="H17" i="24"/>
  <c r="H181" i="8"/>
  <c r="J90" i="33"/>
  <c r="C101" i="8"/>
  <c r="C98" i="8"/>
  <c r="C99" i="8"/>
  <c r="C100" i="8"/>
  <c r="J31" i="2"/>
  <c r="E77" i="2"/>
  <c r="M109" i="33"/>
  <c r="F77" i="2"/>
  <c r="E76" i="2"/>
  <c r="E78" i="2" s="1"/>
  <c r="E80" i="2" s="1"/>
  <c r="I78" i="2"/>
  <c r="I80" i="2" s="1"/>
  <c r="I31" i="2"/>
  <c r="C114" i="33"/>
  <c r="C163" i="33" s="1"/>
  <c r="J124" i="33"/>
  <c r="J125" i="33"/>
  <c r="J122" i="33"/>
  <c r="J123" i="33"/>
  <c r="J126" i="33" s="1"/>
  <c r="J164" i="33" s="1"/>
  <c r="B21" i="25"/>
  <c r="M21" i="25"/>
  <c r="N14" i="2"/>
  <c r="N30" i="2"/>
  <c r="N65" i="2"/>
  <c r="D21" i="25"/>
  <c r="E16" i="24"/>
  <c r="E180" i="8"/>
  <c r="D167" i="33"/>
  <c r="D177" i="33" s="1"/>
  <c r="L9" i="4"/>
  <c r="K45" i="2"/>
  <c r="E180" i="33"/>
  <c r="C114" i="8"/>
  <c r="C163" i="8" s="1"/>
  <c r="G9" i="4"/>
  <c r="F45" i="2"/>
  <c r="J150" i="33"/>
  <c r="J166" i="33" s="1"/>
  <c r="I180" i="8"/>
  <c r="I16" i="24"/>
  <c r="M78" i="2"/>
  <c r="M82" i="2" s="1"/>
  <c r="J136" i="33"/>
  <c r="J137" i="33"/>
  <c r="J134" i="33"/>
  <c r="J135" i="33"/>
  <c r="J138" i="33" s="1"/>
  <c r="J165" i="33" s="1"/>
  <c r="C90" i="33"/>
  <c r="C150" i="8"/>
  <c r="C166" i="8" s="1"/>
  <c r="I11" i="25"/>
  <c r="I21" i="25" s="1"/>
  <c r="C102" i="8"/>
  <c r="C162" i="8" s="1"/>
  <c r="C75" i="2"/>
  <c r="H78" i="2"/>
  <c r="H82" i="2" s="1"/>
  <c r="H80" i="2"/>
  <c r="D233" i="27"/>
  <c r="O110" i="8"/>
  <c r="J98" i="33"/>
  <c r="M111" i="33" s="1"/>
  <c r="J99" i="33"/>
  <c r="J102" i="33" s="1"/>
  <c r="J162" i="33" s="1"/>
  <c r="J100" i="33"/>
  <c r="M110" i="33" s="1"/>
  <c r="J101" i="33"/>
  <c r="D78" i="2"/>
  <c r="D82" i="2" s="1"/>
  <c r="D80" i="2"/>
  <c r="C138" i="8"/>
  <c r="C165" i="8" s="1"/>
  <c r="C138" i="33"/>
  <c r="C165" i="33" s="1"/>
  <c r="C90" i="8"/>
  <c r="M13" i="10"/>
  <c r="L52" i="2" s="1"/>
  <c r="B14" i="2"/>
  <c r="B30" i="2"/>
  <c r="H11" i="25"/>
  <c r="H21" i="25" s="1"/>
  <c r="J14" i="2"/>
  <c r="J30" i="2"/>
  <c r="K11" i="25"/>
  <c r="K21" i="25" s="1"/>
  <c r="D14" i="2"/>
  <c r="D30" i="2"/>
  <c r="E11" i="25"/>
  <c r="E21" i="25" s="1"/>
  <c r="J177" i="33" l="1"/>
  <c r="J167" i="33"/>
  <c r="J179" i="33"/>
  <c r="C15" i="24"/>
  <c r="J178" i="33"/>
  <c r="J180" i="33"/>
  <c r="L14" i="2"/>
  <c r="L30" i="2"/>
  <c r="C17" i="24"/>
  <c r="G13" i="4"/>
  <c r="F6" i="23"/>
  <c r="F10" i="23" s="1"/>
  <c r="F15" i="23" s="1"/>
  <c r="L13" i="4"/>
  <c r="K6" i="23"/>
  <c r="K10" i="23" s="1"/>
  <c r="K15" i="23" s="1"/>
  <c r="C27" i="2"/>
  <c r="C12" i="2"/>
  <c r="H27" i="2"/>
  <c r="H12" i="2"/>
  <c r="I81" i="2"/>
  <c r="I83" i="2" s="1"/>
  <c r="D81" i="2"/>
  <c r="N182" i="8"/>
  <c r="H13" i="4"/>
  <c r="G6" i="23"/>
  <c r="G10" i="23" s="1"/>
  <c r="G15" i="23" s="1"/>
  <c r="E14" i="2"/>
  <c r="E30" i="2"/>
  <c r="M6" i="23"/>
  <c r="M10" i="23" s="1"/>
  <c r="M15" i="23" s="1"/>
  <c r="N13" i="4"/>
  <c r="O13" i="4"/>
  <c r="N6" i="23"/>
  <c r="N10" i="23" s="1"/>
  <c r="N15" i="23" s="1"/>
  <c r="I6" i="23"/>
  <c r="I10" i="23" s="1"/>
  <c r="I15" i="23" s="1"/>
  <c r="J13" i="4"/>
  <c r="H51" i="2"/>
  <c r="H178" i="8"/>
  <c r="H179" i="8"/>
  <c r="I14" i="2"/>
  <c r="I30" i="2"/>
  <c r="J51" i="2"/>
  <c r="J180" i="8"/>
  <c r="J181" i="8"/>
  <c r="E18" i="24"/>
  <c r="B82" i="2"/>
  <c r="B83" i="2" s="1"/>
  <c r="B181" i="33"/>
  <c r="B180" i="33"/>
  <c r="B178" i="33"/>
  <c r="E178" i="33"/>
  <c r="C235" i="27"/>
  <c r="H81" i="2"/>
  <c r="F18" i="24"/>
  <c r="E234" i="27"/>
  <c r="D18" i="24"/>
  <c r="C16" i="24"/>
  <c r="M80" i="2"/>
  <c r="C14" i="24"/>
  <c r="C77" i="2"/>
  <c r="D13" i="4"/>
  <c r="C6" i="23"/>
  <c r="C10" i="23" s="1"/>
  <c r="C15" i="23" s="1"/>
  <c r="I13" i="4"/>
  <c r="H6" i="23"/>
  <c r="H10" i="23" s="1"/>
  <c r="H15" i="23" s="1"/>
  <c r="E12" i="2"/>
  <c r="E27" i="2"/>
  <c r="E58" i="2"/>
  <c r="E62" i="2"/>
  <c r="E60" i="2"/>
  <c r="G181" i="8"/>
  <c r="G17" i="24"/>
  <c r="G18" i="24" s="1"/>
  <c r="G167" i="8"/>
  <c r="N13" i="2"/>
  <c r="N29" i="2"/>
  <c r="N64" i="2"/>
  <c r="J27" i="2"/>
  <c r="J12" i="2"/>
  <c r="J58" i="2"/>
  <c r="J63" i="2"/>
  <c r="J56" i="2"/>
  <c r="J59" i="2"/>
  <c r="J62" i="2"/>
  <c r="J60" i="2"/>
  <c r="J80" i="2"/>
  <c r="J83" i="2" s="1"/>
  <c r="F78" i="2"/>
  <c r="F82" i="2" s="1"/>
  <c r="L27" i="2"/>
  <c r="L12" i="2"/>
  <c r="M51" i="2"/>
  <c r="M181" i="8"/>
  <c r="M180" i="8"/>
  <c r="M178" i="8"/>
  <c r="M182" i="8" s="1"/>
  <c r="M179" i="8"/>
  <c r="B27" i="2"/>
  <c r="B12" i="2"/>
  <c r="J177" i="8"/>
  <c r="E51" i="2"/>
  <c r="E181" i="8"/>
  <c r="E178" i="8"/>
  <c r="E182" i="8" s="1"/>
  <c r="C234" i="27"/>
  <c r="I181" i="33"/>
  <c r="I179" i="33"/>
  <c r="I177" i="33"/>
  <c r="I182" i="33" s="1"/>
  <c r="B177" i="33"/>
  <c r="I51" i="2"/>
  <c r="I178" i="8"/>
  <c r="I181" i="8"/>
  <c r="F51" i="2"/>
  <c r="F180" i="8"/>
  <c r="F182" i="8" s="1"/>
  <c r="D51" i="2"/>
  <c r="D178" i="8"/>
  <c r="D179" i="8"/>
  <c r="C167" i="8"/>
  <c r="C51" i="2" s="1"/>
  <c r="C63" i="2" s="1"/>
  <c r="C177" i="8"/>
  <c r="C13" i="24"/>
  <c r="C18" i="24" s="1"/>
  <c r="J181" i="33"/>
  <c r="D180" i="33"/>
  <c r="D178" i="33"/>
  <c r="D182" i="33" s="1"/>
  <c r="E81" i="2"/>
  <c r="E83" i="2" s="1"/>
  <c r="E6" i="23"/>
  <c r="E10" i="23" s="1"/>
  <c r="E15" i="23" s="1"/>
  <c r="F13" i="4"/>
  <c r="K13" i="4"/>
  <c r="J6" i="23"/>
  <c r="J10" i="23" s="1"/>
  <c r="J15" i="23" s="1"/>
  <c r="L78" i="2"/>
  <c r="K83" i="2"/>
  <c r="I82" i="2"/>
  <c r="H18" i="24"/>
  <c r="M13" i="4"/>
  <c r="L6" i="23"/>
  <c r="L10" i="23" s="1"/>
  <c r="L15" i="23" s="1"/>
  <c r="D27" i="2"/>
  <c r="D12" i="2"/>
  <c r="D58" i="2"/>
  <c r="D63" i="2"/>
  <c r="D62" i="2"/>
  <c r="C13" i="4"/>
  <c r="B6" i="23"/>
  <c r="B10" i="23" s="1"/>
  <c r="B15" i="23" s="1"/>
  <c r="J179" i="8"/>
  <c r="C232" i="27"/>
  <c r="E181" i="33"/>
  <c r="E179" i="33"/>
  <c r="E182" i="33" s="1"/>
  <c r="M81" i="2"/>
  <c r="E236" i="27"/>
  <c r="B179" i="33"/>
  <c r="I18" i="24"/>
  <c r="J178" i="8"/>
  <c r="K14" i="2"/>
  <c r="K30" i="2"/>
  <c r="D83" i="2"/>
  <c r="H83" i="2"/>
  <c r="D179" i="33"/>
  <c r="F27" i="2"/>
  <c r="F12" i="2"/>
  <c r="F58" i="2"/>
  <c r="F56" i="2"/>
  <c r="F63" i="2"/>
  <c r="F60" i="2"/>
  <c r="F59" i="2"/>
  <c r="F62" i="2"/>
  <c r="K27" i="2"/>
  <c r="K12" i="2"/>
  <c r="E82" i="2"/>
  <c r="F66" i="2"/>
  <c r="F65" i="2"/>
  <c r="C167" i="33"/>
  <c r="C178" i="33" s="1"/>
  <c r="K181" i="8"/>
  <c r="K17" i="24"/>
  <c r="K18" i="24" s="1"/>
  <c r="K167" i="8"/>
  <c r="N81" i="2"/>
  <c r="N83" i="2" s="1"/>
  <c r="D181" i="33"/>
  <c r="G27" i="2"/>
  <c r="G12" i="2"/>
  <c r="H14" i="2"/>
  <c r="H30" i="2"/>
  <c r="H65" i="2"/>
  <c r="E66" i="2"/>
  <c r="M12" i="2"/>
  <c r="M56" i="2"/>
  <c r="M58" i="2"/>
  <c r="M27" i="2"/>
  <c r="M63" i="2"/>
  <c r="M61" i="2"/>
  <c r="M62" i="2"/>
  <c r="M59" i="2"/>
  <c r="M60" i="2"/>
  <c r="N27" i="2"/>
  <c r="N12" i="2"/>
  <c r="N22" i="2" s="1"/>
  <c r="N56" i="2"/>
  <c r="N58" i="2"/>
  <c r="N61" i="2"/>
  <c r="N63" i="2"/>
  <c r="N59" i="2"/>
  <c r="N60" i="2"/>
  <c r="N62" i="2"/>
  <c r="I12" i="2"/>
  <c r="I58" i="2"/>
  <c r="I27" i="2"/>
  <c r="I62" i="2"/>
  <c r="I63" i="2"/>
  <c r="I56" i="2"/>
  <c r="I60" i="2"/>
  <c r="I59" i="2"/>
  <c r="H177" i="8"/>
  <c r="C76" i="2"/>
  <c r="C78" i="2" s="1"/>
  <c r="C80" i="2" s="1"/>
  <c r="E13" i="4"/>
  <c r="D6" i="23"/>
  <c r="D10" i="23" s="1"/>
  <c r="D15" i="23" s="1"/>
  <c r="C231" i="27"/>
  <c r="C236" i="27" s="1"/>
  <c r="H180" i="8"/>
  <c r="F181" i="33"/>
  <c r="F178" i="33"/>
  <c r="F182" i="33" s="1"/>
  <c r="B51" i="2"/>
  <c r="B181" i="8"/>
  <c r="B180" i="8"/>
  <c r="B177" i="8"/>
  <c r="L51" i="2"/>
  <c r="L178" i="8"/>
  <c r="L180" i="8"/>
  <c r="L179" i="8"/>
  <c r="L177" i="8"/>
  <c r="G82" i="2"/>
  <c r="G83" i="2" s="1"/>
  <c r="F181" i="8"/>
  <c r="I177" i="8"/>
  <c r="I182" i="8" s="1"/>
  <c r="D177" i="8"/>
  <c r="D182" i="8" s="1"/>
  <c r="M40" i="2" l="1"/>
  <c r="L13" i="2"/>
  <c r="L21" i="2" s="1"/>
  <c r="L29" i="2"/>
  <c r="L38" i="2" s="1"/>
  <c r="L64" i="2"/>
  <c r="L66" i="2"/>
  <c r="B13" i="2"/>
  <c r="B29" i="2"/>
  <c r="B64" i="2"/>
  <c r="B65" i="2"/>
  <c r="B66" i="2"/>
  <c r="D13" i="2"/>
  <c r="D21" i="2" s="1"/>
  <c r="D29" i="2"/>
  <c r="D38" i="2" s="1"/>
  <c r="D64" i="2"/>
  <c r="D65" i="2"/>
  <c r="D66" i="2"/>
  <c r="B62" i="2"/>
  <c r="B63" i="2"/>
  <c r="M13" i="2"/>
  <c r="M29" i="2"/>
  <c r="M38" i="2" s="1"/>
  <c r="M64" i="2"/>
  <c r="M69" i="2" s="1"/>
  <c r="M65" i="2"/>
  <c r="M66" i="2"/>
  <c r="L62" i="2"/>
  <c r="L58" i="2"/>
  <c r="H13" i="2"/>
  <c r="H21" i="2" s="1"/>
  <c r="H29" i="2"/>
  <c r="H64" i="2"/>
  <c r="H63" i="2"/>
  <c r="H20" i="2"/>
  <c r="H17" i="2"/>
  <c r="N10" i="20" s="1"/>
  <c r="C66" i="2"/>
  <c r="C180" i="33"/>
  <c r="L22" i="2"/>
  <c r="C181" i="33"/>
  <c r="C179" i="33"/>
  <c r="N36" i="2"/>
  <c r="N34" i="2"/>
  <c r="N37" i="2"/>
  <c r="D20" i="2"/>
  <c r="D17" i="2"/>
  <c r="J10" i="20" s="1"/>
  <c r="L82" i="2"/>
  <c r="L80" i="2"/>
  <c r="L81" i="2"/>
  <c r="C64" i="2"/>
  <c r="C13" i="2"/>
  <c r="C29" i="2"/>
  <c r="C59" i="2"/>
  <c r="I13" i="2"/>
  <c r="I21" i="2" s="1"/>
  <c r="I29" i="2"/>
  <c r="I38" i="2" s="1"/>
  <c r="I64" i="2"/>
  <c r="I66" i="2"/>
  <c r="B60" i="2"/>
  <c r="B58" i="2"/>
  <c r="L60" i="2"/>
  <c r="L61" i="2"/>
  <c r="L36" i="2"/>
  <c r="L34" i="2"/>
  <c r="L37" i="2"/>
  <c r="N38" i="2"/>
  <c r="H56" i="2"/>
  <c r="H58" i="2"/>
  <c r="C62" i="2"/>
  <c r="C58" i="2"/>
  <c r="L182" i="8"/>
  <c r="H182" i="8"/>
  <c r="I20" i="2"/>
  <c r="N17" i="2"/>
  <c r="N20" i="2"/>
  <c r="N23" i="2" s="1"/>
  <c r="B182" i="8"/>
  <c r="O8" i="20"/>
  <c r="I36" i="2"/>
  <c r="I34" i="2"/>
  <c r="I37" i="2"/>
  <c r="N69" i="2"/>
  <c r="M20" i="2"/>
  <c r="M17" i="2"/>
  <c r="H39" i="2"/>
  <c r="C177" i="33"/>
  <c r="C182" i="33" s="1"/>
  <c r="D56" i="2"/>
  <c r="J8" i="20"/>
  <c r="D36" i="2"/>
  <c r="D34" i="2"/>
  <c r="D37" i="2"/>
  <c r="C65" i="2"/>
  <c r="N40" i="2"/>
  <c r="F13" i="2"/>
  <c r="F21" i="2" s="1"/>
  <c r="F29" i="2"/>
  <c r="F38" i="2" s="1"/>
  <c r="F64" i="2"/>
  <c r="E13" i="2"/>
  <c r="E21" i="2" s="1"/>
  <c r="E29" i="2"/>
  <c r="E38" i="2" s="1"/>
  <c r="E64" i="2"/>
  <c r="B59" i="2"/>
  <c r="B20" i="2"/>
  <c r="B17" i="2"/>
  <c r="H10" i="20" s="1"/>
  <c r="L63" i="2"/>
  <c r="L56" i="2"/>
  <c r="F80" i="2"/>
  <c r="F81" i="2"/>
  <c r="J20" i="2"/>
  <c r="N21" i="2"/>
  <c r="E56" i="2"/>
  <c r="E20" i="2"/>
  <c r="E17" i="2"/>
  <c r="K10" i="20" s="1"/>
  <c r="C178" i="8"/>
  <c r="C182" i="8" s="1"/>
  <c r="J22" i="2"/>
  <c r="J13" i="2"/>
  <c r="J21" i="2" s="1"/>
  <c r="J29" i="2"/>
  <c r="J64" i="2"/>
  <c r="J69" i="2" s="1"/>
  <c r="J65" i="2"/>
  <c r="J66" i="2"/>
  <c r="E65" i="2"/>
  <c r="H66" i="2"/>
  <c r="H59" i="2"/>
  <c r="N8" i="20"/>
  <c r="H36" i="2"/>
  <c r="H34" i="2"/>
  <c r="H37" i="2"/>
  <c r="C60" i="2"/>
  <c r="C20" i="2"/>
  <c r="C17" i="2"/>
  <c r="I10" i="20" s="1"/>
  <c r="L65" i="2"/>
  <c r="C179" i="8"/>
  <c r="C81" i="2"/>
  <c r="C83" i="2" s="1"/>
  <c r="I69" i="2"/>
  <c r="M34" i="2"/>
  <c r="M36" i="2"/>
  <c r="M37" i="2"/>
  <c r="H22" i="2"/>
  <c r="O166" i="8"/>
  <c r="P166" i="8" s="1"/>
  <c r="K51" i="2"/>
  <c r="K178" i="8"/>
  <c r="K180" i="8"/>
  <c r="K177" i="8"/>
  <c r="K182" i="8" s="1"/>
  <c r="K179" i="8"/>
  <c r="F69" i="2"/>
  <c r="D60" i="2"/>
  <c r="D59" i="2"/>
  <c r="D69" i="2" s="1"/>
  <c r="N39" i="2"/>
  <c r="B182" i="33"/>
  <c r="J182" i="8"/>
  <c r="B56" i="2"/>
  <c r="H8" i="20"/>
  <c r="B36" i="2"/>
  <c r="B34" i="2"/>
  <c r="B37" i="2"/>
  <c r="L59" i="2"/>
  <c r="L20" i="2"/>
  <c r="L23" i="2" s="1"/>
  <c r="L17" i="2"/>
  <c r="P8" i="20"/>
  <c r="J36" i="2"/>
  <c r="J34" i="2"/>
  <c r="J37" i="2"/>
  <c r="G51" i="2"/>
  <c r="G178" i="8"/>
  <c r="G180" i="8"/>
  <c r="G177" i="8"/>
  <c r="G179" i="8"/>
  <c r="E59" i="2"/>
  <c r="E69" i="2" s="1"/>
  <c r="E63" i="2"/>
  <c r="D40" i="2"/>
  <c r="C82" i="2"/>
  <c r="M83" i="2"/>
  <c r="D22" i="2"/>
  <c r="C180" i="8"/>
  <c r="I65" i="2"/>
  <c r="L40" i="2"/>
  <c r="E39" i="2"/>
  <c r="H60" i="2"/>
  <c r="H62" i="2"/>
  <c r="M39" i="2"/>
  <c r="C56" i="2"/>
  <c r="I8" i="20"/>
  <c r="C36" i="2"/>
  <c r="C34" i="2"/>
  <c r="C40" i="2"/>
  <c r="C37" i="2"/>
  <c r="C181" i="8"/>
  <c r="L39" i="2"/>
  <c r="J182" i="33"/>
  <c r="I44" i="20" l="1"/>
  <c r="I57" i="20"/>
  <c r="I64" i="20"/>
  <c r="C6" i="2" s="1"/>
  <c r="I74" i="20"/>
  <c r="I91" i="20"/>
  <c r="C7" i="2" s="1"/>
  <c r="I20" i="20"/>
  <c r="I93" i="20"/>
  <c r="G182" i="8"/>
  <c r="K64" i="2"/>
  <c r="K13" i="2"/>
  <c r="K29" i="2"/>
  <c r="K58" i="2"/>
  <c r="K59" i="2"/>
  <c r="K65" i="2"/>
  <c r="K61" i="2"/>
  <c r="K56" i="2"/>
  <c r="K63" i="2"/>
  <c r="K62" i="2"/>
  <c r="K66" i="2"/>
  <c r="K60" i="2"/>
  <c r="M41" i="2"/>
  <c r="N57" i="20"/>
  <c r="N64" i="20"/>
  <c r="H6" i="2" s="1"/>
  <c r="N74" i="20"/>
  <c r="N20" i="20"/>
  <c r="N44" i="20"/>
  <c r="N91" i="20"/>
  <c r="H7" i="2" s="1"/>
  <c r="N93" i="20"/>
  <c r="E23" i="2"/>
  <c r="J17" i="2"/>
  <c r="P10" i="20" s="1"/>
  <c r="J57" i="20"/>
  <c r="J64" i="20"/>
  <c r="D6" i="2" s="1"/>
  <c r="J74" i="20"/>
  <c r="J20" i="20"/>
  <c r="J44" i="20"/>
  <c r="J91" i="20"/>
  <c r="D7" i="2" s="1"/>
  <c r="J93" i="20"/>
  <c r="I17" i="2"/>
  <c r="O10" i="20" s="1"/>
  <c r="C69" i="2"/>
  <c r="I22" i="2"/>
  <c r="I23" i="2" s="1"/>
  <c r="K8" i="20"/>
  <c r="B69" i="2"/>
  <c r="C21" i="2"/>
  <c r="C22" i="2"/>
  <c r="C23" i="2" s="1"/>
  <c r="F37" i="2"/>
  <c r="E22" i="2"/>
  <c r="I39" i="2"/>
  <c r="M21" i="2"/>
  <c r="M22" i="2"/>
  <c r="F17" i="2"/>
  <c r="L10" i="20" s="1"/>
  <c r="B21" i="2"/>
  <c r="B22" i="2"/>
  <c r="B23" i="2" s="1"/>
  <c r="F39" i="2"/>
  <c r="J23" i="2"/>
  <c r="M23" i="2"/>
  <c r="E37" i="2"/>
  <c r="L41" i="2"/>
  <c r="F34" i="2"/>
  <c r="N21" i="20"/>
  <c r="N45" i="20"/>
  <c r="N65" i="20"/>
  <c r="N77" i="20"/>
  <c r="N58" i="20"/>
  <c r="N92" i="20"/>
  <c r="F40" i="2"/>
  <c r="F20" i="2"/>
  <c r="D39" i="2"/>
  <c r="H44" i="20"/>
  <c r="H20" i="20"/>
  <c r="H91" i="20"/>
  <c r="B7" i="2" s="1"/>
  <c r="H93" i="20"/>
  <c r="H64" i="20"/>
  <c r="B6" i="2" s="1"/>
  <c r="H57" i="20"/>
  <c r="I58" i="20"/>
  <c r="I65" i="20"/>
  <c r="I21" i="20"/>
  <c r="I77" i="20"/>
  <c r="I92" i="20"/>
  <c r="I45" i="20"/>
  <c r="H45" i="20"/>
  <c r="H58" i="20"/>
  <c r="H65" i="20"/>
  <c r="H21" i="20"/>
  <c r="H92" i="20"/>
  <c r="O20" i="20"/>
  <c r="O57" i="20"/>
  <c r="O44" i="20"/>
  <c r="O93" i="20"/>
  <c r="O64" i="20"/>
  <c r="I6" i="2" s="1"/>
  <c r="O74" i="20"/>
  <c r="O91" i="20"/>
  <c r="I7" i="2" s="1"/>
  <c r="H69" i="2"/>
  <c r="E34" i="2"/>
  <c r="J21" i="20"/>
  <c r="J58" i="20"/>
  <c r="J45" i="20"/>
  <c r="J77" i="20"/>
  <c r="J65" i="20"/>
  <c r="J92" i="20"/>
  <c r="F36" i="2"/>
  <c r="F41" i="2" s="1"/>
  <c r="N41" i="2"/>
  <c r="H23" i="2"/>
  <c r="H38" i="2"/>
  <c r="H40" i="2"/>
  <c r="L69" i="2"/>
  <c r="I40" i="2"/>
  <c r="I41" i="2" s="1"/>
  <c r="G13" i="2"/>
  <c r="G29" i="2"/>
  <c r="G64" i="2"/>
  <c r="G59" i="2"/>
  <c r="G65" i="2"/>
  <c r="G66" i="2"/>
  <c r="G63" i="2"/>
  <c r="G56" i="2"/>
  <c r="G58" i="2"/>
  <c r="G69" i="2" s="1"/>
  <c r="G62" i="2"/>
  <c r="G60" i="2"/>
  <c r="P44" i="20"/>
  <c r="P20" i="20"/>
  <c r="P91" i="20"/>
  <c r="J7" i="2" s="1"/>
  <c r="P57" i="20"/>
  <c r="P93" i="20"/>
  <c r="P64" i="20"/>
  <c r="J6" i="2" s="1"/>
  <c r="P74" i="20"/>
  <c r="F22" i="2"/>
  <c r="H41" i="2"/>
  <c r="J38" i="2"/>
  <c r="J41" i="2" s="1"/>
  <c r="J39" i="2"/>
  <c r="J40" i="2"/>
  <c r="K45" i="20"/>
  <c r="K21" i="20"/>
  <c r="K65" i="20"/>
  <c r="K92" i="20"/>
  <c r="K58" i="20"/>
  <c r="K77" i="20"/>
  <c r="F83" i="2"/>
  <c r="D41" i="2"/>
  <c r="E36" i="2"/>
  <c r="E41" i="2" s="1"/>
  <c r="C38" i="2"/>
  <c r="C41" i="2" s="1"/>
  <c r="C39" i="2"/>
  <c r="L83" i="2"/>
  <c r="D23" i="2"/>
  <c r="L8" i="20"/>
  <c r="B38" i="2"/>
  <c r="B41" i="2" s="1"/>
  <c r="B40" i="2"/>
  <c r="B39" i="2"/>
  <c r="E40" i="2"/>
  <c r="K69" i="2" l="1"/>
  <c r="I75" i="20"/>
  <c r="I76" i="20"/>
  <c r="K38" i="2"/>
  <c r="Q8" i="20"/>
  <c r="K36" i="2"/>
  <c r="K39" i="2"/>
  <c r="K34" i="2"/>
  <c r="K40" i="2"/>
  <c r="K37" i="2"/>
  <c r="N75" i="20"/>
  <c r="N76" i="20"/>
  <c r="L44" i="20"/>
  <c r="L20" i="20"/>
  <c r="L57" i="20"/>
  <c r="L64" i="20"/>
  <c r="F6" i="2" s="1"/>
  <c r="L74" i="20"/>
  <c r="L91" i="20"/>
  <c r="F7" i="2" s="1"/>
  <c r="L93" i="20"/>
  <c r="O75" i="20"/>
  <c r="O76" i="20"/>
  <c r="L45" i="20"/>
  <c r="L58" i="20"/>
  <c r="L65" i="20"/>
  <c r="L77" i="20"/>
  <c r="L21" i="20"/>
  <c r="L92" i="20"/>
  <c r="O45" i="20"/>
  <c r="O21" i="20"/>
  <c r="O58" i="20"/>
  <c r="O92" i="20"/>
  <c r="O65" i="20"/>
  <c r="O77" i="20"/>
  <c r="P45" i="20"/>
  <c r="P77" i="20"/>
  <c r="P65" i="20"/>
  <c r="P58" i="20"/>
  <c r="P92" i="20"/>
  <c r="P21" i="20"/>
  <c r="K21" i="2"/>
  <c r="K20" i="2"/>
  <c r="K22" i="2"/>
  <c r="K17" i="2"/>
  <c r="Q10" i="20" s="1"/>
  <c r="G21" i="2"/>
  <c r="G17" i="2"/>
  <c r="M10" i="20" s="1"/>
  <c r="G22" i="2"/>
  <c r="G20" i="2"/>
  <c r="K79" i="20"/>
  <c r="K78" i="20"/>
  <c r="P76" i="20"/>
  <c r="P75" i="20"/>
  <c r="G38" i="2"/>
  <c r="G39" i="2"/>
  <c r="G37" i="2"/>
  <c r="M8" i="20"/>
  <c r="G40" i="2"/>
  <c r="G36" i="2"/>
  <c r="G34" i="2"/>
  <c r="J79" i="20"/>
  <c r="J78" i="20"/>
  <c r="I78" i="20"/>
  <c r="I79" i="20"/>
  <c r="F23" i="2"/>
  <c r="N79" i="20"/>
  <c r="N78" i="20"/>
  <c r="K20" i="20"/>
  <c r="K57" i="20"/>
  <c r="K44" i="20"/>
  <c r="K93" i="20"/>
  <c r="K64" i="20"/>
  <c r="E6" i="2" s="1"/>
  <c r="K74" i="20"/>
  <c r="K91" i="20"/>
  <c r="E7" i="2" s="1"/>
  <c r="J75" i="20"/>
  <c r="J76" i="20"/>
  <c r="M44" i="20" l="1"/>
  <c r="M57" i="20"/>
  <c r="M64" i="20"/>
  <c r="G6" i="2" s="1"/>
  <c r="M74" i="20"/>
  <c r="M91" i="20"/>
  <c r="G7" i="2" s="1"/>
  <c r="M93" i="20"/>
  <c r="M20" i="20"/>
  <c r="G23" i="2"/>
  <c r="P78" i="20"/>
  <c r="P79" i="20"/>
  <c r="K75" i="20"/>
  <c r="K76" i="20"/>
  <c r="K41" i="2"/>
  <c r="G41" i="2"/>
  <c r="M58" i="20"/>
  <c r="M65" i="20"/>
  <c r="M21" i="20"/>
  <c r="M45" i="20"/>
  <c r="M77" i="20"/>
  <c r="M92" i="20"/>
  <c r="K23" i="2"/>
  <c r="O79" i="20"/>
  <c r="O78" i="20"/>
  <c r="L79" i="20"/>
  <c r="L78" i="20"/>
  <c r="L75" i="20"/>
  <c r="L76" i="20"/>
  <c r="M75" i="20" l="1"/>
  <c r="M76" i="20"/>
  <c r="M78" i="20"/>
  <c r="M79" i="20"/>
</calcChain>
</file>

<file path=xl/comments1.xml><?xml version="1.0" encoding="utf-8"?>
<comments xmlns="http://schemas.openxmlformats.org/spreadsheetml/2006/main">
  <authors>
    <author>Administrator</author>
  </authors>
  <commentList>
    <comment ref="A10" authorId="0" shapeId="0">
      <text>
        <r>
          <rPr>
            <b/>
            <sz val="8"/>
            <color indexed="81"/>
            <rFont val="Tahoma"/>
            <family val="2"/>
          </rPr>
          <t>Billie Borden:</t>
        </r>
        <r>
          <rPr>
            <sz val="8"/>
            <color indexed="81"/>
            <rFont val="Tahoma"/>
            <family val="2"/>
          </rPr>
          <t xml:space="preserve">
S3 EmpCom not included. Offsets subtracted.
</t>
        </r>
      </text>
    </comment>
    <comment ref="A25" authorId="0" shapeId="0">
      <text>
        <r>
          <rPr>
            <b/>
            <sz val="8"/>
            <color indexed="8"/>
            <rFont val="Tahoma"/>
            <family val="2"/>
          </rPr>
          <t>Billie Borden:</t>
        </r>
        <r>
          <rPr>
            <sz val="8"/>
            <color indexed="8"/>
            <rFont val="Tahoma"/>
            <family val="2"/>
          </rPr>
          <t xml:space="preserve">
</t>
        </r>
        <r>
          <rPr>
            <sz val="8"/>
            <color indexed="8"/>
            <rFont val="Tahoma"/>
            <family val="2"/>
          </rPr>
          <t xml:space="preserve">S3 EmpCom not included. Offsets subtracted.
</t>
        </r>
        <r>
          <rPr>
            <sz val="8"/>
            <color indexed="8"/>
            <rFont val="Tahoma"/>
            <family val="2"/>
          </rPr>
          <t xml:space="preserve">
</t>
        </r>
      </text>
    </comment>
    <comment ref="A34" authorId="0" shapeId="0">
      <text>
        <r>
          <rPr>
            <b/>
            <sz val="8"/>
            <color indexed="81"/>
            <rFont val="Tahoma"/>
            <family val="2"/>
          </rPr>
          <t>Billie Borden:</t>
        </r>
        <r>
          <rPr>
            <sz val="8"/>
            <color indexed="81"/>
            <rFont val="Tahoma"/>
            <family val="2"/>
          </rPr>
          <t xml:space="preserve">
offsets are not subtracted from total</t>
        </r>
      </text>
    </comment>
    <comment ref="A56" authorId="0" shapeId="0">
      <text>
        <r>
          <rPr>
            <b/>
            <sz val="8"/>
            <color indexed="81"/>
            <rFont val="Tahoma"/>
            <family val="2"/>
          </rPr>
          <t>Billie Borden:</t>
        </r>
        <r>
          <rPr>
            <sz val="8"/>
            <color indexed="81"/>
            <rFont val="Tahoma"/>
            <family val="2"/>
          </rPr>
          <t xml:space="preserve">
Total consists of those emissions for which the college claims responsibility--all but Emp Com, less the total amount of MTCDEs offset.
</t>
        </r>
      </text>
    </comment>
    <comment ref="A71" authorId="0" shapeId="0">
      <text>
        <r>
          <rPr>
            <b/>
            <sz val="8"/>
            <color indexed="8"/>
            <rFont val="Tahoma"/>
            <family val="2"/>
          </rPr>
          <t>Billie Borden:</t>
        </r>
        <r>
          <rPr>
            <sz val="8"/>
            <color indexed="8"/>
            <rFont val="Tahoma"/>
            <family val="2"/>
          </rPr>
          <t xml:space="preserve">
</t>
        </r>
        <r>
          <rPr>
            <sz val="8"/>
            <color indexed="8"/>
            <rFont val="Tahoma"/>
            <family val="2"/>
          </rPr>
          <t xml:space="preserve">s3 EmpCom not included
</t>
        </r>
      </text>
    </comment>
  </commentList>
</comments>
</file>

<file path=xl/comments2.xml><?xml version="1.0" encoding="utf-8"?>
<comments xmlns="http://schemas.openxmlformats.org/spreadsheetml/2006/main">
  <authors>
    <author>LIS</author>
    <author>Default Profile</author>
  </authors>
  <commentList>
    <comment ref="D18" authorId="0" shapeId="0">
      <text>
        <r>
          <rPr>
            <b/>
            <sz val="8"/>
            <color indexed="81"/>
            <rFont val="Tahoma"/>
            <family val="2"/>
          </rPr>
          <t xml:space="preserve">SG:
</t>
        </r>
        <r>
          <rPr>
            <sz val="8"/>
            <color indexed="81"/>
            <rFont val="Tahoma"/>
            <family val="2"/>
          </rPr>
          <t>This number also includes kerosene, since Efs for N2O and CH4 could not be found. The kerosene is used mainly as an additive for #2 oil during winter months.  Kerosene blends with #2 diesel fuel to keep viscosity low enough to pump when it's very cold. (MM)</t>
        </r>
      </text>
    </comment>
    <comment ref="E18" authorId="0" shapeId="0">
      <text>
        <r>
          <rPr>
            <b/>
            <sz val="8"/>
            <color indexed="81"/>
            <rFont val="Tahoma"/>
            <family val="2"/>
          </rPr>
          <t xml:space="preserve">SG:
</t>
        </r>
        <r>
          <rPr>
            <sz val="8"/>
            <color indexed="81"/>
            <rFont val="Tahoma"/>
            <family val="2"/>
          </rPr>
          <t>This number also includes kerosene, since Efs for N2O and CH4 could not be found. The kerosene is used mainly as an additive for #2 oil during winter months.  Kerosene blends with #2 diesel fuel to keep viscosity low enough to pump when it's very cold. (MM)</t>
        </r>
      </text>
    </comment>
    <comment ref="G32" authorId="1" shapeId="0">
      <text>
        <r>
          <rPr>
            <b/>
            <sz val="8"/>
            <color indexed="8"/>
            <rFont val="Tahoma"/>
            <family val="2"/>
          </rPr>
          <t xml:space="preserve">is this number due to the biomass plant shutdown?
</t>
        </r>
      </text>
    </comment>
  </commentList>
</comments>
</file>

<file path=xl/comments3.xml><?xml version="1.0" encoding="utf-8"?>
<comments xmlns="http://schemas.openxmlformats.org/spreadsheetml/2006/main">
  <authors>
    <author>Byrne, Jack</author>
    <author>Middlebury College</author>
    <author>LIS</author>
    <author>Julian Macrone</author>
  </authors>
  <commentList>
    <comment ref="S7" authorId="0" shapeId="0">
      <text>
        <r>
          <rPr>
            <b/>
            <sz val="10"/>
            <color indexed="8"/>
            <rFont val="Tahoma"/>
            <family val="2"/>
          </rPr>
          <t>Byrne, Jack:</t>
        </r>
      </text>
    </comment>
    <comment ref="E11" authorId="1" shapeId="0">
      <text>
        <r>
          <rPr>
            <b/>
            <sz val="8"/>
            <color indexed="81"/>
            <rFont val="Tahoma"/>
            <family val="2"/>
          </rPr>
          <t>Middlebury College:</t>
        </r>
        <r>
          <rPr>
            <sz val="8"/>
            <color indexed="81"/>
            <rFont val="Tahoma"/>
            <family val="2"/>
          </rPr>
          <t xml:space="preserve">
do we delete or not? Is it significant?
</t>
        </r>
      </text>
    </comment>
    <comment ref="A12" authorId="2" shapeId="0">
      <text>
        <r>
          <rPr>
            <b/>
            <sz val="8"/>
            <color indexed="81"/>
            <rFont val="Tahoma"/>
            <family val="2"/>
          </rPr>
          <t xml:space="preserve">Billie Borden: </t>
        </r>
        <r>
          <rPr>
            <sz val="8"/>
            <color indexed="81"/>
            <rFont val="Tahoma"/>
            <family val="2"/>
          </rPr>
          <t>College President's house uses cow power. Address on receipts is 3 South Street.</t>
        </r>
        <r>
          <rPr>
            <sz val="8"/>
            <color indexed="81"/>
            <rFont val="Tahoma"/>
            <family val="2"/>
          </rPr>
          <t xml:space="preserve">
</t>
        </r>
      </text>
    </comment>
    <comment ref="A35" authorId="3" shapeId="0">
      <text>
        <r>
          <rPr>
            <b/>
            <sz val="9"/>
            <color indexed="81"/>
            <rFont val="Arial"/>
            <family val="2"/>
          </rPr>
          <t>Julian Macrone:</t>
        </r>
        <r>
          <rPr>
            <sz val="9"/>
            <color indexed="81"/>
            <rFont val="Arial"/>
            <family val="2"/>
          </rPr>
          <t xml:space="preserve">
ISO-NE generated sources represent 93% of the total power used in NE - roughly 7.85% is imported over externatl ties.
</t>
        </r>
      </text>
    </comment>
    <comment ref="A43" authorId="3" shapeId="0">
      <text>
        <r>
          <rPr>
            <b/>
            <sz val="9"/>
            <color indexed="81"/>
            <rFont val="Arial"/>
            <family val="2"/>
          </rPr>
          <t>Julian Macrone:</t>
        </r>
        <r>
          <rPr>
            <sz val="9"/>
            <color indexed="81"/>
            <rFont val="Arial"/>
            <family val="2"/>
          </rPr>
          <t xml:space="preserve">
Separate figures for distillate and residual oil were not available for 2012</t>
        </r>
      </text>
    </comment>
  </commentList>
</comments>
</file>

<file path=xl/comments4.xml><?xml version="1.0" encoding="utf-8"?>
<comments xmlns="http://schemas.openxmlformats.org/spreadsheetml/2006/main">
  <authors>
    <author>Middlebury College</author>
  </authors>
  <commentList>
    <comment ref="A35" authorId="0" shapeId="0">
      <text>
        <r>
          <rPr>
            <b/>
            <sz val="8"/>
            <color indexed="81"/>
            <rFont val="Tahoma"/>
            <family val="2"/>
          </rPr>
          <t>Middlebury College:</t>
        </r>
        <r>
          <rPr>
            <sz val="8"/>
            <color indexed="81"/>
            <rFont val="Tahoma"/>
            <family val="2"/>
          </rPr>
          <t xml:space="preserve">
should be 28 weybrdige st. however is not on the CVPS invoice excel, not even for 08/09, the only year with listed data Check with CVPS [CN11]</t>
        </r>
      </text>
    </comment>
  </commentList>
</comments>
</file>

<file path=xl/comments5.xml><?xml version="1.0" encoding="utf-8"?>
<comments xmlns="http://schemas.openxmlformats.org/spreadsheetml/2006/main">
  <authors>
    <author>Middlebury College</author>
    <author>LIS</author>
    <author>Julian Macrone</author>
  </authors>
  <commentList>
    <comment ref="E11" authorId="0" shapeId="0">
      <text>
        <r>
          <rPr>
            <b/>
            <sz val="8"/>
            <color indexed="81"/>
            <rFont val="Tahoma"/>
            <family val="2"/>
          </rPr>
          <t>Middlebury College:</t>
        </r>
        <r>
          <rPr>
            <sz val="8"/>
            <color indexed="81"/>
            <rFont val="Tahoma"/>
            <family val="2"/>
          </rPr>
          <t xml:space="preserve">
do we delete or not? Is it significant?
</t>
        </r>
      </text>
    </comment>
    <comment ref="A12" authorId="1" shapeId="0">
      <text>
        <r>
          <rPr>
            <b/>
            <sz val="8"/>
            <color indexed="81"/>
            <rFont val="Tahoma"/>
            <family val="2"/>
          </rPr>
          <t xml:space="preserve">Billie Borden: </t>
        </r>
        <r>
          <rPr>
            <sz val="8"/>
            <color indexed="81"/>
            <rFont val="Tahoma"/>
            <family val="2"/>
          </rPr>
          <t>College President's house uses cow power. Address on receipts is 3 South Street.</t>
        </r>
        <r>
          <rPr>
            <sz val="8"/>
            <color indexed="81"/>
            <rFont val="Tahoma"/>
            <family val="2"/>
          </rPr>
          <t xml:space="preserve">
</t>
        </r>
      </text>
    </comment>
    <comment ref="A35" authorId="2" shapeId="0">
      <text>
        <r>
          <rPr>
            <b/>
            <sz val="9"/>
            <color indexed="81"/>
            <rFont val="Arial"/>
            <family val="2"/>
          </rPr>
          <t>Julian Macrone:</t>
        </r>
        <r>
          <rPr>
            <sz val="9"/>
            <color indexed="81"/>
            <rFont val="Arial"/>
            <family val="2"/>
          </rPr>
          <t xml:space="preserve">
ISO-NE generated sources represent 93% of the total power used in NE - roughly 7.85% is imported over externatl ties.
</t>
        </r>
      </text>
    </comment>
    <comment ref="A43" authorId="2" shapeId="0">
      <text>
        <r>
          <rPr>
            <b/>
            <sz val="9"/>
            <color indexed="81"/>
            <rFont val="Arial"/>
            <family val="2"/>
          </rPr>
          <t>Julian Macrone:</t>
        </r>
        <r>
          <rPr>
            <sz val="9"/>
            <color indexed="81"/>
            <rFont val="Arial"/>
            <family val="2"/>
          </rPr>
          <t xml:space="preserve">
Separate figures for distillate and residual oil were not available for 2012</t>
        </r>
      </text>
    </comment>
  </commentList>
</comments>
</file>

<file path=xl/comments6.xml><?xml version="1.0" encoding="utf-8"?>
<comments xmlns="http://schemas.openxmlformats.org/spreadsheetml/2006/main">
  <authors>
    <author>Administrator</author>
    <author>Middlebury College</author>
    <author>Julian Macrone</author>
    <author>LIS</author>
  </authors>
  <commentList>
    <comment ref="A19" authorId="0" shapeId="0">
      <text>
        <r>
          <rPr>
            <b/>
            <sz val="8"/>
            <color indexed="81"/>
            <rFont val="Tahoma"/>
            <family val="2"/>
          </rPr>
          <t>Billie Borden:</t>
        </r>
        <r>
          <rPr>
            <sz val="8"/>
            <color indexed="81"/>
            <rFont val="Tahoma"/>
            <family val="2"/>
          </rPr>
          <t xml:space="preserve">
The U.S. Energy Information Administration provides data on the average retail price of regular gasoline of all formulations on a monthly basis. Data for each month of the fiscal year were average together to yield the most accurate average cost of gasoline during that fiscal year. Data from previous fiscal years were updated using this methodology and souce. 
</t>
        </r>
      </text>
    </comment>
    <comment ref="F19" authorId="1" shapeId="0">
      <text>
        <r>
          <rPr>
            <b/>
            <sz val="8"/>
            <color indexed="8"/>
            <rFont val="Tahoma"/>
            <family val="2"/>
          </rPr>
          <t>Middlebury College:</t>
        </r>
        <r>
          <rPr>
            <sz val="8"/>
            <color indexed="8"/>
            <rFont val="Tahoma"/>
            <family val="2"/>
          </rPr>
          <t xml:space="preserve">
</t>
        </r>
        <r>
          <rPr>
            <sz val="8"/>
            <color indexed="8"/>
            <rFont val="Tahoma"/>
            <family val="2"/>
          </rPr>
          <t>this is supposed to be in cents, if adding EIA "change from year ago value" convert that into cents, not dollars and add [CN11]</t>
        </r>
      </text>
    </comment>
    <comment ref="G19" authorId="2" shapeId="0">
      <text>
        <r>
          <rPr>
            <sz val="9"/>
            <color indexed="81"/>
            <rFont val="Arial"/>
            <family val="2"/>
          </rPr>
          <t xml:space="preserve">Obtained by taking the mean of weekly gas prisec as listed by eia.gov from 07/11-07/11
</t>
        </r>
      </text>
    </comment>
    <comment ref="H19" authorId="2" shapeId="0">
      <text>
        <r>
          <rPr>
            <sz val="9"/>
            <color indexed="8"/>
            <rFont val="Arial"/>
            <family val="2"/>
          </rPr>
          <t xml:space="preserve">Obtained by taking the mean of weekly gas prisec as listed by eia.gov from 07/11-07/11
</t>
        </r>
        <r>
          <rPr>
            <sz val="9"/>
            <color indexed="8"/>
            <rFont val="Arial"/>
            <family val="2"/>
          </rPr>
          <t xml:space="preserve">
</t>
        </r>
      </text>
    </comment>
    <comment ref="I19" authorId="2" shapeId="0">
      <text>
        <r>
          <rPr>
            <sz val="9"/>
            <color indexed="81"/>
            <rFont val="Arial"/>
            <family val="2"/>
          </rPr>
          <t xml:space="preserve">Obtained by taking the mean of weekly gas prisec as listed by eia.gov from 07/11-07/11
</t>
        </r>
      </text>
    </comment>
    <comment ref="A97" authorId="0" shapeId="0">
      <text>
        <r>
          <rPr>
            <b/>
            <sz val="8"/>
            <color indexed="81"/>
            <rFont val="Tahoma"/>
            <family val="2"/>
          </rPr>
          <t>Billie Borden:</t>
        </r>
        <r>
          <rPr>
            <sz val="8"/>
            <color indexed="81"/>
            <rFont val="Tahoma"/>
            <family val="2"/>
          </rPr>
          <t xml:space="preserve">
The Bureau of Transportation Statistics releases information on a calendar-year basis, not a fiscal-year basis. For this inventory, the statistics for the first half of the fiscal year are used, (e.g., for FY01-02, statistical information from 2001 is used).
</t>
        </r>
      </text>
    </comment>
    <comment ref="C97" authorId="3" shapeId="0">
      <text>
        <r>
          <rPr>
            <b/>
            <sz val="8"/>
            <color indexed="81"/>
            <rFont val="Tahoma"/>
            <family val="2"/>
          </rPr>
          <t xml:space="preserve">Shalyn Getz:
</t>
        </r>
        <r>
          <rPr>
            <sz val="8"/>
            <color indexed="81"/>
            <rFont val="Tahoma"/>
            <family val="2"/>
          </rPr>
          <t xml:space="preserve">The 2008 edition of National Transportation Statistics produced by the Bureau of Transportaion Statistics does not include information for 2006. The statistical information from the most recent fiscal year is included in its place.
</t>
        </r>
      </text>
    </comment>
    <comment ref="F97" authorId="1" shapeId="0">
      <text>
        <r>
          <rPr>
            <b/>
            <sz val="8"/>
            <color indexed="81"/>
            <rFont val="Tahoma"/>
            <family val="2"/>
          </rPr>
          <t>Middlebury College:</t>
        </r>
        <r>
          <rPr>
            <sz val="8"/>
            <color indexed="81"/>
            <rFont val="Tahoma"/>
            <family val="2"/>
          </rPr>
          <t xml:space="preserve">
Numbers only available up to 2009
</t>
        </r>
      </text>
    </comment>
    <comment ref="G97" authorId="1" shapeId="0">
      <text>
        <r>
          <rPr>
            <b/>
            <sz val="8"/>
            <color indexed="81"/>
            <rFont val="Tahoma"/>
            <family val="2"/>
          </rPr>
          <t>Middlebury College:</t>
        </r>
        <r>
          <rPr>
            <sz val="8"/>
            <color indexed="81"/>
            <rFont val="Tahoma"/>
            <family val="2"/>
          </rPr>
          <t xml:space="preserve">
Numbers only available up to 2009
</t>
        </r>
      </text>
    </comment>
    <comment ref="H97" authorId="1" shapeId="0">
      <text>
        <r>
          <rPr>
            <b/>
            <sz val="8"/>
            <color indexed="81"/>
            <rFont val="Tahoma"/>
            <family val="2"/>
          </rPr>
          <t>Middlebury College:</t>
        </r>
        <r>
          <rPr>
            <sz val="8"/>
            <color indexed="81"/>
            <rFont val="Tahoma"/>
            <family val="2"/>
          </rPr>
          <t xml:space="preserve">
Numbers only available up to 2009
</t>
        </r>
      </text>
    </comment>
    <comment ref="I97" authorId="1" shapeId="0">
      <text>
        <r>
          <rPr>
            <b/>
            <sz val="8"/>
            <color indexed="81"/>
            <rFont val="Tahoma"/>
            <family val="2"/>
          </rPr>
          <t>Middlebury College:</t>
        </r>
        <r>
          <rPr>
            <sz val="8"/>
            <color indexed="81"/>
            <rFont val="Tahoma"/>
            <family val="2"/>
          </rPr>
          <t xml:space="preserve">
Numbers only available up to 2009
</t>
        </r>
      </text>
    </comment>
    <comment ref="A98" authorId="0" shapeId="0">
      <text>
        <r>
          <rPr>
            <b/>
            <sz val="8"/>
            <color indexed="81"/>
            <rFont val="Tahoma"/>
            <family val="2"/>
          </rPr>
          <t>Billie Borden:</t>
        </r>
        <r>
          <rPr>
            <sz val="8"/>
            <color indexed="81"/>
            <rFont val="Tahoma"/>
            <family val="2"/>
          </rPr>
          <t xml:space="preserve">
The Bureau of Transportation Statistics releases information on a calendar-year basis, not a fiscal-year basis. For this inventory, the statistics for the first half of the fiscal year are used, (e.g., for FY01-02, statistical information from 2001 is used).
</t>
        </r>
      </text>
    </comment>
    <comment ref="C98" authorId="3" shapeId="0">
      <text>
        <r>
          <rPr>
            <b/>
            <sz val="8"/>
            <color indexed="81"/>
            <rFont val="Tahoma"/>
            <family val="2"/>
          </rPr>
          <t xml:space="preserve">Shalyn Getz:
</t>
        </r>
        <r>
          <rPr>
            <sz val="8"/>
            <color indexed="81"/>
            <rFont val="Tahoma"/>
            <family val="2"/>
          </rPr>
          <t>The 2007 edition of National Transportation Statistics produced by the Bureau of Transportaion Statistics does not include information for 2006. The statistical information from the most recent fiscal year is included in its place.</t>
        </r>
        <r>
          <rPr>
            <sz val="8"/>
            <color indexed="81"/>
            <rFont val="Tahoma"/>
            <family val="2"/>
          </rPr>
          <t xml:space="preserve">
</t>
        </r>
      </text>
    </comment>
    <comment ref="A128" authorId="0" shapeId="0">
      <text>
        <r>
          <rPr>
            <b/>
            <sz val="8"/>
            <color indexed="81"/>
            <rFont val="Tahoma"/>
            <family val="2"/>
          </rPr>
          <t>Billie Borden:</t>
        </r>
        <r>
          <rPr>
            <sz val="8"/>
            <color indexed="81"/>
            <rFont val="Tahoma"/>
            <family val="2"/>
          </rPr>
          <t xml:space="preserve">
The Bureau of Transportation Statistics has not updated this data since FY 2001, so that number has continued to be used throughout.</t>
        </r>
      </text>
    </comment>
  </commentList>
</comments>
</file>

<file path=xl/comments7.xml><?xml version="1.0" encoding="utf-8"?>
<comments xmlns="http://schemas.openxmlformats.org/spreadsheetml/2006/main">
  <authors>
    <author>Middlebury College</author>
  </authors>
  <commentList>
    <comment ref="B101" authorId="0" shapeId="0">
      <text>
        <r>
          <rPr>
            <b/>
            <sz val="8"/>
            <color indexed="81"/>
            <rFont val="Tahoma"/>
            <family val="2"/>
          </rPr>
          <t>Middlebury College:</t>
        </r>
        <r>
          <rPr>
            <sz val="8"/>
            <color indexed="81"/>
            <rFont val="Tahoma"/>
            <family val="2"/>
          </rPr>
          <t xml:space="preserve">
old link failed, if this method does not come up with average, search google for EIA daa on gas prices</t>
        </r>
      </text>
    </comment>
  </commentList>
</comments>
</file>

<file path=xl/comments8.xml><?xml version="1.0" encoding="utf-8"?>
<comments xmlns="http://schemas.openxmlformats.org/spreadsheetml/2006/main">
  <authors>
    <author>Student</author>
    <author>Luke</author>
    <author>Administrator</author>
  </authors>
  <commentList>
    <comment ref="A12" authorId="0" shapeId="0">
      <text>
        <r>
          <rPr>
            <b/>
            <sz val="8"/>
            <color indexed="81"/>
            <rFont val="Tahoma"/>
            <family val="2"/>
          </rPr>
          <t>Jason Kowalski:</t>
        </r>
        <r>
          <rPr>
            <sz val="8"/>
            <color indexed="81"/>
            <rFont val="Tahoma"/>
            <family val="2"/>
          </rPr>
          <t xml:space="preserve">
This figure represents how much waste Middlebury takes to the Adison County Transfer Station in a given fiscal year</t>
        </r>
      </text>
    </comment>
    <comment ref="E16" authorId="1" shapeId="0">
      <text>
        <r>
          <rPr>
            <b/>
            <sz val="9"/>
            <color indexed="81"/>
            <rFont val="Tahoma"/>
            <family val="2"/>
          </rPr>
          <t>Luke:</t>
        </r>
        <r>
          <rPr>
            <sz val="9"/>
            <color indexed="81"/>
            <rFont val="Tahoma"/>
            <family val="2"/>
          </rPr>
          <t xml:space="preserve">
These numbers are Calendar year 2009, not Fiscal Year 09/10</t>
        </r>
      </text>
    </comment>
    <comment ref="E23" authorId="1" shapeId="0">
      <text>
        <r>
          <rPr>
            <b/>
            <sz val="9"/>
            <color indexed="81"/>
            <rFont val="Tahoma"/>
            <family val="2"/>
          </rPr>
          <t>Luke:</t>
        </r>
        <r>
          <rPr>
            <sz val="9"/>
            <color indexed="81"/>
            <rFont val="Tahoma"/>
            <family val="2"/>
          </rPr>
          <t xml:space="preserve">
These numbers are Calendar Year 2009, not Fiscal Year 09/10</t>
        </r>
      </text>
    </comment>
    <comment ref="A40" authorId="2" shapeId="0">
      <text>
        <r>
          <rPr>
            <b/>
            <sz val="8"/>
            <color indexed="81"/>
            <rFont val="Tahoma"/>
            <family val="2"/>
          </rPr>
          <t>Billie Borden:</t>
        </r>
        <r>
          <rPr>
            <sz val="8"/>
            <color indexed="81"/>
            <rFont val="Tahoma"/>
            <family val="2"/>
          </rPr>
          <t xml:space="preserve">
does not include composted waste</t>
        </r>
      </text>
    </comment>
  </commentList>
</comments>
</file>

<file path=xl/comments9.xml><?xml version="1.0" encoding="utf-8"?>
<comments xmlns="http://schemas.openxmlformats.org/spreadsheetml/2006/main">
  <authors>
    <author>Student</author>
  </authors>
  <commentList>
    <comment ref="A25" authorId="0" shapeId="0">
      <text>
        <r>
          <rPr>
            <b/>
            <sz val="8"/>
            <color indexed="81"/>
            <rFont val="Tahoma"/>
            <family val="2"/>
          </rPr>
          <t>Student:</t>
        </r>
        <r>
          <rPr>
            <sz val="8"/>
            <color indexed="81"/>
            <rFont val="Tahoma"/>
            <family val="2"/>
          </rPr>
          <t xml:space="preserve">
This figure represents how much waste Middlebury takes to the Adison County Transfer Station in a given FY (see docs)</t>
        </r>
      </text>
    </comment>
  </commentList>
</comments>
</file>

<file path=xl/comments10.xml><?xml version="1.0" encoding="utf-8"?>
<comments xmlns="http://schemas.openxmlformats.org/spreadsheetml/2006/main">
  <authors>
    <author>Student</author>
  </authors>
  <commentList>
    <comment ref="A14" authorId="0" shapeId="0">
      <text>
        <r>
          <rPr>
            <b/>
            <sz val="8"/>
            <color indexed="81"/>
            <rFont val="Tahoma"/>
            <family val="2"/>
          </rPr>
          <t>Student:</t>
        </r>
        <r>
          <rPr>
            <sz val="8"/>
            <color indexed="81"/>
            <rFont val="Tahoma"/>
            <family val="2"/>
          </rPr>
          <t xml:space="preserve">
one half daily commuter 
miles</t>
        </r>
      </text>
    </comment>
    <comment ref="A95" authorId="0" shapeId="0">
      <text>
        <r>
          <rPr>
            <b/>
            <sz val="8"/>
            <color indexed="81"/>
            <rFont val="Tahoma"/>
            <family val="2"/>
          </rPr>
          <t>Student:</t>
        </r>
        <r>
          <rPr>
            <sz val="8"/>
            <color indexed="81"/>
            <rFont val="Tahoma"/>
            <family val="2"/>
          </rPr>
          <t xml:space="preserve">
2.5= half the distance between Middlebury and the farthest town down a direct road: East Middlebury, East on 125 is 5 miles away from Middlebury College.</t>
        </r>
      </text>
    </comment>
    <comment ref="A232" authorId="0" shapeId="0">
      <text>
        <r>
          <rPr>
            <b/>
            <sz val="8"/>
            <color indexed="81"/>
            <rFont val="Tahoma"/>
            <family val="2"/>
          </rPr>
          <t>Jason Kowalski:</t>
        </r>
        <r>
          <rPr>
            <sz val="8"/>
            <color indexed="81"/>
            <rFont val="Tahoma"/>
            <family val="2"/>
          </rPr>
          <t xml:space="preserve">
No CTO is conservatively assumed for new employees or non-full time employees.</t>
        </r>
      </text>
    </comment>
    <comment ref="A233" authorId="0" shapeId="0">
      <text>
        <r>
          <rPr>
            <b/>
            <sz val="8"/>
            <color indexed="81"/>
            <rFont val="Tahoma"/>
            <family val="2"/>
          </rPr>
          <t>Jason Kowalski:</t>
        </r>
        <r>
          <rPr>
            <sz val="8"/>
            <color indexed="81"/>
            <rFont val="Tahoma"/>
            <family val="2"/>
          </rPr>
          <t xml:space="preserve">
time taken from end of reporting period, eg a 1/04 hire is assumed to be a 2 yr employee in FY0506</t>
        </r>
      </text>
    </comment>
  </commentList>
</comments>
</file>

<file path=xl/comments11.xml><?xml version="1.0" encoding="utf-8"?>
<comments xmlns="http://schemas.openxmlformats.org/spreadsheetml/2006/main">
  <authors>
    <author>Student</author>
  </authors>
  <commentList>
    <comment ref="A75" authorId="0" shapeId="0">
      <text>
        <r>
          <rPr>
            <b/>
            <sz val="8"/>
            <color indexed="81"/>
            <rFont val="Tahoma"/>
            <family val="2"/>
          </rPr>
          <t>Student:</t>
        </r>
        <r>
          <rPr>
            <sz val="8"/>
            <color indexed="81"/>
            <rFont val="Tahoma"/>
            <family val="2"/>
          </rPr>
          <t xml:space="preserve">
No CTO is conservatively assumed for new employees or non-full time employees.</t>
        </r>
      </text>
    </comment>
    <comment ref="A76" authorId="0" shapeId="0">
      <text>
        <r>
          <rPr>
            <b/>
            <sz val="8"/>
            <color indexed="81"/>
            <rFont val="Tahoma"/>
            <family val="2"/>
          </rPr>
          <t>Student:</t>
        </r>
        <r>
          <rPr>
            <sz val="8"/>
            <color indexed="81"/>
            <rFont val="Tahoma"/>
            <family val="2"/>
          </rPr>
          <t xml:space="preserve">
time taken from end of reporting period, eg a 1/04 hire is assumed to be a 2 yr employee in FY0506</t>
        </r>
      </text>
    </comment>
    <comment ref="A88" authorId="0" shapeId="0">
      <text>
        <r>
          <rPr>
            <b/>
            <sz val="8"/>
            <color indexed="81"/>
            <rFont val="Tahoma"/>
            <family val="2"/>
          </rPr>
          <t>Student:</t>
        </r>
        <r>
          <rPr>
            <sz val="8"/>
            <color indexed="81"/>
            <rFont val="Tahoma"/>
            <family val="2"/>
          </rPr>
          <t xml:space="preserve">
one half daily commuter 
miles</t>
        </r>
      </text>
    </comment>
    <comment ref="A130" authorId="0" shapeId="0">
      <text>
        <r>
          <rPr>
            <b/>
            <sz val="8"/>
            <color indexed="81"/>
            <rFont val="Tahoma"/>
            <family val="2"/>
          </rPr>
          <t>Student:</t>
        </r>
        <r>
          <rPr>
            <sz val="8"/>
            <color indexed="81"/>
            <rFont val="Tahoma"/>
            <family val="2"/>
          </rPr>
          <t xml:space="preserve">
2.5= half the distance between Middlebury and the farthest town down a direct road: East Middlebury, East on 125 is 5 miles away from Middlebury College.</t>
        </r>
      </text>
    </comment>
  </commentList>
</comments>
</file>

<file path=xl/comments12.xml><?xml version="1.0" encoding="utf-8"?>
<comments xmlns="http://schemas.openxmlformats.org/spreadsheetml/2006/main">
  <authors>
    <author>Administrator</author>
  </authors>
  <commentList>
    <comment ref="B62" authorId="0" shapeId="0">
      <text>
        <r>
          <rPr>
            <b/>
            <sz val="8"/>
            <color indexed="81"/>
            <rFont val="Tahoma"/>
            <family val="2"/>
          </rPr>
          <t xml:space="preserve">Billie Borden: </t>
        </r>
        <r>
          <rPr>
            <sz val="8"/>
            <color indexed="81"/>
            <rFont val="Tahoma"/>
            <family val="2"/>
          </rPr>
          <t xml:space="preserve">This number was taken off a spreadsheet that Ian Sanders-Fleming worked on in July 07. It should not be considered final because we do not understand how it was computed. For the time being, this number is the best estimate we have. </t>
        </r>
      </text>
    </comment>
  </commentList>
</comments>
</file>

<file path=xl/comments13.xml><?xml version="1.0" encoding="utf-8"?>
<comments xmlns="http://schemas.openxmlformats.org/spreadsheetml/2006/main">
  <authors>
    <author>LIS</author>
    <author>Default Profile</author>
  </authors>
  <commentList>
    <comment ref="D33" authorId="0" shapeId="0">
      <text>
        <r>
          <rPr>
            <b/>
            <sz val="8"/>
            <color indexed="81"/>
            <rFont val="Tahoma"/>
            <family val="2"/>
          </rPr>
          <t xml:space="preserve">SG:
</t>
        </r>
        <r>
          <rPr>
            <sz val="8"/>
            <color indexed="81"/>
            <rFont val="Tahoma"/>
            <family val="2"/>
          </rPr>
          <t>This number also includes kerosene, since Efs for N2O and CH4 could not be found. The kerosene is used mainly as an additive for #2 oil during winter months.  Kerosene blends with #2 diesel fuel to keep viscosity low enough to pump when it's very cold. (MM)</t>
        </r>
      </text>
    </comment>
    <comment ref="E33" authorId="0" shapeId="0">
      <text>
        <r>
          <rPr>
            <b/>
            <sz val="8"/>
            <color indexed="81"/>
            <rFont val="Tahoma"/>
            <family val="2"/>
          </rPr>
          <t xml:space="preserve">SG:
</t>
        </r>
        <r>
          <rPr>
            <sz val="8"/>
            <color indexed="81"/>
            <rFont val="Tahoma"/>
            <family val="2"/>
          </rPr>
          <t>This number also includes kerosene, since Efs for N2O and CH4 could not be found. The kerosene is used mainly as an additive for #2 oil during winter months.  Kerosene blends with #2 diesel fuel to keep viscosity low enough to pump when it's very cold. (MM)</t>
        </r>
      </text>
    </comment>
    <comment ref="G36" authorId="1" shapeId="0">
      <text>
        <r>
          <rPr>
            <b/>
            <sz val="8"/>
            <color indexed="81"/>
            <rFont val="Tahoma"/>
            <family val="2"/>
          </rPr>
          <t xml:space="preserve">is this number due to the biomass plant shutdown?
</t>
        </r>
      </text>
    </comment>
    <comment ref="G75" authorId="1" shapeId="0">
      <text>
        <r>
          <rPr>
            <b/>
            <sz val="8"/>
            <color indexed="81"/>
            <rFont val="Tahoma"/>
            <family val="2"/>
          </rPr>
          <t xml:space="preserve">is this number due to the biomass plant shutdown?
</t>
        </r>
      </text>
    </comment>
  </commentList>
</comments>
</file>

<file path=xl/sharedStrings.xml><?xml version="1.0" encoding="utf-8"?>
<sst xmlns="http://schemas.openxmlformats.org/spreadsheetml/2006/main" count="3513" uniqueCount="1376">
  <si>
    <t>Middlebury College Annual Greenhouse Gas Inventory: Scope 3 Summary</t>
    <phoneticPr fontId="54" type="noConversion"/>
  </si>
  <si>
    <t>Stationary TOTAL:</t>
    <phoneticPr fontId="54" type="noConversion"/>
  </si>
  <si>
    <t>Mobile TOTAL:</t>
    <phoneticPr fontId="54" type="noConversion"/>
  </si>
  <si>
    <t>Travel TOTAL:</t>
    <phoneticPr fontId="54" type="noConversion"/>
  </si>
  <si>
    <r>
      <t>MTCDEs from Landfill CH</t>
    </r>
    <r>
      <rPr>
        <b/>
        <vertAlign val="subscript"/>
        <sz val="10"/>
        <rFont val="Arial"/>
        <family val="2"/>
      </rPr>
      <t>4</t>
    </r>
    <r>
      <rPr>
        <b/>
        <sz val="10"/>
        <rFont val="Arial"/>
        <family val="2"/>
      </rPr>
      <t xml:space="preserve"> </t>
    </r>
    <phoneticPr fontId="54" type="noConversion"/>
  </si>
  <si>
    <t>Landfill Methane</t>
    <phoneticPr fontId="54" type="noConversion"/>
  </si>
  <si>
    <t>Scope 3 TOTAL</t>
    <phoneticPr fontId="54" type="noConversion"/>
  </si>
  <si>
    <t>MTCDEs by Fuel Source:</t>
    <phoneticPr fontId="54" type="noConversion"/>
  </si>
  <si>
    <t>Source</t>
    <phoneticPr fontId="54" type="noConversion"/>
  </si>
  <si>
    <t>MTCDEs by Scope 3 Source:</t>
    <phoneticPr fontId="54" type="noConversion"/>
  </si>
  <si>
    <t>Scope 2 TOTAL</t>
    <phoneticPr fontId="54" type="noConversion"/>
  </si>
  <si>
    <t>Scope 1 TOTAL:</t>
    <phoneticPr fontId="54" type="noConversion"/>
  </si>
  <si>
    <t xml:space="preserve">workers if each employee drives himself to the campus and home again 252.5 </t>
  </si>
  <si>
    <t xml:space="preserve">Milage is provided by Mapquest Queries End point: 326 College St, Middlebury, </t>
  </si>
  <si>
    <t>#!1, 2 $ 4 Fuel Oil:</t>
  </si>
  <si>
    <t>Other - NPCC New England Grid Assumed</t>
  </si>
  <si>
    <t>Scope 1, Part A: Direct Emissions from Stationary Combustion</t>
  </si>
  <si>
    <t>Sheldon</t>
  </si>
  <si>
    <t>Moriah, NY</t>
  </si>
  <si>
    <t>On- Campus Gasoline/ 10% Ethanol (gal)</t>
    <phoneticPr fontId="3" type="noConversion"/>
  </si>
  <si>
    <r>
      <t>Global Warming Potential (GWP) based on 100 yr time horizon: US EPA. 2006. "Non-CO</t>
    </r>
    <r>
      <rPr>
        <vertAlign val="subscript"/>
        <sz val="10"/>
        <rFont val="Arial"/>
        <family val="2"/>
      </rPr>
      <t>2</t>
    </r>
    <r>
      <rPr>
        <sz val="10"/>
        <rFont val="Arial"/>
        <family val="2"/>
      </rPr>
      <t xml:space="preserve"> Gases Economic Analysis and Inventory: Global Warming Potentials and Atmospheric Lifetimes." &lt;</t>
    </r>
    <r>
      <rPr>
        <b/>
        <sz val="10"/>
        <color indexed="10"/>
        <rFont val="Arial"/>
        <family val="2"/>
      </rPr>
      <t>http://www.epa.gov/nonco2/econ-inv/table.html</t>
    </r>
    <r>
      <rPr>
        <sz val="10"/>
        <rFont val="Arial"/>
        <family val="2"/>
      </rPr>
      <t>&gt;  [BB 07]</t>
    </r>
  </si>
  <si>
    <t>*Friday one-way ticket from Burlington: $74, otherwise: $56</t>
    <phoneticPr fontId="3" type="noConversion"/>
  </si>
  <si>
    <t>Based on HHV and residential/commercial efficiency. EPA Climate Leaders. 2004. "Core Module Guidance: Direct Emissions from Stationary Combustion Sources." pp 20. &lt;http://www.epa.gov/climateleaders/docs/stationarycombustionguidance.pdf &gt; [JK 06]</t>
  </si>
  <si>
    <t>EPA Climate Leaders. 2008. "Core Module Guidance: Direct Emissions from Stationary Combustion Sources." pp 23. &lt;http://www.epa.gov/climateleaders/documents/resources/stationarycombustionguidance.pdf&gt; [SG 08]</t>
  </si>
  <si>
    <t>FY09/10</t>
  </si>
  <si>
    <t>Metric Tonnes CO2</t>
  </si>
  <si>
    <t>Building Square Footage</t>
  </si>
  <si>
    <t>Σ Scope 1 Gas = campus gas + off campus gas</t>
  </si>
  <si>
    <t>Off-Campus Gasoline (gal)</t>
  </si>
  <si>
    <t xml:space="preserve">Values calculated from the Enrollment of On-Campus Students pages </t>
  </si>
  <si>
    <t xml:space="preserve">Fall and Spring data for Enrollment of On-Campus Students, which was  </t>
  </si>
  <si>
    <r>
      <t xml:space="preserve">averaged to calculate the values included in the inventory. </t>
    </r>
    <r>
      <rPr>
        <sz val="10"/>
        <rFont val="Arial"/>
        <family val="2"/>
      </rPr>
      <t>[AB 09]</t>
    </r>
    <r>
      <rPr>
        <i/>
        <sz val="10"/>
        <rFont val="Arial"/>
        <family val="2"/>
      </rPr>
      <t xml:space="preserve"> </t>
    </r>
  </si>
  <si>
    <t xml:space="preserve">For the Fiscal Years  2009, 2008 and 2007 the FactBooks provided both </t>
  </si>
  <si>
    <t xml:space="preserve"> Employees</t>
  </si>
  <si>
    <t>Miles per Town</t>
  </si>
  <si>
    <t>FY04/05:</t>
  </si>
  <si>
    <t>FY05/06:</t>
  </si>
  <si>
    <t>FY06/07:</t>
  </si>
  <si>
    <t xml:space="preserve"> Employees</t>
    <phoneticPr fontId="3" type="noConversion"/>
  </si>
  <si>
    <t>Miles per Town</t>
    <phoneticPr fontId="3" type="noConversion"/>
  </si>
  <si>
    <t>*Friday one-way ticket from Burlington: $145, otherwise: $84</t>
    <phoneticPr fontId="3" type="noConversion"/>
  </si>
  <si>
    <t>fy09/10</t>
    <phoneticPr fontId="54" type="noConversion"/>
  </si>
  <si>
    <t>fy10/11</t>
    <phoneticPr fontId="54" type="noConversion"/>
  </si>
  <si>
    <t>Athletics</t>
  </si>
  <si>
    <t xml:space="preserve">*Note that this table shows MTCDEs. The zeros in columns associated with carbon neutral sources of electricity therefore do not necessarily mean that none of the College's electricity came from that source. </t>
    <phoneticPr fontId="54" type="noConversion"/>
  </si>
  <si>
    <t>S2 Electricity</t>
    <phoneticPr fontId="3" type="noConversion"/>
  </si>
  <si>
    <t>Total On-Campus Gasoline (gal)</t>
    <phoneticPr fontId="3" type="noConversion"/>
  </si>
  <si>
    <r>
      <t>Primary Assumption:</t>
    </r>
    <r>
      <rPr>
        <sz val="10"/>
        <rFont val="Arial"/>
        <family val="2"/>
      </rPr>
      <t xml:space="preserve"> That the institution is responsible for the lifetime effect of the methane emitted during the reporting period during </t>
    </r>
    <r>
      <rPr>
        <i/>
        <sz val="10"/>
        <rFont val="Arial"/>
        <family val="2"/>
      </rPr>
      <t>that</t>
    </r>
    <r>
      <rPr>
        <sz val="10"/>
        <rFont val="Arial"/>
        <family val="2"/>
      </rPr>
      <t xml:space="preserve"> reporting period </t>
    </r>
    <r>
      <rPr>
        <i/>
        <sz val="10"/>
        <rFont val="Arial"/>
        <family val="2"/>
      </rPr>
      <t>only</t>
    </r>
    <r>
      <rPr>
        <sz val="10"/>
        <rFont val="Arial"/>
        <family val="2"/>
      </rPr>
      <t>.</t>
    </r>
  </si>
  <si>
    <r>
      <t>CH</t>
    </r>
    <r>
      <rPr>
        <vertAlign val="subscript"/>
        <sz val="10"/>
        <rFont val="Arial"/>
        <family val="2"/>
      </rPr>
      <t>4</t>
    </r>
    <r>
      <rPr>
        <sz val="10"/>
        <rFont val="Arial"/>
        <family val="2"/>
      </rPr>
      <t xml:space="preserve"> EF w/out Recovery (tonne gas/ton)</t>
    </r>
  </si>
  <si>
    <r>
      <t xml:space="preserve">On-Campus Gasoline (gal) </t>
    </r>
    <r>
      <rPr>
        <sz val="10"/>
        <color indexed="10"/>
        <rFont val="Arial"/>
        <family val="2"/>
      </rPr>
      <t>*</t>
    </r>
  </si>
  <si>
    <t>S2 Electricity</t>
  </si>
  <si>
    <t>S3 Travel</t>
  </si>
  <si>
    <t>Easthampton, MA</t>
  </si>
  <si>
    <t>Falmouth, MA</t>
  </si>
  <si>
    <t>Emp Commute</t>
  </si>
  <si>
    <r>
      <t>N</t>
    </r>
    <r>
      <rPr>
        <b/>
        <vertAlign val="subscript"/>
        <sz val="10"/>
        <rFont val="Arial"/>
        <family val="2"/>
      </rPr>
      <t>2</t>
    </r>
    <r>
      <rPr>
        <b/>
        <sz val="10"/>
        <rFont val="Arial"/>
        <family val="2"/>
      </rPr>
      <t>O EF (g gas/MMBTU)</t>
    </r>
  </si>
  <si>
    <r>
      <t>N</t>
    </r>
    <r>
      <rPr>
        <b/>
        <vertAlign val="subscript"/>
        <sz val="10"/>
        <rFont val="Arial"/>
        <family val="2"/>
      </rPr>
      <t>2</t>
    </r>
    <r>
      <rPr>
        <b/>
        <sz val="10"/>
        <rFont val="Arial"/>
        <family val="2"/>
      </rPr>
      <t>O GWP</t>
    </r>
  </si>
  <si>
    <t>Amherst, MA</t>
  </si>
  <si>
    <t>Bloomsberg, PA</t>
  </si>
  <si>
    <t>Brighton, MA</t>
  </si>
  <si>
    <t>Cambridge, MA</t>
  </si>
  <si>
    <t>Full Time Students</t>
  </si>
  <si>
    <t>Part Time Students</t>
  </si>
  <si>
    <t>Full Time Staff/ Faculty</t>
  </si>
  <si>
    <t>Part Time Staff/ Faculty</t>
  </si>
  <si>
    <t>Values calculated from Human Resources pages provided at</t>
  </si>
  <si>
    <t>Saxtons River</t>
  </si>
  <si>
    <t>U.S. Department of Energy, Energy Information Administration. 2003. “Annual Energy Review 2002,” DOE/EIA 0384(2002), , Washington, DC, October 2003.</t>
  </si>
  <si>
    <r>
      <t>Primary Assumption:</t>
    </r>
    <r>
      <rPr>
        <sz val="10"/>
        <rFont val="Arial"/>
        <family val="2"/>
      </rPr>
      <t xml:space="preserve"> That the institution is responsible for the lifetime effect of the methane emitted during the reporting period during </t>
    </r>
    <r>
      <rPr>
        <i/>
        <sz val="10"/>
        <rFont val="Arial"/>
        <family val="2"/>
      </rPr>
      <t>that</t>
    </r>
    <r>
      <rPr>
        <sz val="10"/>
        <rFont val="Arial"/>
        <family val="2"/>
      </rPr>
      <t xml:space="preserve"> reporting period </t>
    </r>
    <r>
      <rPr>
        <i/>
        <sz val="10"/>
        <rFont val="Arial"/>
        <family val="2"/>
      </rPr>
      <t>only</t>
    </r>
    <r>
      <rPr>
        <sz val="10"/>
        <rFont val="Arial"/>
        <family val="2"/>
      </rPr>
      <t>.</t>
    </r>
    <phoneticPr fontId="3" type="noConversion"/>
  </si>
  <si>
    <r>
      <t xml:space="preserve">on-campus co-gen kWH </t>
    </r>
    <r>
      <rPr>
        <sz val="10"/>
        <color indexed="10"/>
        <rFont val="Arial"/>
        <family val="2"/>
      </rPr>
      <t>*</t>
    </r>
    <phoneticPr fontId="3" type="noConversion"/>
  </si>
  <si>
    <t>Value/EF</t>
    <phoneticPr fontId="3" type="noConversion"/>
  </si>
  <si>
    <t>*biodiesel was only used for heating</t>
    <phoneticPr fontId="3" type="noConversion"/>
  </si>
  <si>
    <t xml:space="preserve">4-week program students </t>
    <phoneticPr fontId="54" type="noConversion"/>
  </si>
  <si>
    <t>4-week program students FTE</t>
    <phoneticPr fontId="54" type="noConversion"/>
  </si>
  <si>
    <t>Please Note: As of FY08/09 the Inventory uses the Miles per Town data as the basis of its ΣMTCDE from Commuting calculation.  It no longer depends upon the Commuting Miles estimates provided by Facilities (which can be found in cells</t>
  </si>
  <si>
    <t>D194, F194, H194, J194 and L194 for those fiscal years prior to FY08/09).  For FY08/09 it follows that the value of N194 equals that of O194.</t>
  </si>
  <si>
    <r>
      <t>Tonnes CO</t>
    </r>
    <r>
      <rPr>
        <vertAlign val="subscript"/>
        <sz val="10"/>
        <rFont val="Arial"/>
        <family val="2"/>
      </rPr>
      <t>2</t>
    </r>
    <r>
      <rPr>
        <sz val="10"/>
        <rFont val="Arial"/>
        <family val="2"/>
      </rPr>
      <t>/train $ EF</t>
    </r>
  </si>
  <si>
    <t>Degree Days</t>
  </si>
  <si>
    <t>Students</t>
  </si>
  <si>
    <r>
      <t>Students</t>
    </r>
    <r>
      <rPr>
        <b/>
        <sz val="12"/>
        <rFont val="Arial"/>
        <family val="2"/>
      </rPr>
      <t>:</t>
    </r>
  </si>
  <si>
    <t>Middlebury College Annual Greenhouse Gas Inventory: Scope 2 Summary</t>
    <phoneticPr fontId="54" type="noConversion"/>
  </si>
  <si>
    <t>* Took out FY 02-06 of S1, S2, S3 sheets and put them on "FY 02-06" Sheet at end</t>
  </si>
  <si>
    <t>&lt;http://www.middlebury.edu/administration/instres/factbooks&gt;. [AB 09]</t>
  </si>
  <si>
    <t>Total square footage excluding Breadload &amp; Snowbowl</t>
  </si>
  <si>
    <t>S1 Stationary</t>
  </si>
  <si>
    <t>S1 Mobile</t>
  </si>
  <si>
    <t>This section includes emissions from all mobile combustion of fossil fuels used in vehicles not owned by the institution, but whose operations are indirectly solicited by the institution; i.e. regular employee and off-campus student commuting.</t>
  </si>
  <si>
    <t>On-Campus Gasoline (gal)</t>
  </si>
  <si>
    <t>Carlisle, PA</t>
  </si>
  <si>
    <t>East Calais</t>
  </si>
  <si>
    <t>% #5 &amp; 6 Fuel Oil</t>
  </si>
  <si>
    <t>Adjusted Sources as Percents:</t>
  </si>
  <si>
    <r>
      <t xml:space="preserve">MTCDE (Metric Tons of Carbon Dioxide Equivalent) </t>
    </r>
    <r>
      <rPr>
        <sz val="12"/>
        <rFont val="Times New Roman"/>
        <family val="1"/>
      </rPr>
      <t xml:space="preserve">– A metric measure used to compare the emissions from various greenhouse gases based upon their global warming potential (GWP).  The carbon dioxide equivalent for a gas is derived by multiplying the tons of the gas by the associated GWP. </t>
    </r>
    <phoneticPr fontId="3" type="noConversion"/>
  </si>
  <si>
    <t>FY 11/12</t>
    <phoneticPr fontId="54" type="noConversion"/>
  </si>
  <si>
    <t>FY09/10</t>
    <phoneticPr fontId="3" type="noConversion"/>
  </si>
  <si>
    <t>FY 12/13</t>
    <phoneticPr fontId="3" type="noConversion"/>
  </si>
  <si>
    <t xml:space="preserve">* Took out B-5 Coulmn for biodiesel and bioheat </t>
  </si>
  <si>
    <t>* Checked 07-10 with sales records</t>
  </si>
  <si>
    <t>% Other (assume NPCC grid)</t>
  </si>
  <si>
    <t>Other (assume NPCC grid)</t>
  </si>
  <si>
    <t>Net kWh by Source:</t>
  </si>
  <si>
    <t xml:space="preserve">Calculated by determing the number of miles driven per year by Middlebury </t>
  </si>
  <si>
    <t>days a year.</t>
  </si>
  <si>
    <t>FY10/11</t>
    <phoneticPr fontId="3" type="noConversion"/>
  </si>
  <si>
    <t>FY10/11</t>
    <phoneticPr fontId="3" type="noConversion"/>
  </si>
  <si>
    <t>Bioheat</t>
  </si>
  <si>
    <r>
      <t>CH</t>
    </r>
    <r>
      <rPr>
        <b/>
        <vertAlign val="subscript"/>
        <sz val="10"/>
        <rFont val="Arial"/>
        <family val="2"/>
      </rPr>
      <t>4</t>
    </r>
    <r>
      <rPr>
        <b/>
        <sz val="10"/>
        <rFont val="Arial"/>
        <family val="2"/>
      </rPr>
      <t xml:space="preserve"> EF (g gas/mile)</t>
    </r>
  </si>
  <si>
    <r>
      <t>S3 Landfill CH</t>
    </r>
    <r>
      <rPr>
        <vertAlign val="subscript"/>
        <sz val="10"/>
        <rFont val="Arial"/>
        <family val="2"/>
      </rPr>
      <t>4</t>
    </r>
  </si>
  <si>
    <t>S1S #2/Diesel</t>
  </si>
  <si>
    <t>S1S Propane</t>
  </si>
  <si>
    <t>Newport, RI</t>
  </si>
  <si>
    <t>Richmond</t>
  </si>
  <si>
    <t>Car ave miles/gal</t>
  </si>
  <si>
    <t>Mini-van ave miles/gal</t>
  </si>
  <si>
    <t>Montpelier</t>
  </si>
  <si>
    <t>Wethersfield, CT</t>
  </si>
  <si>
    <t>Wilbraham, MA</t>
  </si>
  <si>
    <t>#2 Fuel Oil/Off Road Diesel:</t>
  </si>
  <si>
    <t>Gasoline Fueled Vehicles:</t>
  </si>
  <si>
    <r>
      <t>N</t>
    </r>
    <r>
      <rPr>
        <b/>
        <vertAlign val="subscript"/>
        <sz val="10"/>
        <rFont val="Arial"/>
        <family val="2"/>
      </rPr>
      <t>2</t>
    </r>
    <r>
      <rPr>
        <b/>
        <sz val="10"/>
        <rFont val="Arial"/>
        <family val="2"/>
      </rPr>
      <t>O EF (g gas/kg fuel)</t>
    </r>
  </si>
  <si>
    <t>Wilmington, DE</t>
  </si>
  <si>
    <t>Wilton, NY</t>
  </si>
  <si>
    <t>Ontario</t>
  </si>
  <si>
    <t>Part-Time Staff</t>
  </si>
  <si>
    <t>Employees</t>
  </si>
  <si>
    <t>Full Time</t>
  </si>
  <si>
    <t>Part Time</t>
  </si>
  <si>
    <r>
      <t>Tonnes CO</t>
    </r>
    <r>
      <rPr>
        <b/>
        <vertAlign val="subscript"/>
        <sz val="10"/>
        <rFont val="Arial"/>
        <family val="2"/>
      </rPr>
      <t>2</t>
    </r>
    <r>
      <rPr>
        <b/>
        <sz val="10"/>
        <rFont val="Arial"/>
        <family val="2"/>
      </rPr>
      <t>/gal #2 EF</t>
    </r>
  </si>
  <si>
    <t xml:space="preserve">be emailed at DDunn@cvps.com. </t>
  </si>
  <si>
    <t>Values calculated from the data provided for the Burlington Airport at</t>
  </si>
  <si>
    <t>Electricity Sources by Percent</t>
  </si>
  <si>
    <t>kWh from Natural Gas</t>
  </si>
  <si>
    <t>MMBTU/kWh</t>
  </si>
  <si>
    <t>This section includes emissions from all mobile combustion of fossil fuels used in vehicles not owned by the institution, but whose services are directly solicited by the institution.</t>
  </si>
  <si>
    <r>
      <t>Summary data</t>
    </r>
    <r>
      <rPr>
        <u/>
        <sz val="10"/>
        <rFont val="Arial"/>
        <family val="2"/>
      </rPr>
      <t xml:space="preserve"> (MTCDE emssions from biomass summarized below, see note below)</t>
    </r>
    <phoneticPr fontId="3" type="noConversion"/>
  </si>
  <si>
    <t>FY 10/11</t>
    <phoneticPr fontId="54" type="noConversion"/>
  </si>
  <si>
    <t>Based on 1987-1993 EF's for vans, pickups and SUVs  (most conservative light-duty values),1985-1986 EF's for heavy duty vehicles (most conservative values), 1966-1982 EF's for heavy duty vehicles (most conservative values), values for locomotive diesel fuel. EPA Climate Leaders. 2004. "Core Module Guidance: Direct Emissions from Mobile Combustion Sources." p 9 and 25. http://www.epa.gov/climateleaders/docs/mobilesourceguid, and Jet Fuel Specific EFs. Inventory of U.S. Greenhouse Gas Emissions and Sinks: 1990-2001 (April 2003) EPA 430-R-03-004; Annex E [JK 06]</t>
  </si>
  <si>
    <r>
      <t>CH</t>
    </r>
    <r>
      <rPr>
        <vertAlign val="subscript"/>
        <sz val="10"/>
        <rFont val="Arial"/>
        <family val="2"/>
      </rPr>
      <t>4</t>
    </r>
    <r>
      <rPr>
        <sz val="10"/>
        <rFont val="Arial"/>
        <family val="2"/>
      </rPr>
      <t xml:space="preserve"> GWP</t>
    </r>
  </si>
  <si>
    <t>MMBTU/train $ EF</t>
  </si>
  <si>
    <t>MTCDE per gross square footage</t>
    <phoneticPr fontId="54" type="noConversion"/>
  </si>
  <si>
    <t>Normalized GHG emissions</t>
    <phoneticPr fontId="3" type="noConversion"/>
  </si>
  <si>
    <t>Middlebury College Annual Greenhouse Gas Inventory: Scope 1 Summary</t>
    <phoneticPr fontId="54" type="noConversion"/>
  </si>
  <si>
    <t>Mollecular Weights are accepted as chemical standards. Value = ((12.011+2*16.000)/12.011) [JK 06]</t>
  </si>
  <si>
    <t>Distribution of where Middlebury employees live is provided by Human Resources</t>
  </si>
  <si>
    <t>Systems and Planning Manager: Ellen Usilton. [AB 09]</t>
  </si>
  <si>
    <t>Total Taxi $</t>
  </si>
  <si>
    <t>Rockville, MD</t>
  </si>
  <si>
    <t>Net Methane + Emissions Factor Calculations</t>
  </si>
  <si>
    <t>Newton, MA</t>
  </si>
  <si>
    <t>Directly proportional to:</t>
  </si>
  <si>
    <t>#1, 2, &amp; 4 Fuel Oil</t>
  </si>
  <si>
    <t>#5 &amp; 6 Fuel Oil</t>
  </si>
  <si>
    <t>2005-2008 Chevrolet 15 passenger vans used as case studies (8 cyl 5.3 L 2WD 15/25 conversion - least efficient): &lt;http://www.fueleconomy.gov/feg/noframes/21193.shtml&gt; [JK 06]</t>
  </si>
  <si>
    <t>ISO-NE Sources as Percents:</t>
  </si>
  <si>
    <t>% #1, 2, &amp; 4 Fuel Oil</t>
  </si>
  <si>
    <t>Total Taxi Gas (gal)</t>
  </si>
  <si>
    <t>Employees:</t>
  </si>
  <si>
    <r>
      <t>Degree Days</t>
    </r>
    <r>
      <rPr>
        <b/>
        <sz val="12"/>
        <rFont val="Arial"/>
        <family val="2"/>
      </rPr>
      <t>:</t>
    </r>
  </si>
  <si>
    <t>Hillcrest PV Production (kWh)</t>
  </si>
  <si>
    <t>Total kWh:</t>
  </si>
  <si>
    <t>107 Shannon St. System 2 (BTU/year)</t>
  </si>
  <si>
    <r>
      <t xml:space="preserve">Conservatively extrapolated from data on employee residency and relative full time equivalencies collected annually by Human Resources Generalist at Middlebury College, </t>
    </r>
    <r>
      <rPr>
        <b/>
        <sz val="10"/>
        <rFont val="Arial"/>
        <family val="2"/>
      </rPr>
      <t xml:space="preserve">Alexa Euler </t>
    </r>
  </si>
  <si>
    <t>Heating/Utilities: Mike Moser and Facilities Customer Service Coordinator:</t>
  </si>
  <si>
    <t>Jen Pottinger. [AB 09]</t>
  </si>
  <si>
    <t>Biomass</t>
    <phoneticPr fontId="3" type="noConversion"/>
  </si>
  <si>
    <t>MMBTU/lb wood EF</t>
    <phoneticPr fontId="3" type="noConversion"/>
  </si>
  <si>
    <r>
      <t>Tonnes CO</t>
    </r>
    <r>
      <rPr>
        <b/>
        <vertAlign val="subscript"/>
        <sz val="10"/>
        <rFont val="Arial"/>
        <family val="2"/>
      </rPr>
      <t>2</t>
    </r>
    <r>
      <rPr>
        <b/>
        <sz val="10"/>
        <rFont val="Arial"/>
        <family val="2"/>
      </rPr>
      <t>/lb wood EF</t>
    </r>
    <phoneticPr fontId="3" type="noConversion"/>
  </si>
  <si>
    <t>HC (MMBTU/ton)</t>
    <phoneticPr fontId="3" type="noConversion"/>
  </si>
  <si>
    <t>Wood (Tonnes)</t>
  </si>
  <si>
    <t>Tonnes CH4</t>
  </si>
  <si>
    <t>MTCDE from CH4</t>
  </si>
  <si>
    <t>Tonnes N2O</t>
  </si>
  <si>
    <t>MTCDE from N2O</t>
  </si>
  <si>
    <r>
      <t>Metric Tonnes CO</t>
    </r>
    <r>
      <rPr>
        <b/>
        <vertAlign val="subscript"/>
        <sz val="10"/>
        <rFont val="Arial"/>
        <family val="2"/>
      </rPr>
      <t>2</t>
    </r>
  </si>
  <si>
    <t xml:space="preserve">*Input form F from Missy </t>
  </si>
  <si>
    <t>FY010/11</t>
  </si>
  <si>
    <t>*input Mike's Data</t>
  </si>
  <si>
    <t>7/15/2-011</t>
  </si>
  <si>
    <t>Higher heating values (HHV) are used. EPA Climate Leaders. 2008. "Core Module Guidance: Direct Emissions from Mobile Combustion Sources." pp 30. &lt;http://www.epa.gov/climateleaders/documents/resources/mobilesource_guidance.pdf&gt; [SG 08]</t>
  </si>
  <si>
    <t>Academic Departments</t>
  </si>
  <si>
    <t>Administration</t>
  </si>
  <si>
    <t>Same as above. [AB 09] or http://www.vtwindprogram.org/static/vtwindprogram/wind.php?site=4191</t>
    <phoneticPr fontId="54" type="noConversion"/>
  </si>
  <si>
    <t>Student Organizations</t>
  </si>
  <si>
    <t xml:space="preserve">Heating/Utilities: Mike Moser and Facilities Customer Service Coordinator: </t>
  </si>
  <si>
    <t xml:space="preserve">This worksheet provides quick links to data input worksheets as well as source pages. Bracketed initials and dates on the source pages indicate the person who last inputted, updated or checked the data. </t>
  </si>
  <si>
    <t>ΣMTCDE from Train Travel:</t>
  </si>
  <si>
    <t>For Biomass:</t>
    <phoneticPr fontId="3" type="noConversion"/>
  </si>
  <si>
    <t>ΣMTCDE from NPCC-NE</t>
  </si>
  <si>
    <r>
      <t>MTCDE from CH</t>
    </r>
    <r>
      <rPr>
        <b/>
        <vertAlign val="subscript"/>
        <sz val="10"/>
        <rFont val="Arial"/>
        <family val="2"/>
      </rPr>
      <t>4</t>
    </r>
  </si>
  <si>
    <r>
      <t>tonnes N</t>
    </r>
    <r>
      <rPr>
        <vertAlign val="subscript"/>
        <sz val="10"/>
        <rFont val="Arial"/>
        <family val="2"/>
      </rPr>
      <t>2</t>
    </r>
    <r>
      <rPr>
        <sz val="10"/>
        <rFont val="Arial"/>
        <family val="2"/>
      </rPr>
      <t>O</t>
    </r>
  </si>
  <si>
    <r>
      <t>MTCDE from N</t>
    </r>
    <r>
      <rPr>
        <b/>
        <vertAlign val="subscript"/>
        <sz val="10"/>
        <rFont val="Arial"/>
        <family val="2"/>
      </rPr>
      <t>2</t>
    </r>
    <r>
      <rPr>
        <b/>
        <sz val="10"/>
        <rFont val="Arial"/>
        <family val="2"/>
      </rPr>
      <t>O</t>
    </r>
  </si>
  <si>
    <t>on-campus co-gen kWH</t>
  </si>
  <si>
    <t>Concord, NH</t>
  </si>
  <si>
    <t>East Greenwich, RI</t>
  </si>
  <si>
    <t>Elmhurst, NY</t>
  </si>
  <si>
    <t>Greenbelt, MD</t>
  </si>
  <si>
    <t>Ipswich, MA</t>
  </si>
  <si>
    <t>Cockeysville, MD</t>
  </si>
  <si>
    <t>Based on HHV and industrial efficiency. EPA Climate Leaders. 2008. "Core Module Guidance: Direct Emissions from Stationary Combustion Sources." pp 20. &lt;http://www.epa.gov/climateleaders/documents/resources/stationarycombustionguidance.pdf&gt; [SG 08]</t>
  </si>
  <si>
    <t>Scope 2: Indirect Emissions from Electricity Purchases</t>
  </si>
  <si>
    <t>This section includes emissions from all stationary combustion of fossil fuels done in direct proportion to an energy source purchased by the institution; i.e. purchased electricity and steam generated outside the geographic/control boundaries set in the introductin, yet consumed within them.</t>
  </si>
  <si>
    <t>sources</t>
  </si>
  <si>
    <t>symbols</t>
  </si>
  <si>
    <t>Marstons Mills, MA</t>
  </si>
  <si>
    <t>New Bedford, MA</t>
  </si>
  <si>
    <t>Based on HHV and industrial efficiency. EPA Climate Leaders. 2004. "Core Module Guidance: Direct Emissions from Stationary Combustion Sources." pp 20. &lt;http://www.epa.gov/climateleaders/documents/resources/stationarycombustionguidance.pdf&gt; [SG 08]</t>
  </si>
  <si>
    <r>
      <t xml:space="preserve">Figure S1.4. </t>
    </r>
    <r>
      <rPr>
        <sz val="10"/>
        <rFont val="Arial"/>
        <family val="2"/>
      </rPr>
      <t>Key for Scope 1 Mobile Methane and Nitrous Oxide Calculations. Source: EPA Climate Leaders. 2004. "Core Module Guidance: Direct Emissions from Mobile Combustion Sources." pp 7. &lt;http://www.epa.gov/climateleaders/docs/mobilesourceguidance.pdf&gt;</t>
    </r>
  </si>
  <si>
    <r>
      <t>Tonnes CO</t>
    </r>
    <r>
      <rPr>
        <b/>
        <vertAlign val="subscript"/>
        <sz val="10"/>
        <rFont val="Arial"/>
        <family val="2"/>
      </rPr>
      <t>2</t>
    </r>
    <r>
      <rPr>
        <b/>
        <sz val="10"/>
        <rFont val="Arial"/>
        <family val="2"/>
      </rPr>
      <t>/gal gas EF</t>
    </r>
  </si>
  <si>
    <t>Manchester, MA</t>
  </si>
  <si>
    <t>Meriden, CT</t>
  </si>
  <si>
    <r>
      <t>Tonnes CO</t>
    </r>
    <r>
      <rPr>
        <vertAlign val="subscript"/>
        <sz val="10"/>
        <rFont val="Arial"/>
        <family val="2"/>
      </rPr>
      <t>2</t>
    </r>
    <r>
      <rPr>
        <sz val="10"/>
        <rFont val="Arial"/>
        <family val="2"/>
      </rPr>
      <t>/gal diesel EF</t>
    </r>
  </si>
  <si>
    <t>Same as above, [AB 09]</t>
  </si>
  <si>
    <t>Square footage: College-paid utilities on campus</t>
  </si>
  <si>
    <t xml:space="preserve">Square footage: Rented properties </t>
  </si>
  <si>
    <t>Square footage: Breadloaf</t>
  </si>
  <si>
    <t xml:space="preserve">VT: &lt;http://www.mapquest.com/directions/main.adp?bCTsettings=1&gt; [JK 06].  </t>
  </si>
  <si>
    <t>Higher heating values (HHV) are used. FY01/02-FY05/06: EPA Climate Leaders. 2004. "Core Module Guidance: Direct Emissions from Stationary Combustion Sources." pp 22. &lt;http://www.epa.gov/climateleaders/docs/stationarycombustionguidance.pdf &gt; [JK 06]</t>
  </si>
  <si>
    <t>US EPA. 2004. “Inventory of U.S. Greenhouse Gas Emissions and Sinks:” 1990-2002, EPA430-R-04-003, U.S. EPA, Washington, DC, April 2004.</t>
  </si>
  <si>
    <t>For Propane:</t>
  </si>
  <si>
    <t>Corinth</t>
  </si>
  <si>
    <t>Weybridge</t>
  </si>
  <si>
    <t>Whiting</t>
  </si>
  <si>
    <t>Williston</t>
  </si>
  <si>
    <t>ISO New England. "Energy Sources in New England, 2007." &lt;http://www.iso-ne.com/nwsiss/grid_mkts/enrgy_srcs/index-p1.html&gt; [SG 08]</t>
  </si>
  <si>
    <t>Tonne/kg (1/1,000)</t>
  </si>
  <si>
    <t>Port Henry</t>
  </si>
  <si>
    <t>Proctor</t>
  </si>
  <si>
    <t>Wells</t>
  </si>
  <si>
    <t>West Cornwall</t>
  </si>
  <si>
    <t xml:space="preserve">CTO for full time staff 20+ yrs </t>
  </si>
  <si>
    <t>Collected annually by College Electrician, Dean Ouellette [BB 07]</t>
  </si>
  <si>
    <t>MMBTU/gal #6 EF</t>
  </si>
  <si>
    <t>Bridport</t>
  </si>
  <si>
    <t>Biomass</t>
  </si>
  <si>
    <t>#2 Fuel Oil Equivalent (gal)</t>
  </si>
  <si>
    <t>Farrell House PV Production (kWh)</t>
  </si>
  <si>
    <t>Biomass Energy Plant</t>
  </si>
  <si>
    <t>Wood Chips (Tons)</t>
  </si>
  <si>
    <t>Solar Thermal</t>
  </si>
  <si>
    <t>107 Shannon St. System 1 (BTU/year)</t>
  </si>
  <si>
    <t>Based on 1996 EF's for heavy duty vehicles (most conservative values). EPA Climate Leaders. 2008. "Core Module Guidance: Direct Emissions from Mobile Combustion Sources." pp 25. &lt;http://www.epa.gov/climateleaders/documents/resources/mobilesource_guidance.pdf &gt; [SG 08]</t>
  </si>
  <si>
    <r>
      <t>Σ</t>
    </r>
    <r>
      <rPr>
        <b/>
        <sz val="10"/>
        <rFont val="Arial"/>
        <family val="2"/>
      </rPr>
      <t>MTCDE from Electricity:</t>
    </r>
  </si>
  <si>
    <t>Gal/$ Given the High Em. Scenario</t>
  </si>
  <si>
    <t>Bus mi/gal</t>
  </si>
  <si>
    <t>See Above</t>
  </si>
  <si>
    <t>David Dunn, Cow Power Program Manager, CVPS via Associate Vice President, Middlebury College Facilities Services, Susan Personnette [JK 06]</t>
  </si>
  <si>
    <r>
      <t>CH</t>
    </r>
    <r>
      <rPr>
        <vertAlign val="subscript"/>
        <sz val="10"/>
        <rFont val="Arial"/>
        <family val="2"/>
      </rPr>
      <t>4</t>
    </r>
    <r>
      <rPr>
        <sz val="10"/>
        <rFont val="Arial"/>
        <family val="2"/>
      </rPr>
      <t xml:space="preserve"> EF w/ LFGE (tonne gas/ton)</t>
    </r>
  </si>
  <si>
    <t>Total train passenger-miles</t>
  </si>
  <si>
    <t>Alexandria Bay, NY</t>
  </si>
  <si>
    <r>
      <t>CH</t>
    </r>
    <r>
      <rPr>
        <vertAlign val="subscript"/>
        <sz val="10"/>
        <rFont val="Arial"/>
        <family val="2"/>
      </rPr>
      <t>4</t>
    </r>
    <r>
      <rPr>
        <sz val="10"/>
        <rFont val="Arial"/>
        <family val="2"/>
      </rPr>
      <t xml:space="preserve"> EF w/ Recovery (tonne gas/ton)</t>
    </r>
  </si>
  <si>
    <t>On-Campus Wind Generation (kWh)</t>
  </si>
  <si>
    <r>
      <t>Tonnes CO</t>
    </r>
    <r>
      <rPr>
        <b/>
        <vertAlign val="subscript"/>
        <sz val="10"/>
        <rFont val="Arial"/>
        <family val="2"/>
      </rPr>
      <t>2</t>
    </r>
    <r>
      <rPr>
        <b/>
        <sz val="10"/>
        <rFont val="Arial"/>
        <family val="2"/>
      </rPr>
      <t>/gal propane EF</t>
    </r>
  </si>
  <si>
    <t>FY07/08:</t>
  </si>
  <si>
    <t>FY08/09:</t>
  </si>
  <si>
    <t>S2 Electricity</t>
    <phoneticPr fontId="3" type="noConversion"/>
  </si>
  <si>
    <t>Lancaster, PA</t>
  </si>
  <si>
    <t>Middletown, CT</t>
  </si>
  <si>
    <t>Notes on source reproduction:</t>
  </si>
  <si>
    <t>Based on 1985-1986 EF's for heavy duty vehicles (most conservative values). EPA Climate Leaders. 2008. "Core Module Guidance: Direct Emissions from Mobile Combustion Sources." pp 25. &lt;http://www.epa.gov/climateleaders/documents/resources/mobilesource_guidance.pdf &gt; [SG 08]</t>
  </si>
  <si>
    <t>MTCDEs by Electricity Source:</t>
  </si>
  <si>
    <t>Source</t>
  </si>
  <si>
    <t>15/11-pass. van ave miles/gal</t>
  </si>
  <si>
    <r>
      <t>CO</t>
    </r>
    <r>
      <rPr>
        <vertAlign val="subscript"/>
        <sz val="10"/>
        <rFont val="Arial"/>
        <family val="2"/>
      </rPr>
      <t>2</t>
    </r>
  </si>
  <si>
    <t>Live Mile charge/mile ($/mi)</t>
  </si>
  <si>
    <t>Factors Determining Commuting Miles</t>
  </si>
  <si>
    <t>Days/yr</t>
  </si>
  <si>
    <t>weekend days/yr.</t>
  </si>
  <si>
    <t>Value</t>
  </si>
  <si>
    <t>Should be 100:</t>
  </si>
  <si>
    <r>
      <t>Tonnes CO</t>
    </r>
    <r>
      <rPr>
        <vertAlign val="subscript"/>
        <sz val="10"/>
        <rFont val="Arial"/>
        <family val="2"/>
      </rPr>
      <t>2</t>
    </r>
    <r>
      <rPr>
        <sz val="10"/>
        <rFont val="Arial"/>
        <family val="2"/>
      </rPr>
      <t>/gal gas EF</t>
    </r>
  </si>
  <si>
    <r>
      <t xml:space="preserve">Off-Campus Gasoline (gal) </t>
    </r>
    <r>
      <rPr>
        <sz val="10"/>
        <color indexed="10"/>
        <rFont val="Arial"/>
        <family val="2"/>
      </rPr>
      <t>†</t>
    </r>
  </si>
  <si>
    <t>TOTAL</t>
  </si>
  <si>
    <r>
      <t xml:space="preserve">David Dunn, Cow Power Program Manager, CVPS via Associate Vice President, Middlebury College Facilities Services, </t>
    </r>
    <r>
      <rPr>
        <b/>
        <sz val="10"/>
        <rFont val="Arial"/>
        <family val="2"/>
      </rPr>
      <t>Susan Personnette</t>
    </r>
    <r>
      <rPr>
        <sz val="10"/>
        <rFont val="Arial"/>
        <family val="2"/>
      </rPr>
      <t xml:space="preserve"> </t>
    </r>
  </si>
  <si>
    <t>Bristol</t>
  </si>
  <si>
    <t>Burlington</t>
  </si>
  <si>
    <r>
      <t xml:space="preserve">Casella Waste Management, </t>
    </r>
    <r>
      <rPr>
        <b/>
        <sz val="10"/>
        <rFont val="Arial"/>
        <family val="2"/>
      </rPr>
      <t>Steve Olsen</t>
    </r>
    <r>
      <rPr>
        <sz val="10"/>
        <rFont val="Arial"/>
        <family val="2"/>
      </rPr>
      <t xml:space="preserve"> 802-388-2915</t>
    </r>
  </si>
  <si>
    <t>Based on documentation composed by Director of Facilities Services, Central Heating/Utilities, Mike Moser (rental properties excluded from the total kWh purchased) [JK 06]</t>
  </si>
  <si>
    <t>Charlestown, MA</t>
  </si>
  <si>
    <t>Other - NPCC New England Grid Assumed:</t>
  </si>
  <si>
    <t>#5 &amp; 6 Fuel Oil:</t>
  </si>
  <si>
    <t>#6 Fuel Oil</t>
  </si>
  <si>
    <t xml:space="preserve">This section provides an overview of the Renewable Energy sources utilized by Middlebury College </t>
  </si>
  <si>
    <t>each fiscal year.</t>
  </si>
  <si>
    <t>Mode trip distance (mi)</t>
  </si>
  <si>
    <t>Van mi/gal</t>
  </si>
  <si>
    <t>MMBTUs of electricity</t>
  </si>
  <si>
    <t>tonne/kg (1/1,000)</t>
  </si>
  <si>
    <t>On-campus Solar and Wind Generation</t>
  </si>
  <si>
    <t>Renewable Energy</t>
  </si>
  <si>
    <t>Mileage Reimbursement for use of Personal and Rental Cars (Gasoline):</t>
  </si>
  <si>
    <t>Diesel Fueled Vehicles:</t>
  </si>
  <si>
    <t>Natural Gas:</t>
  </si>
  <si>
    <t>MTCDE Sources by Percent</t>
  </si>
  <si>
    <t>Should be 100%</t>
  </si>
  <si>
    <t>S1M Gas</t>
  </si>
  <si>
    <t>S1M Diesel</t>
  </si>
  <si>
    <t>Total</t>
  </si>
  <si>
    <t>Ticonderoga</t>
  </si>
  <si>
    <t>West Addison</t>
  </si>
  <si>
    <t>Windham, NH</t>
  </si>
  <si>
    <t>Boston, MA</t>
  </si>
  <si>
    <t>Bronx, NY</t>
  </si>
  <si>
    <t>Brookline, MA</t>
  </si>
  <si>
    <t>Square footage: Snowbowl</t>
  </si>
  <si>
    <t>Mode Bus Size (by capacity)</t>
  </si>
  <si>
    <t>Collected annually from College Electrician, Dean Ouellette. [AB 09]</t>
  </si>
  <si>
    <t>Saranac, NY</t>
  </si>
  <si>
    <t>Somervile, MA</t>
  </si>
  <si>
    <t>2005-2008 Toyota Camrys used as case studies (6 cyl 3 L): &lt;http://www.fueleconomy.gov/feg/noframes/20932.shtml&gt; [JK 06]</t>
  </si>
  <si>
    <t>Tot Taxi Gas (gal)</t>
  </si>
  <si>
    <t>FY06/07</t>
  </si>
  <si>
    <t>Scope 2</t>
  </si>
  <si>
    <t>MTCDE/MTCE (tonne CO2/tonne C)</t>
  </si>
  <si>
    <t>Colchester</t>
  </si>
  <si>
    <t>Based on HHV and residential/commercial efficiency. EPA Climate Leaders. 2008. "Core Module Guidance: Direct Emissions from Stationary Combustion Sources." pp 20. &lt;http://www.epa.gov/climateleaders/documents/resources/stationarycombustionguidance.pdf&gt; [SG 08]</t>
  </si>
  <si>
    <r>
      <t>Tonnes CO</t>
    </r>
    <r>
      <rPr>
        <vertAlign val="subscript"/>
        <sz val="10"/>
        <rFont val="Arial"/>
        <family val="2"/>
      </rPr>
      <t>2</t>
    </r>
    <r>
      <rPr>
        <sz val="10"/>
        <rFont val="Arial"/>
        <family val="2"/>
      </rPr>
      <t>/kWh NG EF</t>
    </r>
  </si>
  <si>
    <t>Data collected annually by Waste Management and Custodial, Melissa Beckwith, Supervisor. [BB 07}</t>
  </si>
  <si>
    <t>Same as above. [JK 06]</t>
  </si>
  <si>
    <t>% Hydro</t>
  </si>
  <si>
    <t>% Coal</t>
  </si>
  <si>
    <r>
      <t xml:space="preserve">B-20 Bioheat (gal) </t>
    </r>
    <r>
      <rPr>
        <sz val="10"/>
        <color indexed="10"/>
        <rFont val="Arial"/>
        <family val="2"/>
      </rPr>
      <t>*</t>
    </r>
  </si>
  <si>
    <t>Total Train $</t>
  </si>
  <si>
    <t>North Clarendon</t>
  </si>
  <si>
    <t>Symbols indicating data providers:</t>
  </si>
  <si>
    <t>Dead RT Distance (mi)</t>
  </si>
  <si>
    <t>Dead Speed</t>
  </si>
  <si>
    <t>Calculating kWH of Carbon Emitting Electricity Sources</t>
  </si>
  <si>
    <t>Burl. to London via DC RT price</t>
  </si>
  <si>
    <t>Hydro</t>
  </si>
  <si>
    <t>Nuclear</t>
  </si>
  <si>
    <t>Natural Gas</t>
  </si>
  <si>
    <t>Coal</t>
  </si>
  <si>
    <t>Full-Time Staff</t>
  </si>
  <si>
    <t>short tons/lb (1/2000.)</t>
  </si>
  <si>
    <t>Full-Time Faculty</t>
  </si>
  <si>
    <t>Part-Time Faculty</t>
  </si>
  <si>
    <r>
      <t>Global Warming Potential (GWP) based on 100 yr time horizon: US EPA. 2006. "Non-CO</t>
    </r>
    <r>
      <rPr>
        <vertAlign val="subscript"/>
        <sz val="10"/>
        <rFont val="Arial"/>
        <family val="2"/>
      </rPr>
      <t>2</t>
    </r>
    <r>
      <rPr>
        <sz val="10"/>
        <rFont val="Arial"/>
        <family val="2"/>
      </rPr>
      <t xml:space="preserve"> Gases Economic Analysis and Inventory: Global Warming Potentials and Atmospheric Lifetimes." </t>
    </r>
    <r>
      <rPr>
        <b/>
        <sz val="10"/>
        <color indexed="10"/>
        <rFont val="Arial"/>
        <family val="2"/>
      </rPr>
      <t>&lt;http://www.epa.gov/nonco2/econ-inv/table.html</t>
    </r>
    <r>
      <rPr>
        <sz val="10"/>
        <rFont val="Arial"/>
        <family val="2"/>
      </rPr>
      <t>&gt; [BB 07]</t>
    </r>
  </si>
  <si>
    <r>
      <t xml:space="preserve">Conservatively extrapolated from data based on rental mileage records and the above mi/gal and fuel tank data. Collected annually by </t>
    </r>
    <r>
      <rPr>
        <b/>
        <sz val="10"/>
        <rFont val="Arial"/>
        <family val="2"/>
      </rPr>
      <t>Carol Quenneville</t>
    </r>
    <r>
      <rPr>
        <sz val="10"/>
        <rFont val="Arial"/>
        <family val="2"/>
      </rPr>
      <t>, Vehicle Fleet Coordinator.</t>
    </r>
  </si>
  <si>
    <t>MMBTU/gal gas EF</t>
  </si>
  <si>
    <t>FY07/08</t>
  </si>
  <si>
    <t>Burl. to London via DC $/pass-mi</t>
  </si>
  <si>
    <t>Burl. to Phoenix via DC $/pass-mi</t>
  </si>
  <si>
    <t>Burlington to NYC RT mileage</t>
  </si>
  <si>
    <t>ΣMTCDE from Mil Reimb.</t>
  </si>
  <si>
    <t>Fair Haven</t>
  </si>
  <si>
    <t>Foresdale</t>
  </si>
  <si>
    <t>Goshen</t>
  </si>
  <si>
    <t>Granville</t>
  </si>
  <si>
    <t>Hancock</t>
  </si>
  <si>
    <t>Hinesburg</t>
  </si>
  <si>
    <t>Huntington</t>
  </si>
  <si>
    <t>Rochester</t>
  </si>
  <si>
    <t>Rutland</t>
  </si>
  <si>
    <t>Salisbury</t>
  </si>
  <si>
    <t>Co-Generation</t>
  </si>
  <si>
    <t>barrels/gallon (1/42)</t>
  </si>
  <si>
    <t>Coal:</t>
  </si>
  <si>
    <t>International $/passenger mi</t>
  </si>
  <si>
    <t>New Haven</t>
  </si>
  <si>
    <t>#2 Fuel Oil / Off Road Diesel</t>
  </si>
  <si>
    <r>
      <t>CH</t>
    </r>
    <r>
      <rPr>
        <vertAlign val="subscript"/>
        <sz val="10"/>
        <rFont val="Arial"/>
        <family val="2"/>
      </rPr>
      <t>4</t>
    </r>
    <r>
      <rPr>
        <sz val="10"/>
        <rFont val="Arial"/>
        <family val="2"/>
      </rPr>
      <t xml:space="preserve"> Recovery/Flaring w/o LFGE? (%)</t>
    </r>
  </si>
  <si>
    <t>ΣMTCDE from #5 &amp; 6 Oil</t>
  </si>
  <si>
    <t>Total amounts of waste</t>
  </si>
  <si>
    <t>Diversion rates</t>
  </si>
  <si>
    <t>% Natural Gas</t>
  </si>
  <si>
    <t>Scope 3, Part A: Indirect Emissions from Outsourced Travel</t>
  </si>
  <si>
    <t>Indirect Emissions from Regular Commuting</t>
  </si>
  <si>
    <t>ΣMTCDE from #1, 2, &amp; 4 Oil</t>
  </si>
  <si>
    <r>
      <t>N</t>
    </r>
    <r>
      <rPr>
        <b/>
        <vertAlign val="subscript"/>
        <sz val="10"/>
        <rFont val="Arial"/>
        <family val="2"/>
      </rPr>
      <t>2</t>
    </r>
    <r>
      <rPr>
        <b/>
        <sz val="10"/>
        <rFont val="Arial"/>
        <family val="2"/>
      </rPr>
      <t>O EF (g gas/mile)</t>
    </r>
  </si>
  <si>
    <t>B-20 Biodiesel (gal)</t>
  </si>
  <si>
    <t>Based on 1987-1993 EF's for vans, pickups and SUVs  (most conservative light-duty values). EPA Climate Leaders. 2004. "Core Module Guidance: Direct Emissions from Mobile Combustion Sources." p 9. http://www.epa.gov/climateleaders/docs/mobilesourceguid [JK 06]</t>
  </si>
  <si>
    <r>
      <t>CH</t>
    </r>
    <r>
      <rPr>
        <vertAlign val="subscript"/>
        <sz val="10"/>
        <rFont val="Arial"/>
        <family val="2"/>
      </rPr>
      <t>4</t>
    </r>
  </si>
  <si>
    <t>Rochester, NY</t>
  </si>
  <si>
    <t>MMBTU/gal #2 EF</t>
  </si>
  <si>
    <t>MMBTU/gal propane EF</t>
  </si>
  <si>
    <t>Essex</t>
  </si>
  <si>
    <t>Forestdale</t>
  </si>
  <si>
    <t>Car tank size (gal)</t>
  </si>
  <si>
    <r>
      <t>Tonnes CO</t>
    </r>
    <r>
      <rPr>
        <vertAlign val="subscript"/>
        <sz val="10"/>
        <rFont val="Arial"/>
        <family val="2"/>
      </rPr>
      <t>2</t>
    </r>
    <r>
      <rPr>
        <sz val="10"/>
        <rFont val="Arial"/>
        <family val="2"/>
      </rPr>
      <t>/kWh Dis Oil EF</t>
    </r>
  </si>
  <si>
    <r>
      <t>Tonnes CO</t>
    </r>
    <r>
      <rPr>
        <vertAlign val="subscript"/>
        <sz val="10"/>
        <rFont val="Arial"/>
        <family val="2"/>
      </rPr>
      <t>2</t>
    </r>
    <r>
      <rPr>
        <sz val="10"/>
        <rFont val="Arial"/>
        <family val="2"/>
      </rPr>
      <t>/kWh Res Oil EF</t>
    </r>
  </si>
  <si>
    <t>Mollecular Weights are accepted as chemical standards. Value = ((12.011+2*16.000)/12.011)</t>
  </si>
  <si>
    <t>EPA Climate Leaders. 2004. "Core Module Guidance: Direct Emissions from Stationary Combustion Sources." pp 22. &lt;http://www.epa.gov/climateleaders/docs/stationarycombustionguidance.pdf &gt; [JK 06]</t>
  </si>
  <si>
    <t>Burl. to DC RT price</t>
  </si>
  <si>
    <t>West Lebanon, NH</t>
  </si>
  <si>
    <t>Winooski</t>
  </si>
  <si>
    <t>Bus Miles per Gal</t>
  </si>
  <si>
    <t>Lincoln</t>
  </si>
  <si>
    <t>Mendon</t>
  </si>
  <si>
    <t>Moretown</t>
  </si>
  <si>
    <t>Crown Point</t>
  </si>
  <si>
    <t>Gallons per Mile (diesel)</t>
  </si>
  <si>
    <t>Brooklyn, NY</t>
  </si>
  <si>
    <t>Dead Mile charge/mile ($/mi)</t>
  </si>
  <si>
    <t>Tonne/lb (1/2,204.6)</t>
  </si>
  <si>
    <t>Owings Mills, MD</t>
  </si>
  <si>
    <t>Oxford, MD</t>
  </si>
  <si>
    <t>Plymouth, NH</t>
  </si>
  <si>
    <t>Total Taxi Miles</t>
  </si>
  <si>
    <t>Burl. to St. Albans RT mileage</t>
  </si>
  <si>
    <t>Burl. to Phoenix via DC RT milage</t>
  </si>
  <si>
    <t>Burl. to London via DC RT milage</t>
  </si>
  <si>
    <t>Scope 3</t>
  </si>
  <si>
    <t>Scope 1</t>
  </si>
  <si>
    <t>EPA Climate Leaders. 2004. "Core Module Guidance: Direct Emissions from Mobile Combustion Sources." pp 30. &lt;http://www.epa.gov/climateleaders/documents/resources/mobilesource_guidance.pdf&gt; [SG 08]</t>
  </si>
  <si>
    <r>
      <t xml:space="preserve">Collected annually by Middlebury College Budget Director, </t>
    </r>
    <r>
      <rPr>
        <b/>
        <sz val="10"/>
        <rFont val="Arial"/>
        <family val="2"/>
      </rPr>
      <t>Kristen Anderson</t>
    </r>
  </si>
  <si>
    <t>MMBTUs of fuel</t>
  </si>
  <si>
    <t>Carbon Content Coefficients and HC were found in DOE/EIA. 2002. "Documentation for Emissions of Greenhouse Gasses in the United States 2002," DOE/EIA-0638(2002), Energy Information Administration, Office of Integrated Analysis and Forecasting, U.S. Department of Energy, January 2004.</t>
  </si>
  <si>
    <r>
      <t>Tonnes CO</t>
    </r>
    <r>
      <rPr>
        <b/>
        <vertAlign val="subscript"/>
        <sz val="10"/>
        <rFont val="Arial"/>
        <family val="2"/>
      </rPr>
      <t>2</t>
    </r>
    <r>
      <rPr>
        <b/>
        <sz val="10"/>
        <rFont val="Arial"/>
        <family val="2"/>
      </rPr>
      <t>/kWh Dis Oil EF</t>
    </r>
  </si>
  <si>
    <t>off-campus renewable kWh</t>
  </si>
  <si>
    <t>FY04/05</t>
  </si>
  <si>
    <t>ΣMTCDE from Natural Gas</t>
  </si>
  <si>
    <t>Sources:</t>
  </si>
  <si>
    <t>Propane</t>
  </si>
  <si>
    <r>
      <t xml:space="preserve">Figure S3.1. </t>
    </r>
    <r>
      <rPr>
        <sz val="10"/>
        <rFont val="Arial"/>
        <family val="2"/>
      </rPr>
      <t xml:space="preserve">Key for Scope 1 Mobile Carbon Dioxide Calculations. </t>
    </r>
    <r>
      <rPr>
        <i/>
        <sz val="10"/>
        <rFont val="Arial"/>
        <family val="2"/>
      </rPr>
      <t>Source:</t>
    </r>
    <r>
      <rPr>
        <sz val="10"/>
        <rFont val="Arial"/>
        <family val="2"/>
      </rPr>
      <t xml:space="preserve"> </t>
    </r>
    <r>
      <rPr>
        <sz val="10"/>
        <rFont val="Arial"/>
        <family val="2"/>
      </rPr>
      <t>EPA Climate Leaders. 2004.</t>
    </r>
    <r>
      <rPr>
        <sz val="10"/>
        <rFont val="Arial"/>
        <family val="2"/>
      </rPr>
      <t xml:space="preserve"> "Core Module Guidance: Direct Emissions from Mobile Combustion Sources." pp 5. &lt;http://www.epa.gov/climateleaders/docs/mobilesourceguidance.pdf&gt;</t>
    </r>
  </si>
  <si>
    <t>South Chittenden</t>
  </si>
  <si>
    <t>Saratoga Springs, NY</t>
  </si>
  <si>
    <t>Starksboro(ugh)</t>
  </si>
  <si>
    <t>Ferrisburg</t>
  </si>
  <si>
    <t>% Taken to Coventry LF, VT</t>
  </si>
  <si>
    <t>Total Reimbursement $</t>
  </si>
  <si>
    <t>Gallons of Jet Fuel Consumed</t>
  </si>
  <si>
    <t>% Nuclear</t>
  </si>
  <si>
    <t>% Biomass</t>
  </si>
  <si>
    <t>Shelburne</t>
  </si>
  <si>
    <t>Bus Emissions (Diesel):</t>
  </si>
  <si>
    <t>Air Travel Emissions:</t>
  </si>
  <si>
    <t>North Ferrisburg</t>
  </si>
  <si>
    <t>Orwell</t>
  </si>
  <si>
    <t>Panton</t>
  </si>
  <si>
    <t>Pittsford</t>
  </si>
  <si>
    <t>CCC (kg C/ MMBTU)</t>
  </si>
  <si>
    <r>
      <t>CH</t>
    </r>
    <r>
      <rPr>
        <vertAlign val="subscript"/>
        <sz val="10"/>
        <rFont val="Arial"/>
        <family val="2"/>
      </rPr>
      <t>4</t>
    </r>
    <r>
      <rPr>
        <sz val="10"/>
        <rFont val="Arial"/>
        <family val="2"/>
      </rPr>
      <t xml:space="preserve"> EF (g gas/MMBTU)</t>
    </r>
  </si>
  <si>
    <r>
      <t>CH</t>
    </r>
    <r>
      <rPr>
        <vertAlign val="subscript"/>
        <sz val="10"/>
        <rFont val="Arial"/>
        <family val="2"/>
      </rPr>
      <t>4</t>
    </r>
    <r>
      <rPr>
        <sz val="10"/>
        <rFont val="Arial"/>
        <family val="2"/>
      </rPr>
      <t xml:space="preserve"> GWP</t>
    </r>
  </si>
  <si>
    <r>
      <t>N</t>
    </r>
    <r>
      <rPr>
        <vertAlign val="subscript"/>
        <sz val="10"/>
        <rFont val="Arial"/>
        <family val="2"/>
      </rPr>
      <t>2</t>
    </r>
    <r>
      <rPr>
        <sz val="10"/>
        <rFont val="Arial"/>
        <family val="2"/>
      </rPr>
      <t>O EF (g gas/MMBTU)</t>
    </r>
  </si>
  <si>
    <t>% of $ spent on dom travel</t>
  </si>
  <si>
    <t>Domestic $/passenger mi</t>
  </si>
  <si>
    <t>New Hartford, NY</t>
  </si>
  <si>
    <t>Waterville, ME</t>
  </si>
  <si>
    <t>kWh from Coal</t>
  </si>
  <si>
    <t>Moriah Center</t>
  </si>
  <si>
    <t>Mini-van tank size (gal)</t>
  </si>
  <si>
    <t>Ripton</t>
  </si>
  <si>
    <t>MTCDE</t>
  </si>
  <si>
    <t>Percent</t>
  </si>
  <si>
    <t>For Coal:</t>
  </si>
  <si>
    <t>Based on 1996 EF's for heavy duty vehicles (most conservative values). EPA Climate Leaders. 2004. "Core Module Guidance: Direct Emissions from Mobile Combustion Sources." pp 9. &lt;http://www.epa.gov/climateleaders/docs/mobilesourceguidance. [JK 06]</t>
  </si>
  <si>
    <t>Middlebury College Annual Greenhouse Gas Inventory: Summary Data</t>
  </si>
  <si>
    <r>
      <t xml:space="preserve">Data collected annually by Waste Management and Custodial, </t>
    </r>
    <r>
      <rPr>
        <b/>
        <sz val="10"/>
        <rFont val="Arial"/>
        <family val="2"/>
      </rPr>
      <t>Melissa Beckwith, Supervisor</t>
    </r>
  </si>
  <si>
    <t>Waitsfield</t>
  </si>
  <si>
    <t>Waltham</t>
  </si>
  <si>
    <t>Warren</t>
  </si>
  <si>
    <t>% Other (assume NPCC Grid)</t>
  </si>
  <si>
    <t>Castleton</t>
  </si>
  <si>
    <t>Center Rutland</t>
  </si>
  <si>
    <t>Charlotte</t>
  </si>
  <si>
    <t>Live RT Distance (mi)</t>
  </si>
  <si>
    <t>Enosburg</t>
  </si>
  <si>
    <r>
      <t>N</t>
    </r>
    <r>
      <rPr>
        <vertAlign val="subscript"/>
        <sz val="10"/>
        <rFont val="Arial"/>
        <family val="2"/>
      </rPr>
      <t>2</t>
    </r>
    <r>
      <rPr>
        <sz val="10"/>
        <rFont val="Arial"/>
        <family val="2"/>
      </rPr>
      <t>O GWP</t>
    </r>
  </si>
  <si>
    <t>Average on-road US mi/gal based on 55/44 highway/city driving habits as set by the EPA in: US EPA. 2006. Light Duty Automotive Technology and Fuel Economy Trends: 1975 Through 2006. Executive Summary. EPA420-S-06-003, July 2006. Retrieved from: &lt;http://www.epa.gov/otaq/cert/mpg/fetrends/420s06003.htm&gt; [JK 06]</t>
  </si>
  <si>
    <t>Jamaica Plain, MA</t>
  </si>
  <si>
    <r>
      <t xml:space="preserve">B-5 Biodiesel (gal) </t>
    </r>
    <r>
      <rPr>
        <sz val="10"/>
        <color indexed="10"/>
        <rFont val="Arial"/>
        <family val="2"/>
      </rPr>
      <t>*</t>
    </r>
  </si>
  <si>
    <t>tonne/lb (1/2,204.6)</t>
  </si>
  <si>
    <t>Exeter, NH</t>
  </si>
  <si>
    <t>Hanover, NH</t>
  </si>
  <si>
    <t>Harrison, NY</t>
  </si>
  <si>
    <t>kWh from Fuel Oil</t>
  </si>
  <si>
    <t>Propane (gal)</t>
  </si>
  <si>
    <t>Troy, NY</t>
  </si>
  <si>
    <t>Underhill</t>
  </si>
  <si>
    <t>Washington, DC</t>
  </si>
  <si>
    <r>
      <t>Yr. 2000 EF (lbs CO</t>
    </r>
    <r>
      <rPr>
        <vertAlign val="subscript"/>
        <sz val="10"/>
        <rFont val="Arial"/>
        <family val="2"/>
      </rPr>
      <t>2</t>
    </r>
    <r>
      <rPr>
        <sz val="10"/>
        <rFont val="Arial"/>
        <family val="2"/>
      </rPr>
      <t>/MWh)</t>
    </r>
  </si>
  <si>
    <t>Baltimore, MD</t>
  </si>
  <si>
    <t>Train Travel Emissions (assume diesel fueled trains):</t>
  </si>
  <si>
    <t>Total Airline $</t>
  </si>
  <si>
    <t>2004-2008 Dodge Caravans used as case studies (3.8 L): &lt;http://www.fueleconomy.gov/feg/noframes/21230.shtml&gt; [JK 06]</t>
  </si>
  <si>
    <r>
      <t xml:space="preserve">% Taken to Coventry LF, VT </t>
    </r>
    <r>
      <rPr>
        <sz val="10"/>
        <color indexed="10"/>
        <rFont val="Arial"/>
        <family val="2"/>
      </rPr>
      <t>∞</t>
    </r>
  </si>
  <si>
    <t>Tinmouth</t>
  </si>
  <si>
    <r>
      <t>N</t>
    </r>
    <r>
      <rPr>
        <vertAlign val="subscript"/>
        <sz val="10"/>
        <rFont val="Arial"/>
        <family val="2"/>
      </rPr>
      <t>2</t>
    </r>
    <r>
      <rPr>
        <sz val="10"/>
        <rFont val="Arial"/>
        <family val="2"/>
      </rPr>
      <t>O</t>
    </r>
  </si>
  <si>
    <r>
      <t xml:space="preserve">Figure S1.1. </t>
    </r>
    <r>
      <rPr>
        <sz val="10"/>
        <rFont val="Arial"/>
        <family val="2"/>
      </rPr>
      <t xml:space="preserve">Key for Scope 1 Mobile Carbon Dioxide Calculations. </t>
    </r>
    <r>
      <rPr>
        <i/>
        <sz val="10"/>
        <rFont val="Arial"/>
        <family val="2"/>
      </rPr>
      <t>Source:</t>
    </r>
    <r>
      <rPr>
        <sz val="10"/>
        <rFont val="Arial"/>
        <family val="2"/>
      </rPr>
      <t xml:space="preserve"> </t>
    </r>
    <r>
      <rPr>
        <sz val="10"/>
        <rFont val="Arial"/>
        <family val="2"/>
      </rPr>
      <t>EPA Climate Leaders. 2004. "C</t>
    </r>
    <r>
      <rPr>
        <sz val="10"/>
        <rFont val="Arial"/>
        <family val="2"/>
      </rPr>
      <t>ore Module Guidance: Direct Emissions from Mobile Combustion Sources." pp 5. &lt;http://www.epa.gov/climateleaders/docs/mobilesourceguidance.pdf&gt;</t>
    </r>
  </si>
  <si>
    <t>Total Bioheat</t>
  </si>
  <si>
    <t>Burl. to London via DC RT mileage</t>
  </si>
  <si>
    <t>Burl. to DC RT mileage</t>
  </si>
  <si>
    <t>ΣMTCDE from #2 / diesel</t>
  </si>
  <si>
    <t>S1S #6 Oil</t>
  </si>
  <si>
    <t>MTCDE seq/ton composted</t>
  </si>
  <si>
    <t>Moriah</t>
  </si>
  <si>
    <t>on-campus wind kWH</t>
  </si>
  <si>
    <t>on-campus solar kWH</t>
  </si>
  <si>
    <t>FY05/06</t>
  </si>
  <si>
    <t>HC (MMBTU/bbl)</t>
  </si>
  <si>
    <t>MTCDEs by year</t>
  </si>
  <si>
    <t>kWh used w/in boundaries</t>
  </si>
  <si>
    <t>Total Gal Diesel Combusted</t>
  </si>
  <si>
    <t>Total Cost</t>
  </si>
  <si>
    <t>Leicester</t>
  </si>
  <si>
    <t>kWh from NPCC</t>
  </si>
  <si>
    <t>Northampton, MA</t>
  </si>
  <si>
    <t>Norwood, MA</t>
  </si>
  <si>
    <t>Providence, RI</t>
  </si>
  <si>
    <t>Qunicy, MA</t>
  </si>
  <si>
    <t>HC and Carbon Content Coefficients values were originally published in:</t>
  </si>
  <si>
    <t>Burl. to Wa. DC $/pass-mi</t>
  </si>
  <si>
    <t>Middlebury</t>
  </si>
  <si>
    <t>Cornwall</t>
  </si>
  <si>
    <t>Middlebury College Employee Handbook. Section 4.5: Holidays.&lt;http://www.middlebury.edu/about/handbook/employee/&gt; [JK 06]</t>
  </si>
  <si>
    <t>[JK 06]</t>
  </si>
  <si>
    <r>
      <t xml:space="preserve">Figure S1.2. </t>
    </r>
    <r>
      <rPr>
        <sz val="10"/>
        <rFont val="Arial"/>
        <family val="2"/>
      </rPr>
      <t xml:space="preserve">Key for Scope 1 Mobile Methane and Nitrous Oxide Calculations. </t>
    </r>
    <r>
      <rPr>
        <i/>
        <sz val="10"/>
        <rFont val="Arial"/>
        <family val="2"/>
      </rPr>
      <t>Source:</t>
    </r>
    <r>
      <rPr>
        <sz val="10"/>
        <rFont val="Arial"/>
        <family val="2"/>
      </rPr>
      <t xml:space="preserve"> </t>
    </r>
    <r>
      <rPr>
        <sz val="10"/>
        <rFont val="Arial"/>
        <family val="2"/>
      </rPr>
      <t>EPA Climate Leaders. 2004. "Core Module Guidance: Direct Emissions from Mobile Combustion Sources." pp 7. &lt;http://www.epa.gov/climateleaders/docs/mobilesourceguidance.pdf&gt;</t>
    </r>
  </si>
  <si>
    <t>◊</t>
  </si>
  <si>
    <t>∞</t>
  </si>
  <si>
    <t>●</t>
  </si>
  <si>
    <r>
      <t xml:space="preserve">Collected annually by Assistant Director of Facilities Services, Central Heating/Utilities: </t>
    </r>
    <r>
      <rPr>
        <b/>
        <sz val="10"/>
        <rFont val="Arial"/>
        <family val="2"/>
      </rPr>
      <t>Mike Moser</t>
    </r>
    <r>
      <rPr>
        <sz val="10"/>
        <rFont val="Arial"/>
        <family val="2"/>
      </rPr>
      <t>.</t>
    </r>
  </si>
  <si>
    <t>Standard coefficients:</t>
  </si>
  <si>
    <t>Propane:</t>
  </si>
  <si>
    <t>#6 Fuel Oil:</t>
  </si>
  <si>
    <r>
      <t>Dean Ouellette</t>
    </r>
    <r>
      <rPr>
        <sz val="10"/>
        <rFont val="Arial"/>
        <family val="2"/>
      </rPr>
      <t>, Middlebury College Electrical Engineer.</t>
    </r>
  </si>
  <si>
    <t>FY03/04</t>
  </si>
  <si>
    <r>
      <t>Tonnes CO</t>
    </r>
    <r>
      <rPr>
        <vertAlign val="subscript"/>
        <sz val="10"/>
        <rFont val="Arial"/>
        <family val="2"/>
      </rPr>
      <t>2</t>
    </r>
    <r>
      <rPr>
        <sz val="10"/>
        <rFont val="Arial"/>
        <family val="2"/>
      </rPr>
      <t>/kWh Coal EF</t>
    </r>
  </si>
  <si>
    <r>
      <t xml:space="preserve">Total Taxi $ </t>
    </r>
    <r>
      <rPr>
        <sz val="10"/>
        <color indexed="10"/>
        <rFont val="Arial"/>
        <family val="2"/>
      </rPr>
      <t>□</t>
    </r>
  </si>
  <si>
    <t>East Middlebury</t>
  </si>
  <si>
    <t>Essex Junction</t>
  </si>
  <si>
    <r>
      <t xml:space="preserve">Straight on-road diesel (gal) </t>
    </r>
    <r>
      <rPr>
        <sz val="10"/>
        <color indexed="10"/>
        <rFont val="Arial"/>
        <family val="2"/>
      </rPr>
      <t>*</t>
    </r>
  </si>
  <si>
    <t xml:space="preserve">CTO for full time staff 0-1 yrs </t>
  </si>
  <si>
    <t>Base commuting days/yr</t>
  </si>
  <si>
    <r>
      <t xml:space="preserve">Total Reimbursement $ </t>
    </r>
    <r>
      <rPr>
        <sz val="10"/>
        <color indexed="10"/>
        <rFont val="Arial"/>
        <family val="2"/>
      </rPr>
      <t>□</t>
    </r>
  </si>
  <si>
    <r>
      <t xml:space="preserve">on-campus solar kWH </t>
    </r>
    <r>
      <rPr>
        <sz val="10"/>
        <color indexed="10"/>
        <rFont val="Arial"/>
        <family val="2"/>
      </rPr>
      <t>‡</t>
    </r>
  </si>
  <si>
    <t>Taxi Emissions (Gasoline):</t>
  </si>
  <si>
    <t>B-5 Bioheat (gal)</t>
  </si>
  <si>
    <t>on-campus renewable kWh</t>
  </si>
  <si>
    <t>Mileage rate used by Middlebry College in determining $ reimbursements. Taken From Middlebury College CCAL Gas Milage Chart by Charlotte Chase. [JK 06]</t>
  </si>
  <si>
    <t>ΣMTCDE from diesel:</t>
  </si>
  <si>
    <t>MMBTU/gal diesel EF</t>
  </si>
  <si>
    <t xml:space="preserve">Global Warming Potential (GWP) based on 100 yr time horizon: US EPA. 2006. "Non-CO2 Gasses Economic Analysis and Inventory: Global Warming Potentials and Atmospheric Lifetimes." &lt;http://www.epa.gov/nonco2/econ-inv/table.html&gt;  </t>
  </si>
  <si>
    <t>ΣMTCDE from #6 Fuel Oil</t>
  </si>
  <si>
    <t>HC values were originally published in:</t>
  </si>
  <si>
    <r>
      <t>MW ratio (kg CO</t>
    </r>
    <r>
      <rPr>
        <vertAlign val="subscript"/>
        <sz val="10"/>
        <rFont val="Arial"/>
        <family val="2"/>
      </rPr>
      <t>2</t>
    </r>
    <r>
      <rPr>
        <sz val="10"/>
        <rFont val="Arial"/>
        <family val="2"/>
      </rPr>
      <t>/kg C)</t>
    </r>
  </si>
  <si>
    <r>
      <t>CH</t>
    </r>
    <r>
      <rPr>
        <vertAlign val="subscript"/>
        <sz val="10"/>
        <rFont val="Arial"/>
        <family val="2"/>
      </rPr>
      <t>4</t>
    </r>
    <r>
      <rPr>
        <sz val="10"/>
        <rFont val="Arial"/>
        <family val="2"/>
      </rPr>
      <t xml:space="preserve"> digestion</t>
    </r>
  </si>
  <si>
    <t>This section includes emissions from all mobile combustion of fossil fuels purchsed by the institution combusted within all vehicles owned and controlled by the institution as established in the introduction.</t>
  </si>
  <si>
    <t>Calculated from sourced data (given the % domestic travel given)</t>
  </si>
  <si>
    <t>Scope 1, Part B: Direct Emissions from Mobile Combustion</t>
  </si>
  <si>
    <t>West Rutland</t>
  </si>
  <si>
    <t>Clarendon Springs</t>
  </si>
  <si>
    <t>FY0506 Note:</t>
  </si>
  <si>
    <t>Gasoline Fueled Vehicles</t>
  </si>
  <si>
    <t>Midd Transit Case Study: Midd =&gt; Burlington</t>
  </si>
  <si>
    <t>Average $/person</t>
  </si>
  <si>
    <t>Average people/trip</t>
  </si>
  <si>
    <t>Co-Gen</t>
  </si>
  <si>
    <t>Solar</t>
  </si>
  <si>
    <t>Wind</t>
  </si>
  <si>
    <t>emissions rate for the yr. 2000. EPA Climate Leaders. 2004. "Core Module Guidance: Indirect Emissions from Purchases/Sales of Electricity and Steam." pp 22. &lt;http://www.epa.gov/climateleaders/docs/indirectelectricityguidance.pdf&gt; [JK 06]</t>
  </si>
  <si>
    <t>Wellesley, MA</t>
  </si>
  <si>
    <t>ΣMTCDE from Gasoline</t>
  </si>
  <si>
    <t>Total Biodiesel</t>
  </si>
  <si>
    <t>Based on HHV and industrial efficiency. EPA Climate Leaders. 2004. "Core Module Guidance: Direct Emissions from Stationary Combustion Sources." pp 20. &lt;http://www.epa.gov/climateleaders/docs/stationarycombustionguidance.pdf &gt; [JK 06]</t>
  </si>
  <si>
    <r>
      <t xml:space="preserve">Propane (gal) </t>
    </r>
    <r>
      <rPr>
        <sz val="10"/>
        <color indexed="10"/>
        <rFont val="Arial"/>
        <family val="2"/>
      </rPr>
      <t>*</t>
    </r>
  </si>
  <si>
    <r>
      <t xml:space="preserve">#6 Fuel Oil (gal) </t>
    </r>
    <r>
      <rPr>
        <sz val="10"/>
        <color indexed="10"/>
        <rFont val="Arial"/>
        <family val="2"/>
      </rPr>
      <t>*</t>
    </r>
  </si>
  <si>
    <t>Carbon Content Coefficients and Fractions Oxidized:</t>
  </si>
  <si>
    <t>Westford</t>
  </si>
  <si>
    <t>Gloucester, MA</t>
  </si>
  <si>
    <t>Pittsfield</t>
  </si>
  <si>
    <t>South Royalton</t>
  </si>
  <si>
    <t>St. Albans</t>
  </si>
  <si>
    <t>Higher heating values (HHV) are used. FY01/02-FY05/06: EPA Climate Leaders. 2008. "Core Module Guidance: Direct Emissions from Stationary Combustion Sources." pp 23. &lt;http://www.epa.gov/climateleaders/documents/resources/stationarycombustionguidance.pdf&gt; [SG 08]</t>
  </si>
  <si>
    <t>%ISO-NE</t>
  </si>
  <si>
    <t>Diesel</t>
  </si>
  <si>
    <t>Gas</t>
  </si>
  <si>
    <t xml:space="preserve">CTO for full time staff 3-10 yrs </t>
  </si>
  <si>
    <t>Σ Commuting Miles = Σ (daily miles x annual working days x nh factor x ft%)</t>
  </si>
  <si>
    <t>Σ Commuter Gas (gal)</t>
  </si>
  <si>
    <t>Centereach, NY</t>
  </si>
  <si>
    <t>New Brunswick, NJ</t>
  </si>
  <si>
    <t>ΣMTCDE from propane</t>
  </si>
  <si>
    <t>Vergennes</t>
  </si>
  <si>
    <t>Bomoseen</t>
  </si>
  <si>
    <t>Cooperstown, NY</t>
  </si>
  <si>
    <t>Crown Point, NY</t>
  </si>
  <si>
    <t>Dynamic factors and coefficients used</t>
  </si>
  <si>
    <t>Mollecular Weights are accepted as chemical standards. Value = ((12.011+2*16.000)/12.011) [zbb 07]</t>
  </si>
  <si>
    <r>
      <t xml:space="preserve">Guthrie, V.B. (ed.). 1960 </t>
    </r>
    <r>
      <rPr>
        <i/>
        <sz val="12"/>
        <rFont val="Times New Roman"/>
        <family val="1"/>
      </rPr>
      <t>Characteristics of Compounds,</t>
    </r>
    <r>
      <rPr>
        <sz val="12"/>
        <rFont val="Times New Roman"/>
        <family val="1"/>
      </rPr>
      <t xml:space="preserve"> </t>
    </r>
    <r>
      <rPr>
        <u/>
        <sz val="12"/>
        <rFont val="Times New Roman"/>
        <family val="1"/>
      </rPr>
      <t>Petroleum Products Handbook</t>
    </r>
    <r>
      <rPr>
        <sz val="12"/>
        <rFont val="Times New Roman"/>
        <family val="1"/>
      </rPr>
      <t>. New York, NY: Mcgraw Hill. pp 3.</t>
    </r>
  </si>
  <si>
    <t>White River Junction</t>
  </si>
  <si>
    <t>Williamstown, MA</t>
  </si>
  <si>
    <t>Total diesel (gal)</t>
  </si>
  <si>
    <t>Gas Vehicle Activity miles</t>
  </si>
  <si>
    <t>Putitive Vehicle mi/gal</t>
  </si>
  <si>
    <t>ΣMTCDE from Coal</t>
  </si>
  <si>
    <t>Springfield, MA</t>
  </si>
  <si>
    <t>Toronto, ON</t>
  </si>
  <si>
    <t>15/11-pass. van tank size (gal)</t>
  </si>
  <si>
    <t>Burlington to NYC RT milage</t>
  </si>
  <si>
    <t>Sudbury</t>
  </si>
  <si>
    <t>US Dollars/cent (1/100)</t>
  </si>
  <si>
    <t>Brandon</t>
  </si>
  <si>
    <t>Burl. to NYC RT price</t>
  </si>
  <si>
    <t>Burl. to NYC $/pass-mi</t>
  </si>
  <si>
    <t>Milage Reimbursement for use of Personal and Rental Cars (Gasoline)</t>
  </si>
  <si>
    <t>Global Warming Potential (GWP) based on 100 yr time horizon: US EPA. 2006. "Non-CO2 Gasses Economic Analysis and Inventory: Global Warming Potentials and Atmospheric Lifetimes." &lt;http://www.epa.gov/nonco2/econ-inv/table.html&gt; [BB 07]</t>
  </si>
  <si>
    <t>For Natural Gas #6, #2, and Diesel:</t>
  </si>
  <si>
    <t>Carbon Neutral</t>
  </si>
  <si>
    <t>Waste Composted (lbs)</t>
  </si>
  <si>
    <t>Methane and Nitrous oxide EF’s are based on highway vehicle EFs taken directly from US EPA. 2004. “Inventory of U.S. Greenhouse Gas Emissions and Sinks:” 1990-2002, EPA430-R-04-003, U.S. EPA, Washington, DC, April 2004, as are CCC’s and FO factors. FO values of .99 are also recommended by  IPCC guidelines.</t>
  </si>
  <si>
    <t>Non-contributing External Offsets</t>
  </si>
  <si>
    <t>tonne/gram (1/1x106)</t>
  </si>
  <si>
    <t>Fiscal Year (all values are to be entered in metric tonnes):</t>
  </si>
  <si>
    <t>Totals</t>
  </si>
  <si>
    <t>Narbeth, PA</t>
  </si>
  <si>
    <t>New Hampton, NH</t>
  </si>
  <si>
    <t>New York, NY</t>
  </si>
  <si>
    <t>New Market, NH</t>
  </si>
  <si>
    <t>FY01/02</t>
  </si>
  <si>
    <t>FY02/03</t>
  </si>
  <si>
    <t>Factors determining off campus gas calculations:</t>
  </si>
  <si>
    <t>Total #2 Fuel (gal)</t>
  </si>
  <si>
    <t>Witherbee, NY</t>
  </si>
  <si>
    <t>Ave Commute (mi) for Employees from:</t>
  </si>
  <si>
    <t>Doylestown, PA</t>
  </si>
  <si>
    <t>Jamesville, NY</t>
  </si>
  <si>
    <t>1992 Global RFI as set by the IPCC. This is one of the more concrete RFI numbers in circulation, and is higher than that used by Native Energy and the Carbon Exchange. &lt;http://www.grida.no/climate/ipcc/aviation/064.htm&gt; [BB 07]</t>
  </si>
  <si>
    <t>Off-Road Diesel (inc. blends)</t>
  </si>
  <si>
    <t>High Emissions/$ Scenario: Midd=&gt;Colby for a 4 Hour Event</t>
  </si>
  <si>
    <r>
      <t>CH</t>
    </r>
    <r>
      <rPr>
        <vertAlign val="subscript"/>
        <sz val="10"/>
        <rFont val="Arial"/>
        <family val="2"/>
      </rPr>
      <t>4</t>
    </r>
    <r>
      <rPr>
        <sz val="10"/>
        <rFont val="Arial"/>
        <family val="2"/>
      </rPr>
      <t xml:space="preserve"> Recovery/Flaring w/o LFGE? (%)</t>
    </r>
  </si>
  <si>
    <t>Unit Conversion</t>
  </si>
  <si>
    <t>For #6, #2, and Diesel:</t>
  </si>
  <si>
    <r>
      <t xml:space="preserve">Total Bus $ </t>
    </r>
    <r>
      <rPr>
        <sz val="10"/>
        <color indexed="10"/>
        <rFont val="Arial"/>
        <family val="2"/>
      </rPr>
      <t>□</t>
    </r>
  </si>
  <si>
    <r>
      <t xml:space="preserve">Total Airline $ </t>
    </r>
    <r>
      <rPr>
        <sz val="10"/>
        <color indexed="10"/>
        <rFont val="Arial"/>
        <family val="2"/>
      </rPr>
      <t>□</t>
    </r>
  </si>
  <si>
    <r>
      <t xml:space="preserve">B-20 Biodiesel (gal) </t>
    </r>
    <r>
      <rPr>
        <sz val="10"/>
        <color indexed="10"/>
        <rFont val="Arial"/>
        <family val="2"/>
      </rPr>
      <t>*</t>
    </r>
  </si>
  <si>
    <t>Fraction Oxidized</t>
  </si>
  <si>
    <t>Janet Shatney, Permits &amp; Compliance Administrator, Casella Waste Management, Montepelier Office [SG 08]</t>
  </si>
  <si>
    <r>
      <t>tonnes CH</t>
    </r>
    <r>
      <rPr>
        <vertAlign val="subscript"/>
        <sz val="10"/>
        <rFont val="Arial"/>
        <family val="2"/>
      </rPr>
      <t>4</t>
    </r>
  </si>
  <si>
    <t>Value/EF</t>
  </si>
  <si>
    <t>Fiscal Year:</t>
  </si>
  <si>
    <t>This section includes emissions from all mobile combustion of fossil fuels purchased by the institution combusted within all vehicles owned and controlled by the institution as established in the introduction.</t>
  </si>
  <si>
    <r>
      <t>CH</t>
    </r>
    <r>
      <rPr>
        <vertAlign val="subscript"/>
        <sz val="10"/>
        <rFont val="Arial"/>
        <family val="2"/>
      </rPr>
      <t>4</t>
    </r>
    <r>
      <rPr>
        <sz val="10"/>
        <rFont val="Arial"/>
        <family val="2"/>
      </rPr>
      <t xml:space="preserve"> EF w/ Recovery (MTCE/ton)</t>
    </r>
  </si>
  <si>
    <t>Middlebury Transit, Inc, Owner, Bill Fuller. [JK 06]</t>
  </si>
  <si>
    <r>
      <t>CH</t>
    </r>
    <r>
      <rPr>
        <b/>
        <vertAlign val="subscript"/>
        <sz val="10"/>
        <rFont val="Arial"/>
        <family val="2"/>
      </rPr>
      <t>4</t>
    </r>
    <r>
      <rPr>
        <b/>
        <sz val="10"/>
        <rFont val="Arial"/>
        <family val="2"/>
      </rPr>
      <t xml:space="preserve"> EF (g gas/MMBTU)</t>
    </r>
  </si>
  <si>
    <t>This section includes emissions from methane produced by the institutional waste stream.</t>
  </si>
  <si>
    <t>EPA Climate Leaders. 2004. "Core Module Guidance: Direct Emissions from Mobile Combustion Sources." pp 26. &lt;http://www.epa.gov/climateleaders/docs/mobilesourceguidance.pdf&gt; [BB 07]</t>
  </si>
  <si>
    <t>Ave Mi/Gal of emp vehicles</t>
  </si>
  <si>
    <t>ΣMTCDE from Commuting</t>
  </si>
  <si>
    <t>*</t>
  </si>
  <si>
    <t>Methane and Nitrous oxide EF’s are based on highway vehicle EFs were taken directly from US EPA. 2004. “Inventory of U.S. Greenhouse Gas Emissions and Sinks:” 1990-2002, EPA430-R-04-003, U.S. EPA, Washington, DC, April 2004, as were CCC’s and FO factors. FO values of .99 are also recommended by  IPCC guidelines.</t>
  </si>
  <si>
    <t>Regular holiday days/yr</t>
  </si>
  <si>
    <t xml:space="preserve">CTO for full time staff 1-2 yrs </t>
  </si>
  <si>
    <t>Ithaca, NY</t>
  </si>
  <si>
    <t>Laurel, MD</t>
  </si>
  <si>
    <t>Leeds, MA</t>
  </si>
  <si>
    <t>Lexington, MA</t>
  </si>
  <si>
    <t>Lutherville, MD</t>
  </si>
  <si>
    <t>Mansville, MA</t>
  </si>
  <si>
    <t>Medford, MA</t>
  </si>
  <si>
    <t>Milford, CT</t>
  </si>
  <si>
    <t>Jeffersonville</t>
  </si>
  <si>
    <r>
      <t xml:space="preserve">Off-Road Diesel (inc. blends) </t>
    </r>
    <r>
      <rPr>
        <sz val="10"/>
        <color indexed="10"/>
        <rFont val="Arial"/>
        <family val="2"/>
      </rPr>
      <t>*</t>
    </r>
  </si>
  <si>
    <t>Straight on-road diesel (gal)</t>
  </si>
  <si>
    <t>B-5 Biodiesel (gal)</t>
  </si>
  <si>
    <t xml:space="preserve">CTO for full time staff 10-20 yrs </t>
  </si>
  <si>
    <t>2005-07 Toyota Camrys used as case studies (6 cyl 3 L): &lt;http://www.fueleconomy.gov/feg/noframes/20932.shtml&gt; [JK 06]</t>
  </si>
  <si>
    <t>This section includes emissions from all stationary combustion of fossil fuels purchased by the institution and combusted within the geographic and control boundaries established in the introduction</t>
  </si>
  <si>
    <t>Commuting miles</t>
  </si>
  <si>
    <t>Live Speed</t>
  </si>
  <si>
    <t>Norwich</t>
  </si>
  <si>
    <t>National statistical data that should be updated or checked each year</t>
  </si>
  <si>
    <t>HC values were originally published in U.S. Department of Energy, Energy Information Administration. 2003. “Annual Energy Review 2002,” DOE/EIA 0384(2002), , Washington, DC, October 2003.</t>
  </si>
  <si>
    <t>Methane processing technology</t>
  </si>
  <si>
    <t>Putatively small in order to remain conservative</t>
  </si>
  <si>
    <t>Mollecular Weights are accepted as chemical standards. Value = ((12.011+2*16.000)/12.011) [BB 07]</t>
  </si>
  <si>
    <t>Airplanes</t>
  </si>
  <si>
    <t>Bus</t>
  </si>
  <si>
    <t>Taxis</t>
  </si>
  <si>
    <t>Trains</t>
  </si>
  <si>
    <t>Annual ave cents/gal</t>
  </si>
  <si>
    <r>
      <t xml:space="preserve">Straight #2 Fuel Oil (gal) </t>
    </r>
    <r>
      <rPr>
        <sz val="10"/>
        <color indexed="10"/>
        <rFont val="Arial"/>
        <family val="2"/>
      </rPr>
      <t>*</t>
    </r>
  </si>
  <si>
    <r>
      <t xml:space="preserve">B-5 Bioheat (gal) </t>
    </r>
    <r>
      <rPr>
        <sz val="10"/>
        <color indexed="10"/>
        <rFont val="Arial"/>
        <family val="2"/>
      </rPr>
      <t>*</t>
    </r>
  </si>
  <si>
    <t>Taxi Emissions (Gasoline)</t>
  </si>
  <si>
    <t>Bus Emissions (Diesel)</t>
  </si>
  <si>
    <t>Total Bus $</t>
  </si>
  <si>
    <t>ΣMTCDE from Air Travel:</t>
  </si>
  <si>
    <r>
      <t>MTCDEs from Landfill CH</t>
    </r>
    <r>
      <rPr>
        <b/>
        <vertAlign val="subscript"/>
        <sz val="10"/>
        <rFont val="Arial"/>
        <family val="2"/>
      </rPr>
      <t>4</t>
    </r>
    <r>
      <rPr>
        <b/>
        <sz val="10"/>
        <rFont val="Arial"/>
        <family val="2"/>
      </rPr>
      <t xml:space="preserve"> </t>
    </r>
  </si>
  <si>
    <t>EPA Climate Leaders. 2004. "Core Module Guidance: Direct Emissions from Stationary Combustion Sources." pp 26. &lt;http://www.epa.gov/climateleaders/docs/mobilesourceguidance.pdf&gt; [JK 06]</t>
  </si>
  <si>
    <t>This section includes emissions from all stationary combustion of fossil fuels done in direct proportion to an energy source purchased by the institution; i.e. purchased electricity and steam generated outside the geographic/control boundaries set in the introduction, yet consumed within them.</t>
  </si>
  <si>
    <t>Burl. to Phoenix via DC RT price</t>
  </si>
  <si>
    <t>Voluntarily reported via email to Jack Byrne and Billie Borden, summer '07. (see folder: "Supplementary Documents FY06-07") [BB 07]</t>
  </si>
  <si>
    <t>Hubbardton</t>
  </si>
  <si>
    <t>Direct Sequestration, Renewable Energy Certificates, and Offsets</t>
  </si>
  <si>
    <r>
      <t xml:space="preserve"> CH</t>
    </r>
    <r>
      <rPr>
        <b/>
        <vertAlign val="subscript"/>
        <sz val="10"/>
        <rFont val="Arial"/>
        <family val="2"/>
      </rPr>
      <t>4</t>
    </r>
    <r>
      <rPr>
        <b/>
        <sz val="10"/>
        <rFont val="Arial"/>
        <family val="2"/>
      </rPr>
      <t xml:space="preserve"> EF w/ LFGE (tonne gas/ton)</t>
    </r>
  </si>
  <si>
    <r>
      <t>Tonnes Clinton Co LF CH</t>
    </r>
    <r>
      <rPr>
        <b/>
        <vertAlign val="subscript"/>
        <sz val="10"/>
        <rFont val="Arial"/>
        <family val="2"/>
      </rPr>
      <t>4</t>
    </r>
  </si>
  <si>
    <r>
      <t>CH</t>
    </r>
    <r>
      <rPr>
        <vertAlign val="subscript"/>
        <sz val="10"/>
        <rFont val="Arial"/>
        <family val="2"/>
      </rPr>
      <t>4</t>
    </r>
    <r>
      <rPr>
        <sz val="10"/>
        <rFont val="Arial"/>
        <family val="2"/>
      </rPr>
      <t xml:space="preserve"> EF (tonnes gas/ton waste)</t>
    </r>
  </si>
  <si>
    <r>
      <t>CH</t>
    </r>
    <r>
      <rPr>
        <b/>
        <vertAlign val="subscript"/>
        <sz val="10"/>
        <rFont val="Arial"/>
        <family val="2"/>
      </rPr>
      <t>4</t>
    </r>
    <r>
      <rPr>
        <b/>
        <sz val="10"/>
        <rFont val="Arial"/>
        <family val="2"/>
      </rPr>
      <t xml:space="preserve"> EF (g gas/kg fuel)</t>
    </r>
  </si>
  <si>
    <t>Dead Time (hr)</t>
  </si>
  <si>
    <t>#6 Fuel Oil (gal)</t>
  </si>
  <si>
    <t>Conservatively extrapolated from data based on rental mileage records and the above mi/gal and fuel tank data. Collected annually by Carol Quenneville, Vehicle Fleet Coordinator, Facilities. [SG 08]</t>
  </si>
  <si>
    <t>updated each reporting period from primary sources.</t>
  </si>
  <si>
    <t>GHG (Greenhouse Gas)</t>
  </si>
  <si>
    <t>Dom BTU jet fuel/pass. mi.</t>
  </si>
  <si>
    <t>B-20 Bioheat (gal)</t>
  </si>
  <si>
    <t>This section includes emissions from all stationary combustion of fossil fuels purchsed by the institution and combusted within the geographic and control boundaries established in the introduction.</t>
  </si>
  <si>
    <t>Straight #2 Fuel Oil (gal)</t>
  </si>
  <si>
    <t>Meadville, PA</t>
  </si>
  <si>
    <r>
      <t xml:space="preserve">on-campus wind kWH </t>
    </r>
    <r>
      <rPr>
        <sz val="10"/>
        <color indexed="10"/>
        <rFont val="Arial"/>
        <family val="2"/>
      </rPr>
      <t>‡</t>
    </r>
  </si>
  <si>
    <t>Total Solid Waste (lbs)</t>
  </si>
  <si>
    <t>Energy Intensity of Passenger Modes (BTU per passenger miles), Bureau of Transportation Statistics, National Transportation Statistics 2007, (Table 4-20), pp 286: &lt;http://www.bts.gov/publications/national_transportation_statistics/pdf/entire.pdf&gt; [BB 07]</t>
  </si>
  <si>
    <t>MTCDEs by Fiscal Year</t>
  </si>
  <si>
    <t>-</t>
  </si>
  <si>
    <t>†</t>
  </si>
  <si>
    <t>‡</t>
  </si>
  <si>
    <t>□</t>
  </si>
  <si>
    <t>▲</t>
  </si>
  <si>
    <r>
      <t xml:space="preserve">Total Solid Waste (lbs) </t>
    </r>
    <r>
      <rPr>
        <sz val="10"/>
        <color indexed="10"/>
        <rFont val="Arial"/>
        <family val="2"/>
      </rPr>
      <t>▲</t>
    </r>
  </si>
  <si>
    <t>Collected annually by Middlebury College Budget Director, Kristen Anderson and Budget Analyst, Sue Lalumiere. Consult "Travel Expenses FY02 to FY07" file in folder entitled "Supplementary Documents." [BB 07/ AB 09]</t>
  </si>
  <si>
    <r>
      <t>Global Warming Potential (GWP) based on 100 yr time horizon: US EPA. 2006. "Non-CO</t>
    </r>
    <r>
      <rPr>
        <vertAlign val="subscript"/>
        <sz val="10"/>
        <rFont val="Arial"/>
        <family val="2"/>
      </rPr>
      <t xml:space="preserve">2 </t>
    </r>
    <r>
      <rPr>
        <sz val="10"/>
        <rFont val="Arial"/>
        <family val="2"/>
      </rPr>
      <t>Gasses Economic Analysis and Inventory: Global Warming Potentials and Atmospheric Lifetimes." &lt;http://www.epa.gov/nonco2/econ-inv/table.html&gt;  [BB 07]</t>
    </r>
  </si>
  <si>
    <t>Burlington to NYC RT price</t>
  </si>
  <si>
    <t>Burlington to St. Albans RT mileage</t>
  </si>
  <si>
    <t>Burl. to NYC mileage</t>
  </si>
  <si>
    <t>Landfill Emissions:</t>
  </si>
  <si>
    <t>This section catalogues all carbon sinks, and verifiable third party reductions directly purdsued by the institution in hopes of reducing its environmental impact on a global scale.</t>
  </si>
  <si>
    <t>Putative Vehicle mi/gal</t>
  </si>
  <si>
    <t>Mapquest Queries by End point: 326 College St, Middlebury, VT: &lt;http://www.mapquest.com/directions/main.adp?bCTsettings=1&gt; [JK 06]</t>
  </si>
  <si>
    <t>Recycling (lbs)</t>
  </si>
  <si>
    <t>Sub-scope Total</t>
  </si>
  <si>
    <t>Short tons/lb (1/2000)</t>
  </si>
  <si>
    <r>
      <t>tonne/gram (1/1x10</t>
    </r>
    <r>
      <rPr>
        <b/>
        <i/>
        <vertAlign val="superscript"/>
        <sz val="10"/>
        <rFont val="Arial"/>
        <family val="2"/>
      </rPr>
      <t>6</t>
    </r>
    <r>
      <rPr>
        <b/>
        <i/>
        <sz val="10"/>
        <rFont val="Arial"/>
        <family val="2"/>
      </rPr>
      <t>)</t>
    </r>
  </si>
  <si>
    <t>Benson</t>
  </si>
  <si>
    <t>Milford, MA</t>
  </si>
  <si>
    <r>
      <t>Global Warming Potential (GWP) based on 100 yr time horizon: US EPA. 2006. "Non-CO</t>
    </r>
    <r>
      <rPr>
        <vertAlign val="subscript"/>
        <sz val="10"/>
        <rFont val="Arial"/>
        <family val="2"/>
      </rPr>
      <t>2</t>
    </r>
    <r>
      <rPr>
        <sz val="10"/>
        <rFont val="Arial"/>
        <family val="2"/>
      </rPr>
      <t xml:space="preserve"> Gasses Economic Analysis and Inventory: Global Warming Potentials and Atmospheric Lifetimes." &lt;http://www.epa.gov/nonco2/econ-inv/table.html&gt;  [BB 07]</t>
    </r>
  </si>
  <si>
    <t>Carbon Content Coefficient values and Fractions Oxidized were calculated based on the findings of:</t>
  </si>
  <si>
    <t>TOTAL:</t>
  </si>
  <si>
    <t>Calculated from sourced data</t>
  </si>
  <si>
    <t>Burl. to NY $/pass-mi</t>
  </si>
  <si>
    <t>Burl. to Phoenix via DC RT mileage</t>
  </si>
  <si>
    <t>Short tons/lb (1/2000.)</t>
  </si>
  <si>
    <r>
      <t>Tonnes Coventry LF CH</t>
    </r>
    <r>
      <rPr>
        <b/>
        <vertAlign val="subscript"/>
        <sz val="10"/>
        <rFont val="Arial"/>
        <family val="2"/>
      </rPr>
      <t>4</t>
    </r>
  </si>
  <si>
    <r>
      <t>Figure S1.2.</t>
    </r>
    <r>
      <rPr>
        <sz val="10"/>
        <rFont val="Arial"/>
        <family val="2"/>
      </rPr>
      <t xml:space="preserve"> Key for Scope 1 Stationary Methane and Nitrous Oxide Calculations. Source: EPA Climate Leaders. 2004. "Core Module Guidance: Direct Emissions from Stationary Combustion Sources." pp 7. &lt;http://www.epa.gov/climateleaders/docs/stationarycombustionguidance.pdf &gt;</t>
    </r>
  </si>
  <si>
    <t>FY08/09</t>
  </si>
  <si>
    <t>Heating Degree Days</t>
  </si>
  <si>
    <t>Cooling Degree Days</t>
  </si>
  <si>
    <r>
      <t xml:space="preserve">% of $ spent on dom travel </t>
    </r>
    <r>
      <rPr>
        <sz val="10"/>
        <color indexed="10"/>
        <rFont val="Arial"/>
        <family val="2"/>
      </rPr>
      <t>□</t>
    </r>
  </si>
  <si>
    <r>
      <t xml:space="preserve">Total Train $ </t>
    </r>
    <r>
      <rPr>
        <sz val="10"/>
        <color indexed="10"/>
        <rFont val="Arial"/>
        <family val="2"/>
      </rPr>
      <t>□</t>
    </r>
  </si>
  <si>
    <r>
      <t xml:space="preserve">Commuting miles </t>
    </r>
    <r>
      <rPr>
        <sz val="10"/>
        <color indexed="10"/>
        <rFont val="Arial"/>
        <family val="2"/>
      </rPr>
      <t>●</t>
    </r>
  </si>
  <si>
    <t>Diesel Fueled Vehicles</t>
  </si>
  <si>
    <t xml:space="preserve">Carbon Content Coefficients and Fractions Oxidized were found in US EPA. 2004. “Inventory of U.S. Greenhouse Gas Emissions and Sinks:” 1990-2002, EPA430-R-04-003, U.S. EPA, Washington, DC, April 2004. </t>
  </si>
  <si>
    <t>Data collected annually by Supervisor, Waste Management and Custodial, Melissa Beckwith. [BB 07]</t>
  </si>
  <si>
    <t>Σ Commuting Miles = Σ</t>
  </si>
  <si>
    <t xml:space="preserve">Straight LF </t>
  </si>
  <si>
    <t>Amtrack BTU/pass. mi.</t>
  </si>
  <si>
    <t>Average $/passenger-mile</t>
  </si>
  <si>
    <r>
      <t>tonne/gram (1/1x10</t>
    </r>
    <r>
      <rPr>
        <i/>
        <vertAlign val="superscript"/>
        <sz val="10"/>
        <rFont val="Arial"/>
        <family val="2"/>
      </rPr>
      <t>6</t>
    </r>
    <r>
      <rPr>
        <i/>
        <sz val="10"/>
        <rFont val="Arial"/>
        <family val="2"/>
      </rPr>
      <t>)</t>
    </r>
  </si>
  <si>
    <r>
      <t>CCC</t>
    </r>
    <r>
      <rPr>
        <sz val="12"/>
        <rFont val="Times New Roman"/>
        <family val="1"/>
      </rPr>
      <t xml:space="preserve"> (Carbon Content Coefficient) – the mass to energy ratio of a fuel source. i.e. the mass of carbon atoms per million BTU’s (MMBTU or MBTU).</t>
    </r>
  </si>
  <si>
    <t>Train Travel Emissions (assume diesel fueled trains)</t>
  </si>
  <si>
    <t>MW ratio (kg CO2/kg C)</t>
  </si>
  <si>
    <t>Int BTU jet fuel/pass. mi.</t>
  </si>
  <si>
    <t>Formulaic numbers:</t>
  </si>
  <si>
    <r>
      <t>CH</t>
    </r>
    <r>
      <rPr>
        <vertAlign val="subscript"/>
        <sz val="10"/>
        <rFont val="Arial"/>
        <family val="2"/>
      </rPr>
      <t>4</t>
    </r>
    <r>
      <rPr>
        <sz val="10"/>
        <rFont val="Arial"/>
        <family val="2"/>
      </rPr>
      <t xml:space="preserve"> EF (g gas/mile)</t>
    </r>
  </si>
  <si>
    <r>
      <t>CH</t>
    </r>
    <r>
      <rPr>
        <vertAlign val="subscript"/>
        <sz val="10"/>
        <rFont val="Arial"/>
        <family val="2"/>
      </rPr>
      <t>4</t>
    </r>
    <r>
      <rPr>
        <sz val="10"/>
        <rFont val="Arial"/>
        <family val="2"/>
      </rPr>
      <t xml:space="preserve"> GWP</t>
    </r>
  </si>
  <si>
    <t>#2 and Diesel</t>
  </si>
  <si>
    <t xml:space="preserve">This section includes information that relates to institutional growth between reporting periods. By Normalizing emissions data, emissions can be displayed in the context of organic growth. </t>
  </si>
  <si>
    <t>Addison</t>
  </si>
  <si>
    <t>Barre</t>
  </si>
  <si>
    <t>Belmont</t>
  </si>
  <si>
    <r>
      <t xml:space="preserve">% Taken to Clinton Co. LF. NY </t>
    </r>
    <r>
      <rPr>
        <sz val="10"/>
        <color indexed="10"/>
        <rFont val="Arial"/>
        <family val="2"/>
      </rPr>
      <t>∞</t>
    </r>
  </si>
  <si>
    <t>Shoreham</t>
  </si>
  <si>
    <t>South Burlington</t>
  </si>
  <si>
    <t>South Lincoln</t>
  </si>
  <si>
    <t>Midd Transit Case Study:      Midd =&gt; Burlington</t>
  </si>
  <si>
    <t>Assessing the Split Between Landfills</t>
  </si>
  <si>
    <t>Fractions Oxidized were found in U.S. Department of Energy, Energy Information Administration. 2003. “Annual Energy Review 2002,” DOE/EIA 0384(2002), , Washington, DC, October 2003.</t>
  </si>
  <si>
    <t>Formulaic numbers</t>
  </si>
  <si>
    <t>MWh/kWh (1/1000)</t>
  </si>
  <si>
    <t>Higher heating values (HHV) are used. EPA Climate Leaders. 2004. "Core Module Guidance: Direct Emissions from Mobile Combustion Sources." pp 26. &lt;http://www.epa.gov/climateleaders/docs/mobilesourceguidance.pdf&gt; [JK 06]</t>
  </si>
  <si>
    <r>
      <t>Tonnes CO</t>
    </r>
    <r>
      <rPr>
        <b/>
        <vertAlign val="subscript"/>
        <sz val="10"/>
        <rFont val="Arial"/>
        <family val="2"/>
      </rPr>
      <t>2</t>
    </r>
    <r>
      <rPr>
        <b/>
        <sz val="10"/>
        <rFont val="Arial"/>
        <family val="2"/>
      </rPr>
      <t>/gal diesel EF</t>
    </r>
  </si>
  <si>
    <r>
      <t>IPCC (Intergovernmental Panel on Climate Change).</t>
    </r>
    <r>
      <rPr>
        <u/>
        <sz val="10"/>
        <color indexed="12"/>
        <rFont val="Arial"/>
        <family val="2"/>
      </rPr>
      <t xml:space="preserve"> – established in 1988 by WMO and UNEP to assess scientific, technical and socio-economic information relevant for the understanding of climate change, its potential impacts and options for adaptation and mitigation: http://www.ipcc.ch/. </t>
    </r>
  </si>
  <si>
    <t>GLOSSARY</t>
  </si>
  <si>
    <r>
      <t xml:space="preserve">Figure S3.2. </t>
    </r>
    <r>
      <rPr>
        <sz val="10"/>
        <rFont val="Arial"/>
        <family val="2"/>
      </rPr>
      <t xml:space="preserve">Key for Scope 1 Mobile Methane and Nitrous Oxide Calculations. </t>
    </r>
    <r>
      <rPr>
        <i/>
        <sz val="10"/>
        <rFont val="Arial"/>
        <family val="2"/>
      </rPr>
      <t>Source:</t>
    </r>
    <r>
      <rPr>
        <sz val="10"/>
        <rFont val="Arial"/>
        <family val="2"/>
      </rPr>
      <t xml:space="preserve"> </t>
    </r>
    <r>
      <rPr>
        <sz val="10"/>
        <rFont val="Arial"/>
        <family val="2"/>
      </rPr>
      <t xml:space="preserve">EPA Climate Leaders. 2004. </t>
    </r>
    <r>
      <rPr>
        <sz val="10"/>
        <rFont val="Arial"/>
        <family val="2"/>
      </rPr>
      <t>"Core Module Guidance: Direct Emissions from Mobile Combustion Sources." pp 7. &lt;http://www.epa.gov/climateleaders/docs/mobilesourceguidance.pdf&gt;</t>
    </r>
  </si>
  <si>
    <t>Group Categories</t>
  </si>
  <si>
    <r>
      <t>Tonnes CO</t>
    </r>
    <r>
      <rPr>
        <vertAlign val="subscript"/>
        <sz val="10"/>
        <rFont val="Arial"/>
        <family val="2"/>
      </rPr>
      <t>2</t>
    </r>
    <r>
      <rPr>
        <sz val="10"/>
        <rFont val="Arial"/>
        <family val="2"/>
      </rPr>
      <t>/airfare $ EF</t>
    </r>
  </si>
  <si>
    <t>MMBTU/airfare $ EF</t>
  </si>
  <si>
    <t>Average $/trip</t>
  </si>
  <si>
    <t>Scope 3, Part B: Indirect Emissions from Landfill Waste</t>
  </si>
  <si>
    <r>
      <t>Tonnes CO</t>
    </r>
    <r>
      <rPr>
        <b/>
        <vertAlign val="subscript"/>
        <sz val="10"/>
        <rFont val="Arial"/>
        <family val="2"/>
      </rPr>
      <t>2</t>
    </r>
    <r>
      <rPr>
        <b/>
        <sz val="10"/>
        <rFont val="Arial"/>
        <family val="2"/>
      </rPr>
      <t>/kWh NG EF</t>
    </r>
  </si>
  <si>
    <r>
      <t>Tonnes CO</t>
    </r>
    <r>
      <rPr>
        <b/>
        <vertAlign val="subscript"/>
        <sz val="10"/>
        <rFont val="Arial"/>
        <family val="2"/>
      </rPr>
      <t>2</t>
    </r>
    <r>
      <rPr>
        <b/>
        <sz val="10"/>
        <rFont val="Arial"/>
        <family val="2"/>
      </rPr>
      <t>/kWh Coal EF</t>
    </r>
  </si>
  <si>
    <t xml:space="preserve">Many of the blue highlighted Midd-specific numbers were used for all fiscal years to calculate emissions. This presents a comparability problem if we update this data for a new fiscal year. If the data were not the same in FY 01/02 as in FY 06/07, but were used just the same, then we cannot update the data for the upcoming fiscal year and expect to see comparable results. It seems that if we want to update blue numbers for a new FY, then we should get historical data and retroactively calculate what emissions were in previous fiscal years given actual circumstances as defined by this data. </t>
  </si>
  <si>
    <t>many cases these numbers could be replaced with more comprehensive data.</t>
  </si>
  <si>
    <r>
      <t>Figure S1.3.</t>
    </r>
    <r>
      <rPr>
        <sz val="10"/>
        <rFont val="Arial"/>
        <family val="2"/>
      </rPr>
      <t xml:space="preserve"> Key for Scope 1 Mobile Carbon Dioxide Calculations. Source: EPA Climate Leaders. 2004. "Core Module Guidance: Direct Emissions from Mobile Combustion Sources." pp 5. &lt;http://www.epa.gov/climateleaders/docs/mobilesourceguidance.pdf&gt;</t>
    </r>
  </si>
  <si>
    <r>
      <t>Yr. 2000 EF (lbs CO</t>
    </r>
    <r>
      <rPr>
        <b/>
        <vertAlign val="subscript"/>
        <sz val="10"/>
        <rFont val="Arial"/>
        <family val="2"/>
      </rPr>
      <t>2</t>
    </r>
    <r>
      <rPr>
        <b/>
        <sz val="10"/>
        <rFont val="Arial"/>
        <family val="2"/>
      </rPr>
      <t>/MWh)</t>
    </r>
  </si>
  <si>
    <r>
      <t>CH</t>
    </r>
    <r>
      <rPr>
        <b/>
        <vertAlign val="subscript"/>
        <sz val="10"/>
        <rFont val="Arial"/>
        <family val="2"/>
      </rPr>
      <t>4</t>
    </r>
    <r>
      <rPr>
        <b/>
        <sz val="10"/>
        <rFont val="Arial"/>
        <family val="2"/>
      </rPr>
      <t xml:space="preserve"> EF (lbs gas/MWh)</t>
    </r>
  </si>
  <si>
    <t>Total: Emp Com (gas)</t>
  </si>
  <si>
    <r>
      <t>Aside from LFGE plant lifetime, no data has been collected. CH</t>
    </r>
    <r>
      <rPr>
        <vertAlign val="subscript"/>
        <sz val="10"/>
        <rFont val="Arial"/>
        <family val="2"/>
      </rPr>
      <t>4</t>
    </r>
    <r>
      <rPr>
        <sz val="10"/>
        <rFont val="Arial"/>
        <family val="2"/>
      </rPr>
      <t xml:space="preserve"> collection before LFGE assumed. LFGE went online Sept 15, 2005, and was therefore online for 9.5/12 of the fiscal year. Source: Personal communication, Lisa, Coventry Landfill. Washington Electric Cooperative, Landfill Gas to Energy Project, Coventry Landfill. Opening Ceremony Brochure. Unpublished. [JK 06]</t>
    </r>
  </si>
  <si>
    <t>East Poultney</t>
  </si>
  <si>
    <r>
      <t>Figure S1.1.</t>
    </r>
    <r>
      <rPr>
        <sz val="10"/>
        <rFont val="Arial"/>
        <family val="2"/>
      </rPr>
      <t xml:space="preserve"> Key for Scope 1 Stationary Carbon Dioxide Calculations. Source: EPA Climate Leaders. 2004. "Core Module Guidance: Direct Emissions from Stationary Combustion Sources." pp 5. &lt;http://www.epa.gov/climateleaders/docs/stationarycombustionguidance.pdf &gt;</t>
    </r>
  </si>
  <si>
    <t>Total Degree Days</t>
  </si>
  <si>
    <t>Contributing External Offsets</t>
  </si>
  <si>
    <r>
      <t xml:space="preserve"> CH</t>
    </r>
    <r>
      <rPr>
        <b/>
        <vertAlign val="subscript"/>
        <sz val="10"/>
        <rFont val="Arial"/>
        <family val="2"/>
      </rPr>
      <t>4</t>
    </r>
    <r>
      <rPr>
        <b/>
        <sz val="10"/>
        <rFont val="Arial"/>
        <family val="2"/>
      </rPr>
      <t xml:space="preserve"> EF w/ Recovery (tonne gas/ton)</t>
    </r>
  </si>
  <si>
    <r>
      <t>Tonnes CO</t>
    </r>
    <r>
      <rPr>
        <vertAlign val="subscript"/>
        <sz val="10"/>
        <rFont val="Arial"/>
        <family val="2"/>
      </rPr>
      <t>2</t>
    </r>
    <r>
      <rPr>
        <sz val="10"/>
        <rFont val="Arial"/>
        <family val="2"/>
      </rPr>
      <t>/airfare $ EF</t>
    </r>
  </si>
  <si>
    <t>Mileage Reimbursement for use of Personal and Rental Cars (Gasoline)</t>
  </si>
  <si>
    <t>Mileage</t>
  </si>
  <si>
    <t>Hartwick, NY</t>
  </si>
  <si>
    <t>Jay, NY</t>
  </si>
  <si>
    <t>Lansdowne, PA</t>
  </si>
  <si>
    <t>Montague, MA</t>
  </si>
  <si>
    <t>Total Cow Power</t>
  </si>
  <si>
    <t>Montgomery Center, VT</t>
  </si>
  <si>
    <t>Montreal</t>
  </si>
  <si>
    <t>Montreal, QC</t>
  </si>
  <si>
    <t>Peru, NY</t>
  </si>
  <si>
    <t>Princeton, NJ</t>
  </si>
  <si>
    <t>Waterbury Center</t>
  </si>
  <si>
    <t>Westport, NY</t>
  </si>
  <si>
    <t>Tonnes CO2/gal propane EF</t>
  </si>
  <si>
    <t xml:space="preserve">Commons </t>
  </si>
  <si>
    <t>Air Travel Emissions</t>
  </si>
  <si>
    <t>Mapquest Queries Middlebruy =&gt; Burlington International Airrport (Pizza Putt): &lt;http://www.mapquest.com/directions/main.adp?bCTsettings=1&gt; [JK 06]</t>
  </si>
  <si>
    <t>Premiere Travel [JK 06]</t>
  </si>
  <si>
    <t>Mapquest Queries End point: 326 College St, Middlebury, VT: &lt;http://www.mapquest.com/directions/main.adp?bCTsettings=1&gt; [JK 06]</t>
  </si>
  <si>
    <t>Woodbridge, CT</t>
  </si>
  <si>
    <t>Montgomery Center</t>
  </si>
  <si>
    <r>
      <t>CH</t>
    </r>
    <r>
      <rPr>
        <vertAlign val="subscript"/>
        <sz val="10"/>
        <rFont val="Arial"/>
        <family val="2"/>
      </rPr>
      <t>4</t>
    </r>
    <r>
      <rPr>
        <sz val="10"/>
        <rFont val="Arial"/>
        <family val="2"/>
      </rPr>
      <t xml:space="preserve"> EF w/ LFGE (MTCE/ton)</t>
    </r>
  </si>
  <si>
    <t>Montclair, NJ</t>
  </si>
  <si>
    <t>2005-2008 Chevrolet 15 passenger vans used as case studies (8 cyl 5.3 L 2WD 15/25 conversion ): &lt;http://www.fueleconomy.gov/feg/noframes/21193.shtml&gt; [JK 06]</t>
  </si>
  <si>
    <t>Katie, Transfer Station, Casella Waste Management, [SG 08]</t>
  </si>
  <si>
    <t>Offsets</t>
  </si>
  <si>
    <t>Based on 1985-1986 EF's for heavy duty vehicles (most conservative values). EPA Climate Leaders. 2004. "Core Module Guidance: Direct Emissions from Mobile Combustion Sources." pp 9. &lt;http://www.epa.gov/climateleaders/docs/mobilesourceguidance</t>
  </si>
  <si>
    <t>ΣMTCDE from Bus Travel:</t>
  </si>
  <si>
    <t>Total Reimbursement Gas (gal)</t>
  </si>
  <si>
    <t>Contributing Internal Offsets</t>
  </si>
  <si>
    <r>
      <t>Tonnes CO</t>
    </r>
    <r>
      <rPr>
        <b/>
        <vertAlign val="subscript"/>
        <sz val="10"/>
        <rFont val="Arial"/>
        <family val="2"/>
      </rPr>
      <t>2</t>
    </r>
    <r>
      <rPr>
        <b/>
        <sz val="10"/>
        <rFont val="Arial"/>
        <family val="2"/>
      </rPr>
      <t>/kWh Res Oil EF</t>
    </r>
  </si>
  <si>
    <t>MTCDEs</t>
  </si>
  <si>
    <t>Scope Total</t>
  </si>
  <si>
    <t>Combined reported footprints</t>
  </si>
  <si>
    <t>Mileage data collected via mapquest &lt;http://www.mapquest.com&gt;</t>
  </si>
  <si>
    <t>Amtrak BTU/pass. mi.</t>
  </si>
  <si>
    <t>Burlington to St. Albans RT price</t>
  </si>
  <si>
    <t>Burlington to St. Albans $/pass-mi</t>
  </si>
  <si>
    <t>Mineville, NY</t>
  </si>
  <si>
    <t>Management and Greenhouse Gas" pp. 168. The full report found at</t>
  </si>
  <si>
    <t>&lt;http://epa.gov/climatechange/wycd/waste/SWMGHGreport.html&gt;. [AB 09]</t>
  </si>
  <si>
    <r>
      <t>Tonnes CO</t>
    </r>
    <r>
      <rPr>
        <vertAlign val="subscript"/>
        <sz val="10"/>
        <rFont val="Arial"/>
        <family val="2"/>
      </rPr>
      <t>2</t>
    </r>
    <r>
      <rPr>
        <sz val="10"/>
        <rFont val="Arial"/>
        <family val="2"/>
      </rPr>
      <t>/train $ EF</t>
    </r>
  </si>
  <si>
    <t>Stationary Time (hr)</t>
  </si>
  <si>
    <t>Jet Fuel Density (tonne/bbll)</t>
  </si>
  <si>
    <t>kg/tonne (1,000/1)</t>
  </si>
  <si>
    <t>Base hourly fee ($/hr)</t>
  </si>
  <si>
    <t>Carbon Content Coefficients and Fractions Oxidized were found in US EPA. 2004. “Inventory of U.S. Greenhouse Gas Emissions and Sinks:” 1990-2002, EPA430-R-04-003, U.S. EPA, Washington, DC, April 2004.</t>
  </si>
  <si>
    <r>
      <t>N</t>
    </r>
    <r>
      <rPr>
        <vertAlign val="subscript"/>
        <sz val="10"/>
        <rFont val="Arial"/>
        <family val="2"/>
      </rPr>
      <t>2</t>
    </r>
    <r>
      <rPr>
        <sz val="10"/>
        <rFont val="Arial"/>
        <family val="2"/>
      </rPr>
      <t>O EF (g gas/mile)</t>
    </r>
  </si>
  <si>
    <r>
      <t>MW ratio (kg CO</t>
    </r>
    <r>
      <rPr>
        <vertAlign val="subscript"/>
        <sz val="10"/>
        <rFont val="Arial"/>
        <family val="2"/>
      </rPr>
      <t>2</t>
    </r>
    <r>
      <rPr>
        <sz val="10"/>
        <rFont val="Arial"/>
        <family val="2"/>
      </rPr>
      <t>/kg C)</t>
    </r>
  </si>
  <si>
    <t>Same as above. [AB 09]</t>
  </si>
  <si>
    <t>Mode van assumed: Midd Transit owns 8 vans, 1 mini-coach, and 1 cadilac sedan. Bill Fuller, Personal Communication. [JK 06]</t>
  </si>
  <si>
    <t>Mileage data collected via mapquest &lt;http://www.mapquest.com&gt; [JK 06]</t>
  </si>
  <si>
    <t>Color Code:</t>
  </si>
  <si>
    <t>Electricity Generation? (%)</t>
  </si>
  <si>
    <t>A Midd-specific number that will need to be updated, but not necessarily annually.  In</t>
  </si>
  <si>
    <t>FY 06/07</t>
  </si>
  <si>
    <t>FY 07/08</t>
  </si>
  <si>
    <t>FY 08/09</t>
  </si>
  <si>
    <r>
      <t>GWP (Global Warming Potential)</t>
    </r>
    <r>
      <rPr>
        <sz val="12"/>
        <rFont val="Times New Roman"/>
        <family val="1"/>
      </rPr>
      <t xml:space="preserve"> is a value based on the amount that a given GHG contributes to Global Warming. All GWP’s are typically based on a 100 yr time horizon, which is somewhat putative, given the 5-200 yr atmospheric life span of a CO2 molecule (IPCC, 2001, “Observed Changes in Globally Well-Mixed Greenhouse Gas Concentrations and Radiative Forcing.” http://www.grida.no/climate/ipcc_tar/wg1/016.htm). For examples of GWP’s see: US EPA. 2006. "Non-CO2 Gasses Economic Analysis and Inventory: Global Warming Potentials and Atmospheric Lifetimes." http://www.epa.gov/nonco2/econ-inv/table.html.</t>
    </r>
  </si>
  <si>
    <r>
      <t>CH</t>
    </r>
    <r>
      <rPr>
        <vertAlign val="subscript"/>
        <sz val="10"/>
        <rFont val="Arial"/>
        <family val="2"/>
      </rPr>
      <t>4</t>
    </r>
    <r>
      <rPr>
        <sz val="10"/>
        <rFont val="Arial"/>
        <family val="2"/>
      </rPr>
      <t xml:space="preserve"> EF w/out Recovery (MTCE/ton)</t>
    </r>
  </si>
  <si>
    <r>
      <t xml:space="preserve">EF (Emissions Factor) </t>
    </r>
    <r>
      <rPr>
        <sz val="12"/>
        <rFont val="Times New Roman"/>
        <family val="1"/>
      </rPr>
      <t>– General name for conversion factors that are calculated experimentally, and can change over time. These need to be updated regularly for the monitoring and reporting system to retain its accuracy.</t>
    </r>
  </si>
  <si>
    <t>Collected annually by Middlebury College Budget Director, Kristen Anderson and Budget Analyst, Sue Lalumiere. Consult "Travel Expenses FY0708 - Form D" file in folder entitled "Supplementary Documents." [SG 08/AB 09]</t>
  </si>
  <si>
    <t>3 South Street (President's House) kWh</t>
  </si>
  <si>
    <t>Weybridge House kWh</t>
  </si>
  <si>
    <r>
      <t>Tonnes CO</t>
    </r>
    <r>
      <rPr>
        <vertAlign val="subscript"/>
        <sz val="10"/>
        <rFont val="Arial"/>
        <family val="2"/>
      </rPr>
      <t>2</t>
    </r>
    <r>
      <rPr>
        <sz val="10"/>
        <rFont val="Arial"/>
        <family val="2"/>
      </rPr>
      <t>/gal gas EF</t>
    </r>
  </si>
  <si>
    <t>Domestic passenger mi</t>
  </si>
  <si>
    <t>HC values were originally published in U.S. Department of Energy, Energy Information Administration. 2003. “Annual Energy Review 2002,” DOE/EIA 0384(2002), Washington, DC, October 2003.</t>
  </si>
  <si>
    <r>
      <t>Tonnes N</t>
    </r>
    <r>
      <rPr>
        <vertAlign val="subscript"/>
        <sz val="10"/>
        <rFont val="Arial"/>
        <family val="2"/>
      </rPr>
      <t>2</t>
    </r>
    <r>
      <rPr>
        <sz val="10"/>
        <rFont val="Arial"/>
        <family val="2"/>
      </rPr>
      <t>O</t>
    </r>
  </si>
  <si>
    <t>"In 1992, the RFI for aircraft is 2.7; it evolves to 2.6 in 2050 for the Fa1 scenario."</t>
  </si>
  <si>
    <t>Price of non-weekend travel 2 months from booking date &lt;http://www.orbitz.com&gt; [JK 06]</t>
  </si>
  <si>
    <t>Indirect Emissions from Regular Commuting (potentially Scope 3)</t>
  </si>
  <si>
    <r>
      <t>Tonnes CO</t>
    </r>
    <r>
      <rPr>
        <b/>
        <vertAlign val="subscript"/>
        <sz val="10"/>
        <rFont val="Arial"/>
        <family val="2"/>
      </rPr>
      <t>2</t>
    </r>
    <r>
      <rPr>
        <b/>
        <sz val="10"/>
        <rFont val="Arial"/>
        <family val="2"/>
      </rPr>
      <t>/gal #6 EF</t>
    </r>
  </si>
  <si>
    <t xml:space="preserve">This section catalogues all carbon sinks, and verifiable third party investments in renewable energy. </t>
  </si>
  <si>
    <t>Clinton Co Landfill Emissions</t>
  </si>
  <si>
    <r>
      <t>Tonnes CH</t>
    </r>
    <r>
      <rPr>
        <vertAlign val="subscript"/>
        <sz val="10"/>
        <rFont val="Arial"/>
        <family val="2"/>
      </rPr>
      <t>4</t>
    </r>
  </si>
  <si>
    <t>Scope N: Normalization Factors</t>
  </si>
  <si>
    <t>Poultney</t>
  </si>
  <si>
    <t>Carbon Emitting</t>
  </si>
  <si>
    <t>Live Time (hr)</t>
  </si>
  <si>
    <t>This section provides an overview of the Renewable Energy sources utilized by Middlebury College</t>
  </si>
  <si>
    <t>each fiscal year, however they do not quantitatively factor into the GHG inventory.</t>
  </si>
  <si>
    <t>Cow Power</t>
  </si>
  <si>
    <r>
      <t>N</t>
    </r>
    <r>
      <rPr>
        <vertAlign val="subscript"/>
        <sz val="10"/>
        <rFont val="Arial"/>
        <family val="2"/>
      </rPr>
      <t>2</t>
    </r>
    <r>
      <rPr>
        <sz val="10"/>
        <rFont val="Arial"/>
        <family val="2"/>
      </rPr>
      <t>O GWP</t>
    </r>
  </si>
  <si>
    <r>
      <t>Tonnes CO</t>
    </r>
    <r>
      <rPr>
        <vertAlign val="subscript"/>
        <sz val="10"/>
        <rFont val="Arial"/>
        <family val="2"/>
      </rPr>
      <t>2</t>
    </r>
    <r>
      <rPr>
        <sz val="10"/>
        <rFont val="Arial"/>
        <family val="2"/>
      </rPr>
      <t>/gal diesel EF</t>
    </r>
  </si>
  <si>
    <r>
      <t>CH</t>
    </r>
    <r>
      <rPr>
        <b/>
        <vertAlign val="subscript"/>
        <sz val="10"/>
        <rFont val="Arial"/>
        <family val="2"/>
      </rPr>
      <t>4</t>
    </r>
    <r>
      <rPr>
        <b/>
        <sz val="10"/>
        <rFont val="Arial"/>
        <family val="2"/>
      </rPr>
      <t xml:space="preserve"> GWP</t>
    </r>
  </si>
  <si>
    <t xml:space="preserve"> FY06/07</t>
  </si>
  <si>
    <t>MTCDE from Stationary and Electric sources</t>
  </si>
  <si>
    <t>Total Employees and Students (Full-Time Equivalent)</t>
  </si>
  <si>
    <t>Total (Full-Time Equivalent) Employees</t>
  </si>
  <si>
    <t>ΣMTCDE from Taxi Gassoline</t>
  </si>
  <si>
    <t>Summary data</t>
  </si>
  <si>
    <t>Tonnes CO2/gal #6 EF</t>
  </si>
  <si>
    <t>Tonnes CO2/gal #2 EF</t>
  </si>
  <si>
    <r>
      <t xml:space="preserve">HC (Heat Content) </t>
    </r>
    <r>
      <rPr>
        <sz val="12"/>
        <rFont val="Times New Roman"/>
        <family val="1"/>
      </rPr>
      <t>– the amount of energy (in this case heat) contained in a given mass or volume. Eg. MMBTU/bbl of #6 Fuel oil = 6.287 MMBTU/bbl.</t>
    </r>
  </si>
  <si>
    <t>Toyota Camrys used as case studies (6 cyl 3 L): &lt;http://www.fueleconomy.gov/feg/noframes/20932.shtml&gt; [JK 06]</t>
  </si>
  <si>
    <t>HC and Carbon Content Coefficients values were originally published in Guthrie, V.B. (ed.). 1960 Characteristics of Compounds, Petroleum Products Handbook. New York, NY: Mcgraw Hill. pp 3.</t>
  </si>
  <si>
    <t>Collected annually by Middlebury College Budget Director, Kristen Anderson and Budget Analyst, Sue Lalumiere. Consult "Travel Expenses FY0708 - Form D" file in folder entitled "Supplementary Documents." [SG 08/ AB 09]</t>
  </si>
  <si>
    <t>Total Passenger mi</t>
  </si>
  <si>
    <t>Radiative Forcing Index (RFI)</t>
  </si>
  <si>
    <t>MTCDEs Adj. for RFI</t>
  </si>
  <si>
    <t>FY 09/10</t>
  </si>
  <si>
    <t>S1 Stationary</t>
    <phoneticPr fontId="54" type="noConversion"/>
  </si>
  <si>
    <t>Carbon Content Coefficient values and Fractions Oxidized were calculated based on the findings of US EPA. 2004. “Inventory of U.S. Greenhouse Gas Emissions and Sinks:” 1990-2002, EPA430-R-04-003, U.S. EPA, Washington, DC, April 2004.</t>
  </si>
  <si>
    <t>Short Tons Solid Waste</t>
  </si>
  <si>
    <t>MTCDEs by gas:</t>
  </si>
  <si>
    <t xml:space="preserve">Total </t>
  </si>
  <si>
    <t>Sub-Scope</t>
  </si>
  <si>
    <t>MMBTU/BTU (1/1 million)</t>
  </si>
  <si>
    <t>HC (MMBTU/bbll)</t>
  </si>
  <si>
    <t xml:space="preserve"> FY01/02</t>
  </si>
  <si>
    <t xml:space="preserve"> FY02/03</t>
  </si>
  <si>
    <t xml:space="preserve"> FY03/04</t>
  </si>
  <si>
    <t xml:space="preserve"> FY04/05</t>
  </si>
  <si>
    <t xml:space="preserve"> FY05/06</t>
  </si>
  <si>
    <t>International passenger mi</t>
  </si>
  <si>
    <r>
      <t xml:space="preserve"> CH</t>
    </r>
    <r>
      <rPr>
        <b/>
        <vertAlign val="subscript"/>
        <sz val="10"/>
        <rFont val="Arial"/>
        <family val="2"/>
      </rPr>
      <t>4</t>
    </r>
    <r>
      <rPr>
        <b/>
        <sz val="10"/>
        <rFont val="Arial"/>
        <family val="2"/>
      </rPr>
      <t xml:space="preserve"> EF w/out Recovery (tonne gas/ton)</t>
    </r>
  </si>
  <si>
    <t>Total Language Students FTE</t>
  </si>
  <si>
    <t xml:space="preserve">Annual Dependent Variable: factor that is susceptible to change and absolutely must be </t>
  </si>
  <si>
    <t>Commons</t>
  </si>
  <si>
    <t>Same as above.</t>
  </si>
  <si>
    <t>Data summary</t>
  </si>
  <si>
    <t>Accepted</t>
  </si>
  <si>
    <t>Fuel Density (kg/gal)</t>
  </si>
  <si>
    <t>Collected annually from Director of Facilities Services, Central</t>
  </si>
  <si>
    <t xml:space="preserve">Value based on data from EPA Climate Leaders 2006. "Solid Waste </t>
  </si>
  <si>
    <t>Language School Students</t>
  </si>
  <si>
    <t xml:space="preserve">6-week program students </t>
  </si>
  <si>
    <t>3-week program students</t>
  </si>
  <si>
    <t>7-week program students</t>
  </si>
  <si>
    <t>9-week program students</t>
  </si>
  <si>
    <t>3-week program students FTE</t>
  </si>
  <si>
    <t>staff avg.commuting miles</t>
    <phoneticPr fontId="54" type="noConversion"/>
  </si>
  <si>
    <t>fac avg. MPG</t>
    <phoneticPr fontId="54" type="noConversion"/>
  </si>
  <si>
    <t>Scope 3, Part B: Indirect Emissions from Waste Stream</t>
    <phoneticPr fontId="3" type="noConversion"/>
  </si>
  <si>
    <t>Direct Sequestrations, Renewable Energy Credits, and Offsets</t>
    <phoneticPr fontId="3" type="noConversion"/>
  </si>
  <si>
    <t>Indirect Emissions from Regular Commuting</t>
    <phoneticPr fontId="3" type="noConversion"/>
  </si>
  <si>
    <t>Collected annually by Director of Facilities Services, Central Heating/Utilities: Mike Moser and and Customer Service Coordinator: Jen Pottinger. [BB 07]</t>
  </si>
  <si>
    <t>Number posited by JK and confirmed as "close" by Kristen Anderson and Budget Analyst, Sue Lalumiere, Middlebury College Budget Director [JK 06/AB 09]</t>
  </si>
  <si>
    <t>Extensive Data Stationary</t>
  </si>
  <si>
    <t>Extensive Data Mobile</t>
  </si>
  <si>
    <t>Extensive Data Electrcity</t>
  </si>
  <si>
    <t>Extensive Data Travel</t>
  </si>
  <si>
    <t>Extensive Data Landfill</t>
  </si>
  <si>
    <t>* Moved Color Coordination to "symbols"</t>
  </si>
  <si>
    <t>* Shifted summary tables to top of spreadsheets</t>
  </si>
  <si>
    <t>Σ Commuting Miles = Σ (daily miles x annual working days)</t>
    <phoneticPr fontId="54" type="noConversion"/>
  </si>
  <si>
    <t>* added summary sheets for each scop and put in tasbles, but data did not transfer… check to see if data can transfer or enter numbers by hand?</t>
  </si>
  <si>
    <t xml:space="preserve">Summary data (General) </t>
  </si>
  <si>
    <t>Summary Scope 1</t>
  </si>
  <si>
    <t>Summary Scope 2</t>
  </si>
  <si>
    <t>Summary Scope 3</t>
  </si>
  <si>
    <r>
      <t xml:space="preserve">Middlebury College Office of Sustainbility Integration </t>
    </r>
    <r>
      <rPr>
        <b/>
        <i/>
        <sz val="12"/>
        <rFont val="Arial"/>
        <family val="2"/>
      </rPr>
      <t xml:space="preserve"> </t>
    </r>
    <r>
      <rPr>
        <i/>
        <sz val="12"/>
        <rFont val="Arial"/>
        <family val="2"/>
      </rPr>
      <t xml:space="preserve">                                                  </t>
    </r>
    <r>
      <rPr>
        <b/>
        <i/>
        <sz val="12"/>
        <rFont val="Arial"/>
        <family val="2"/>
      </rPr>
      <t>Primary</t>
    </r>
    <r>
      <rPr>
        <i/>
        <sz val="12"/>
        <rFont val="Arial"/>
        <family val="2"/>
      </rPr>
      <t xml:space="preserve"> </t>
    </r>
    <r>
      <rPr>
        <b/>
        <i/>
        <sz val="12"/>
        <rFont val="Arial"/>
        <family val="2"/>
      </rPr>
      <t>Contributors:</t>
    </r>
    <r>
      <rPr>
        <i/>
        <sz val="12"/>
        <rFont val="Arial"/>
        <family val="2"/>
      </rPr>
      <t xml:space="preserve">  Jason Kowalski '07, Billie Borden '09, Chester Harvey '09, Ian Sanders Fleming '09, Jack Byrne, Director, Sustainability Integration Office, Mike Moser, Assistant Director, Office of Facilities Services.                     </t>
    </r>
    <r>
      <rPr>
        <b/>
        <i/>
        <sz val="12"/>
        <rFont val="Arial"/>
        <family val="2"/>
      </rPr>
      <t xml:space="preserve">Contact: </t>
    </r>
    <r>
      <rPr>
        <i/>
        <sz val="12"/>
        <rFont val="Arial"/>
        <family val="2"/>
      </rPr>
      <t>Jack Byrne, jmbyrne@middlebury.edu, tel: 802-443-5043</t>
    </r>
    <phoneticPr fontId="3" type="noConversion"/>
  </si>
  <si>
    <t xml:space="preserve">Middlebury College Annual Greenhouse Gas Inventory </t>
    <phoneticPr fontId="3" type="noConversion"/>
  </si>
  <si>
    <t>Total (Full-Time Equivalent) Students</t>
  </si>
  <si>
    <t>Employees and Students</t>
  </si>
  <si>
    <r>
      <t>MW ratio (kg CO</t>
    </r>
    <r>
      <rPr>
        <b/>
        <vertAlign val="subscript"/>
        <sz val="10"/>
        <rFont val="Arial"/>
        <family val="2"/>
      </rPr>
      <t>2</t>
    </r>
    <r>
      <rPr>
        <b/>
        <sz val="10"/>
        <rFont val="Arial"/>
        <family val="2"/>
      </rPr>
      <t>/kg C)</t>
    </r>
  </si>
  <si>
    <t>*added information on renewables given to me by Dean Oulette</t>
  </si>
  <si>
    <t>train travel</t>
  </si>
  <si>
    <t>Employee commuting</t>
  </si>
  <si>
    <t>Price of non-weekend travel 2 months from booking date &lt;http://www.amtrak.com&gt; [JK 06]</t>
  </si>
  <si>
    <t>search "EIA annual Regular Grade Gasoline Prices (US)" in google and add "US change from a year ago" to previous year's average [CN 09]</t>
  </si>
  <si>
    <t>FY 10/11</t>
  </si>
  <si>
    <t>8-week program students FTE</t>
  </si>
  <si>
    <t>FY12/13</t>
  </si>
  <si>
    <t>FY 12/13</t>
  </si>
  <si>
    <t xml:space="preserve"> </t>
  </si>
  <si>
    <t>Energy Intensity of Passenger Modes (BTU per passenger miles), Bureau of Transportation Statistics, National Transportation Statistics 2009, (Table 4-21)[CN11]</t>
  </si>
  <si>
    <t>Energy Intensity of Passenger Modes (BTU per passenger miles), Bureau of Transportation Statistics, National Transportation Statistics 2009, (Table 4-21)&lt;http://www.bts.gov/publications/national_transportation_statistics/pdf/entire.pdf&gt; [CN11]</t>
  </si>
  <si>
    <t>* updated travel variables like price per trip, btu/pass etc</t>
  </si>
  <si>
    <t xml:space="preserve">Scope 3, Part B: Indirect Emissions from Landfill Waste </t>
  </si>
  <si>
    <t>MTCDE per FTE Employee and Students</t>
  </si>
  <si>
    <t>fac avg. annual driving days</t>
    <phoneticPr fontId="54" type="noConversion"/>
  </si>
  <si>
    <t>staff avg annual driving days</t>
    <phoneticPr fontId="54" type="noConversion"/>
  </si>
  <si>
    <t>Collected annually by Director of Facilities Services, Central Heating/Utilities: Mike Moser and Customer Service Coordinator: Jen Pottinger. [BB 07/AB 09]</t>
  </si>
  <si>
    <t>Comprehensive Summary:</t>
  </si>
  <si>
    <t xml:space="preserve">Same source as Commuting Miles, calculated by finding the average of all responses for faculty and staff separately </t>
    <phoneticPr fontId="54" type="noConversion"/>
  </si>
  <si>
    <t>Annual work days</t>
    <phoneticPr fontId="54" type="noConversion"/>
  </si>
  <si>
    <t>Fiscal Year:</t>
    <phoneticPr fontId="3" type="noConversion"/>
  </si>
  <si>
    <t>FY11/12</t>
  </si>
  <si>
    <t>% Hydro (River/pondage &amp; pumped)</t>
  </si>
  <si>
    <t>Calculated based on commuter surveys administered by the Sustainability Integration Office each summer. The 2011 survey can be viewed here: https://middlebury.keysurvey2.com/Member/ObjectDesign/DesignPreviewObject.jsp?VMODE=1&amp;authStart=1&amp;surveyId=376201</t>
    <phoneticPr fontId="54" type="noConversion"/>
  </si>
  <si>
    <t>EPA Climate Leaders. 2004. "Core Module Guidance: Direct Emissions from Mobile Combustion Sources." pp 12. &lt;http://www.epa.gov/climateleaders/docs/mobilesourceguidance.pdf&gt; [BB 07]</t>
  </si>
  <si>
    <r>
      <t xml:space="preserve">Biomass </t>
    </r>
    <r>
      <rPr>
        <sz val="10"/>
        <rFont val="Arial"/>
        <family val="2"/>
      </rPr>
      <t>(Note: CO2 emissions not included in totals per EPA/DOE/GHG Protocol determination that biogenic sources are carbon neutral)</t>
    </r>
    <phoneticPr fontId="3" type="noConversion"/>
  </si>
  <si>
    <t>Kerosene</t>
    <phoneticPr fontId="3" type="noConversion"/>
  </si>
  <si>
    <t xml:space="preserve">Scope 2: Indirect Emissions from Electricity Purchases </t>
    <phoneticPr fontId="3" type="noConversion"/>
  </si>
  <si>
    <t>Scope 3, Part A: Indirect Emissions from Outsourced Travel</t>
    <phoneticPr fontId="3" type="noConversion"/>
  </si>
  <si>
    <t>Indirect Emissions from Regular Commuting (potentially Scope 3)</t>
    <phoneticPr fontId="3" type="noConversion"/>
  </si>
  <si>
    <t>Indirect Emissions from Regular Commuting, revised FY09/10 and later</t>
  </si>
  <si>
    <t>% Taken to Clinton Co. LF. NY</t>
  </si>
  <si>
    <t>Coventry Landfill Emissions</t>
  </si>
  <si>
    <t>Normalization Factors and Results</t>
    <phoneticPr fontId="3" type="noConversion"/>
  </si>
  <si>
    <t>fac avg annual gallons used</t>
    <phoneticPr fontId="54" type="noConversion"/>
  </si>
  <si>
    <t># faculty</t>
    <phoneticPr fontId="54" type="noConversion"/>
  </si>
  <si>
    <t>total gallons used by faculty</t>
    <phoneticPr fontId="54" type="noConversion"/>
  </si>
  <si>
    <t>staff avg. MPG</t>
    <phoneticPr fontId="54" type="noConversion"/>
  </si>
  <si>
    <t>staff avg annual gallons used</t>
    <phoneticPr fontId="54" type="noConversion"/>
  </si>
  <si>
    <t>Values calculated from data from College Factbook. FTE calculated using 196 days as the time spent on campus by full-time students.</t>
    <phoneticPr fontId="3" type="noConversion"/>
  </si>
  <si>
    <t xml:space="preserve">Same source as above. Calculated seperately for faculty and staff. Avergage of the sums (for each respondent) of # of days driven June-Aug + # days driven Sept-May. # Day driven = (days per week driving alone + days per week driving carpool) * # weeks - (#days off * (days per week driving alone + days per week driving carpool) / # days worked in typical work week). </t>
    <phoneticPr fontId="54" type="noConversion"/>
  </si>
  <si>
    <t>fac avg. commuting miles</t>
    <phoneticPr fontId="54" type="noConversion"/>
  </si>
  <si>
    <t># staff</t>
    <phoneticPr fontId="54" type="noConversion"/>
  </si>
  <si>
    <t>total gallons used by staff</t>
    <phoneticPr fontId="54" type="noConversion"/>
  </si>
  <si>
    <t>total gallons used by employees</t>
    <phoneticPr fontId="54" type="noConversion"/>
  </si>
  <si>
    <t>ISO-NE Generated Sources as Percents:</t>
  </si>
  <si>
    <t>% Other (assume ISO-NE Grid)</t>
  </si>
  <si>
    <t>% Oil/gas</t>
  </si>
  <si>
    <t>% Wind &amp; Solar</t>
  </si>
  <si>
    <t>FY 11/12</t>
  </si>
  <si>
    <t xml:space="preserve">provided at &lt;http://www.middlebury.edu/offices/administration/planning/ir/data/factbooks&gt;. </t>
  </si>
  <si>
    <t>8-week program students</t>
  </si>
  <si>
    <t>% Cow Power</t>
    <phoneticPr fontId="3" type="noConversion"/>
  </si>
  <si>
    <t>GMP* Sources as Percents:</t>
    <phoneticPr fontId="3" type="noConversion"/>
  </si>
  <si>
    <t>* hyperlinked the intro table of contents to respective pages</t>
  </si>
  <si>
    <t>* noted on Renewable and Staff comuting pages that these numbers do not quantitatively affect GHGI</t>
  </si>
  <si>
    <t>FY10/11</t>
  </si>
  <si>
    <t>FY 12/13</t>
    <phoneticPr fontId="3" type="noConversion"/>
  </si>
  <si>
    <t>FY 11/12</t>
    <phoneticPr fontId="3" type="noConversion"/>
  </si>
  <si>
    <t>FY 12/13</t>
    <phoneticPr fontId="54" type="noConversion"/>
  </si>
  <si>
    <t>FY 12/13</t>
    <phoneticPr fontId="54" type="noConversion"/>
  </si>
  <si>
    <t>This section includes emissions from all mobile combustion of fossil fuels used in vehicles not owned by the institution, but whose operations are indirectly solicited by the institution; i.e. regular employee and off-campus student commuting. These numbers do not factor quantitatively into the GHG inventory.</t>
  </si>
  <si>
    <t xml:space="preserve">* had meeting with Jack and sue from budgeting, we decided that budgeting would refine numbers it gives us so that dollars--&gt; gal gas would be more accurate AND that scope 1b off campus would exclude gas bought for fleet but from public source as it is too hard to differentiate in budget </t>
    <phoneticPr fontId="54" type="noConversion"/>
  </si>
  <si>
    <t>Scope 1, Part A: Direct Emissions from Stationary Combustion</t>
    <phoneticPr fontId="3" type="noConversion"/>
  </si>
  <si>
    <t>sources</t>
    <phoneticPr fontId="3" type="noConversion"/>
  </si>
  <si>
    <t>Scope 1, Part B: Indirect Emissions from Mobile Combustion</t>
    <phoneticPr fontId="3" type="noConversion"/>
  </si>
  <si>
    <r>
      <t xml:space="preserve">GMP kWh excluded </t>
    </r>
    <r>
      <rPr>
        <sz val="10"/>
        <color indexed="10"/>
        <rFont val="Arial"/>
        <family val="2"/>
      </rPr>
      <t>*</t>
    </r>
    <phoneticPr fontId="3" type="noConversion"/>
  </si>
  <si>
    <r>
      <t>GMP kWh from CH</t>
    </r>
    <r>
      <rPr>
        <vertAlign val="subscript"/>
        <sz val="10"/>
        <rFont val="Arial"/>
        <family val="2"/>
      </rPr>
      <t>4</t>
    </r>
    <r>
      <rPr>
        <sz val="10"/>
        <rFont val="Arial"/>
        <family val="2"/>
      </rPr>
      <t xml:space="preserve"> dig. </t>
    </r>
    <r>
      <rPr>
        <sz val="10"/>
        <color indexed="10"/>
        <rFont val="Arial"/>
        <family val="2"/>
      </rPr>
      <t>◊</t>
    </r>
    <phoneticPr fontId="3" type="noConversion"/>
  </si>
  <si>
    <t>in bounds kWh from GMP grid</t>
    <phoneticPr fontId="3" type="noConversion"/>
  </si>
  <si>
    <r>
      <t xml:space="preserve">Total kWh from GMP </t>
    </r>
    <r>
      <rPr>
        <sz val="10"/>
        <color indexed="10"/>
        <rFont val="Arial"/>
        <family val="2"/>
      </rPr>
      <t>*</t>
    </r>
    <phoneticPr fontId="3" type="noConversion"/>
  </si>
  <si>
    <t>GMP Sources as Percents:</t>
    <phoneticPr fontId="3" type="noConversion"/>
  </si>
  <si>
    <t>GMP kWh excluded</t>
    <phoneticPr fontId="3" type="noConversion"/>
  </si>
  <si>
    <t>GMP kWh from CH4 dig.</t>
    <phoneticPr fontId="3" type="noConversion"/>
  </si>
  <si>
    <t>Total kWh from GMP</t>
    <phoneticPr fontId="3" type="noConversion"/>
  </si>
  <si>
    <t xml:space="preserve">These values can come from Mike Moser or from  Dave Dunn, the </t>
    <phoneticPr fontId="3" type="noConversion"/>
  </si>
  <si>
    <t>Manager of Renewable Project Development at GMP.  Dave can</t>
    <phoneticPr fontId="3" type="noConversion"/>
  </si>
  <si>
    <t>Green Mountain Power. Collected annually by Director of Facilities Services, Central Heating/Utilities, Mike Moser [BB 07]</t>
  </si>
  <si>
    <t>Tonnes CO2/gal kerosene EF</t>
    <phoneticPr fontId="3" type="noConversion"/>
  </si>
  <si>
    <t>*From EPA's 'Emisson factors for GHG inventories' 2011</t>
    <phoneticPr fontId="3" type="noConversion"/>
  </si>
  <si>
    <t>*Blend-heating and kerosene included</t>
    <phoneticPr fontId="3" type="noConversion"/>
  </si>
  <si>
    <t>FY 09/10</t>
    <phoneticPr fontId="54" type="noConversion"/>
  </si>
  <si>
    <t>FY 12/13</t>
    <phoneticPr fontId="54" type="noConversion"/>
  </si>
  <si>
    <r>
      <t>BTU</t>
    </r>
    <r>
      <rPr>
        <sz val="12"/>
        <rFont val="Times New Roman"/>
        <family val="1"/>
      </rPr>
      <t xml:space="preserve"> (British Thermal Unit) - the amount of heat required to increase the temperature of a pint of water (which weighs exactly 16 ounces) by one degree Fahrenheit. For example 3412.14 BTUs = 1 kWh, and 1 BTU = 1,055.06 joules. One Million BTU’s can be expressed as MBTU or MMBTU. Middlebury College facilities publications typically use MMBTU to express this quantity.</t>
    </r>
  </si>
  <si>
    <t>GHG</t>
  </si>
  <si>
    <t>6-week program students  FTE</t>
  </si>
  <si>
    <t>7-week program students FTE</t>
  </si>
  <si>
    <t>9-week program students FTE</t>
  </si>
  <si>
    <t>Personal Communication, Abbie Webb, Senior Environmental Analyst at Casella Waste Systems</t>
  </si>
  <si>
    <t>Same as above [LE 11]</t>
  </si>
  <si>
    <t>Avg MPG of emp vehicles</t>
    <phoneticPr fontId="54" type="noConversion"/>
  </si>
  <si>
    <t>Language School Faculty</t>
  </si>
  <si>
    <t>2 week program students</t>
  </si>
  <si>
    <t>2-week program students FTE</t>
  </si>
  <si>
    <t>LanguageSchool Facuty FTE</t>
  </si>
  <si>
    <t xml:space="preserve">Off-Road Diesel (inc. blends) </t>
  </si>
  <si>
    <r>
      <t xml:space="preserve">Total kWh from GMP </t>
    </r>
    <r>
      <rPr>
        <sz val="10"/>
        <color indexed="10"/>
        <rFont val="Arial"/>
        <family val="2"/>
      </rPr>
      <t>*</t>
    </r>
  </si>
  <si>
    <r>
      <t>GMP kWh from CH</t>
    </r>
    <r>
      <rPr>
        <vertAlign val="subscript"/>
        <sz val="10"/>
        <rFont val="Arial"/>
        <family val="2"/>
      </rPr>
      <t>4</t>
    </r>
    <r>
      <rPr>
        <sz val="10"/>
        <rFont val="Arial"/>
        <family val="2"/>
      </rPr>
      <t xml:space="preserve"> dig. </t>
    </r>
    <r>
      <rPr>
        <sz val="10"/>
        <color indexed="10"/>
        <rFont val="Arial"/>
        <family val="2"/>
      </rPr>
      <t>◊</t>
    </r>
  </si>
  <si>
    <r>
      <t xml:space="preserve">on-campus co-gen kWH </t>
    </r>
    <r>
      <rPr>
        <sz val="10"/>
        <color indexed="10"/>
        <rFont val="Arial"/>
        <family val="2"/>
      </rPr>
      <t>*</t>
    </r>
  </si>
  <si>
    <r>
      <t xml:space="preserve">on-campus wind kWH </t>
    </r>
    <r>
      <rPr>
        <sz val="10"/>
        <color indexed="10"/>
        <rFont val="Arial"/>
        <family val="2"/>
      </rPr>
      <t>‡</t>
    </r>
  </si>
  <si>
    <r>
      <t xml:space="preserve">on-campus solar kWH </t>
    </r>
    <r>
      <rPr>
        <sz val="10"/>
        <color indexed="10"/>
        <rFont val="Arial"/>
        <family val="2"/>
      </rPr>
      <t>‡</t>
    </r>
  </si>
  <si>
    <t>in bounds kWh from GMP grid</t>
  </si>
  <si>
    <t xml:space="preserve">       Mileage</t>
  </si>
  <si>
    <t xml:space="preserve">      Taxis</t>
  </si>
  <si>
    <t xml:space="preserve">      Bus</t>
  </si>
  <si>
    <t xml:space="preserve">      Airplanes</t>
  </si>
  <si>
    <t xml:space="preserve">      Trains</t>
  </si>
  <si>
    <t>Subtotal</t>
  </si>
  <si>
    <t>Sub-Scopes by Fuel Quantitiies</t>
  </si>
  <si>
    <t>Gallons unless otherwise noted.</t>
  </si>
  <si>
    <t xml:space="preserve">   </t>
  </si>
  <si>
    <t>$/tonne</t>
  </si>
  <si>
    <t>MC GHG Emissions - (MTCDE)</t>
  </si>
  <si>
    <t>Notes</t>
  </si>
  <si>
    <t>GMP kWh excluded (bill paid by tenants)</t>
  </si>
  <si>
    <t xml:space="preserve"> #6 Oil</t>
  </si>
  <si>
    <t>#2/B-20/OR Diesel</t>
  </si>
  <si>
    <t>S1- Stationary</t>
  </si>
  <si>
    <t>S1- Mobile</t>
  </si>
  <si>
    <t>S2 - Electricity</t>
  </si>
  <si>
    <t>S3 - Travel</t>
  </si>
  <si>
    <t>Gasoline</t>
  </si>
  <si>
    <t>Electricity</t>
  </si>
  <si>
    <t>Travel (Note: travel method being revised - emissionsestimates subject to change)</t>
  </si>
  <si>
    <t>S3 - Landfill CH4</t>
  </si>
  <si>
    <t xml:space="preserve"> Landfill CH4</t>
  </si>
  <si>
    <t>#6 Oil</t>
  </si>
  <si>
    <t>Straight #2 Fuel Oil</t>
  </si>
  <si>
    <t>B-20 Bioheat</t>
  </si>
  <si>
    <t>Mileage $</t>
  </si>
  <si>
    <t>Taxi $</t>
  </si>
  <si>
    <t>Bus $</t>
  </si>
  <si>
    <r>
      <t>Air</t>
    </r>
    <r>
      <rPr>
        <sz val="10"/>
        <rFont val="Arial"/>
        <family val="2"/>
      </rPr>
      <t>plane $</t>
    </r>
  </si>
  <si>
    <t>Train $</t>
  </si>
  <si>
    <t>change/correct TonnesCO2/lb wood (Divide by 2200)</t>
  </si>
  <si>
    <t>722lbs / mwh</t>
  </si>
  <si>
    <t>21566 mwh</t>
  </si>
  <si>
    <t>gCO2/pkm</t>
  </si>
  <si>
    <t>gCO2/pmi</t>
  </si>
  <si>
    <t>gCO2e/pkm</t>
  </si>
  <si>
    <t>domestic (DEFRA)</t>
  </si>
  <si>
    <t>tonnesCO2/pmi</t>
  </si>
  <si>
    <r>
      <t>CO</t>
    </r>
    <r>
      <rPr>
        <vertAlign val="subscript"/>
        <sz val="12"/>
        <color indexed="63"/>
        <rFont val="Verdana"/>
        <family val="2"/>
      </rPr>
      <t xml:space="preserve">2 </t>
    </r>
    <r>
      <rPr>
        <sz val="12"/>
        <color indexed="63"/>
        <rFont val="Verdana"/>
        <family val="2"/>
      </rPr>
      <t xml:space="preserve">emissions in air travel vary by length of flight, ranging from </t>
    </r>
    <r>
      <rPr>
        <b/>
        <sz val="12"/>
        <color indexed="63"/>
        <rFont val="Verdana"/>
        <family val="2"/>
      </rPr>
      <t>0.</t>
    </r>
    <r>
      <rPr>
        <sz val="12"/>
        <color indexed="63"/>
        <rFont val="Verdana"/>
        <family val="2"/>
      </rPr>
      <t>277 kg CO</t>
    </r>
    <r>
      <rPr>
        <vertAlign val="subscript"/>
        <sz val="12"/>
        <color indexed="63"/>
        <rFont val="Verdana"/>
        <family val="2"/>
      </rPr>
      <t>2</t>
    </r>
    <r>
      <rPr>
        <sz val="12"/>
        <color indexed="63"/>
        <rFont val="Verdana"/>
        <family val="2"/>
      </rPr>
      <t xml:space="preserve"> per passenger mile to 0.185 kg CO</t>
    </r>
    <r>
      <rPr>
        <vertAlign val="subscript"/>
        <sz val="12"/>
        <color indexed="63"/>
        <rFont val="Verdana"/>
        <family val="2"/>
      </rPr>
      <t>2</t>
    </r>
    <r>
      <rPr>
        <sz val="12"/>
        <color indexed="63"/>
        <rFont val="Verdana"/>
        <family val="2"/>
      </rPr>
      <t xml:space="preserve">per passenger mile, depending on the flight distance. </t>
    </r>
  </si>
  <si>
    <t>kg CO2/pmi  (carbon fund.org)</t>
  </si>
  <si>
    <t>total pmi fy13</t>
  </si>
  <si>
    <t>kg CO2 fy 13</t>
  </si>
  <si>
    <t>tonnes CO2</t>
  </si>
  <si>
    <t>tonnes CO2 fy 13</t>
  </si>
  <si>
    <t>Departure : New York, NY, USA</t>
  </si>
  <si>
    <t>http://www.id-ong.org/en/carbon-offset-calculation</t>
  </si>
  <si>
    <t>Destination : San Francisco, CA, USA</t>
  </si>
  <si>
    <t>Distance : 4136 kilomètres</t>
  </si>
  <si>
    <t>Emissions : 2 teq CO2 (metric tons of CO2 equivalent)</t>
  </si>
  <si>
    <t>Offset price : 40 €</t>
  </si>
  <si>
    <t>Destination : Cleveland, OH, USA</t>
  </si>
  <si>
    <t>Distance : 653 kilomètres</t>
  </si>
  <si>
    <t>Emissions : 1 teq CO2 (metric tons of CO2 equivalent)</t>
  </si>
  <si>
    <t>Offset price : 20 €</t>
  </si>
  <si>
    <t>pkm</t>
  </si>
  <si>
    <t>pmi</t>
  </si>
  <si>
    <t>mtcde/pmi</t>
  </si>
  <si>
    <t>mtcde/p</t>
  </si>
  <si>
    <t>Destination : Beijing, China</t>
  </si>
  <si>
    <t>Distance : 11002 kilomètres</t>
  </si>
  <si>
    <t>Emissions : 5 teq CO2 (metric tons of CO2 equivalent)</t>
  </si>
  <si>
    <t>Offset price : 100 €</t>
  </si>
  <si>
    <t>% of miles in fy 13</t>
  </si>
  <si>
    <t>% of miels in fy13</t>
  </si>
  <si>
    <t>total all flights</t>
  </si>
  <si>
    <t>lbs/mi GHG</t>
  </si>
  <si>
    <t>$/mi DoT average</t>
  </si>
  <si>
    <t>total air $ fy13</t>
  </si>
  <si>
    <t>lbs ghg</t>
  </si>
  <si>
    <t>lbs/mt</t>
  </si>
  <si>
    <t>GHG's FY13</t>
  </si>
  <si>
    <t>FY13/14</t>
  </si>
  <si>
    <t>FY 13/14</t>
  </si>
  <si>
    <t>Note: mileage rate calculations were adjusted in FY 14 and retroactive to FY06/07 by adding a multiplier factor of .33 to the conversion of $ reimbursed to mileage.</t>
  </si>
  <si>
    <t>Thius adjustment was made because only 1/3 of the reimbursement rate covers gasoline costs.</t>
  </si>
  <si>
    <t xml:space="preserve">see note on next tab re: adjustment to formula converting </t>
  </si>
  <si>
    <t>$ to gallons - retroactive to FY06/07</t>
  </si>
  <si>
    <t>Rt. 125 Solar Farm (April 2012)</t>
  </si>
  <si>
    <t>South Ridge Solar Project (S. Middelbury Dec. 2013)</t>
  </si>
  <si>
    <t>Hillcrest PV Production (kWh) (November 2008)</t>
  </si>
  <si>
    <t>NA</t>
  </si>
  <si>
    <t>note FY 12 est. based on previous years</t>
  </si>
  <si>
    <t>note 14 est.</t>
  </si>
  <si>
    <t>FY 14/15</t>
  </si>
  <si>
    <t>MTCDE from all sources</t>
  </si>
  <si>
    <t>Emissions from Sources</t>
  </si>
  <si>
    <t>MTCDE per FTE Student for heating/cooling</t>
  </si>
  <si>
    <t>MTCDE per FTE Student for all sources</t>
  </si>
  <si>
    <t>MTCDE per FTE Student incl. language for heating and cooling</t>
  </si>
  <si>
    <t>MTCDE per FTE Student incl. language forall sources</t>
  </si>
  <si>
    <t>MTCDE per FTE Employee for heating and cooling</t>
  </si>
  <si>
    <t>MTCDE per FTE Employee for all sources</t>
  </si>
  <si>
    <t>MTCDE per FTE Empoyee and Students for all sources</t>
  </si>
  <si>
    <t>MTCDE per FTE Employee and Students for heating and cooling</t>
  </si>
  <si>
    <t>MTCDE per Degree Day for heating and cooling</t>
  </si>
  <si>
    <t>MTCDE per Degree Day per FTE Student for heating and cooling</t>
  </si>
  <si>
    <t>MTCDE per Degree Day per FTE Employees and Students heating cooling</t>
  </si>
  <si>
    <t>MTCDE per Degree Day for all sources</t>
  </si>
  <si>
    <t>MTCDE per Degree Day per FTE Student for all sources</t>
  </si>
  <si>
    <t>MTCDE per Degree Day per FTE Employees and Students all sources</t>
  </si>
  <si>
    <t>MTCDE per gross square footage heating and cooling</t>
  </si>
  <si>
    <t>MTCDE per gross square footage all sources</t>
  </si>
  <si>
    <t>FY14/15</t>
  </si>
  <si>
    <t>GMP report says system mix is 41% natural gas, 30% nuclear and 9% hydro. 20% is not accounted for. Distributed 15% to hat</t>
  </si>
  <si>
    <t>=</t>
  </si>
  <si>
    <t>2.2 lbs/kg</t>
  </si>
  <si>
    <t>CCC (kg C/MMBTU)</t>
  </si>
  <si>
    <t>Fraction oxidized</t>
  </si>
  <si>
    <t>CH4 EF (g CH4/MMBTU)</t>
  </si>
  <si>
    <t>N2O EF (g N2O/MMBTU)</t>
  </si>
  <si>
    <t>fy 14 +18,000</t>
  </si>
  <si>
    <t>fy15 +79,600</t>
  </si>
  <si>
    <t>squash</t>
  </si>
  <si>
    <t>fy14 +1000</t>
  </si>
  <si>
    <t>insite</t>
  </si>
  <si>
    <t>fieldhouse</t>
  </si>
  <si>
    <r>
      <t>Pounds CO</t>
    </r>
    <r>
      <rPr>
        <b/>
        <vertAlign val="subscript"/>
        <sz val="10"/>
        <rFont val="Arial"/>
        <family val="2"/>
      </rPr>
      <t>2</t>
    </r>
  </si>
  <si>
    <r>
      <t>Kilograms CO</t>
    </r>
    <r>
      <rPr>
        <b/>
        <vertAlign val="subscript"/>
        <sz val="10"/>
        <rFont val="Arial"/>
        <family val="2"/>
      </rPr>
      <t>2</t>
    </r>
  </si>
  <si>
    <r>
      <t>Carbon Dioxide (CO</t>
    </r>
    <r>
      <rPr>
        <b/>
        <vertAlign val="subscript"/>
        <sz val="10"/>
        <rFont val="Arial"/>
        <family val="2"/>
      </rPr>
      <t>2</t>
    </r>
    <r>
      <rPr>
        <b/>
        <sz val="10"/>
        <rFont val="Arial"/>
        <family val="2"/>
      </rPr>
      <t>) Factors:</t>
    </r>
  </si>
  <si>
    <t>Million Btu</t>
  </si>
  <si>
    <t>EIA</t>
  </si>
  <si>
    <t>Mary Stanley Carr , Middlebury Facilities Services</t>
  </si>
  <si>
    <t>&lt;http://www.degreedays.net&gt;. [AB 09]  using 65F as base temperature</t>
  </si>
  <si>
    <t>solar</t>
  </si>
  <si>
    <t xml:space="preserve">biomass </t>
  </si>
  <si>
    <t>hydro</t>
  </si>
  <si>
    <t>natgas</t>
  </si>
  <si>
    <t>nuclear</t>
  </si>
  <si>
    <t>biomass mmbtu %</t>
  </si>
  <si>
    <t>total mmbtu bldgs</t>
  </si>
  <si>
    <t>purch elec btu</t>
  </si>
  <si>
    <t>fy15</t>
  </si>
  <si>
    <t>fy07</t>
  </si>
  <si>
    <t>renew</t>
  </si>
  <si>
    <t xml:space="preserve">Gross square footage </t>
  </si>
  <si>
    <t>FY 14/15 Updated</t>
  </si>
  <si>
    <t>FY 14/15 Updated (5/2016)</t>
  </si>
  <si>
    <t>The values for these percentages are found at &lt;http://www.iso-ne.com/nwsiss/grid_mkts/enrgy_srcs/index-p1.html&gt;.  However, it takes ISO-NE a few months to post the data for the most recent fiscal year.  As a result, one should rely on the most recent fiscal year available to provide placeholder values until data for the desired fiscal year is online.  A table detailing which ISO-NE Sources as Percents correspond with which GHG Inventory Labels can be found in the shared files.</t>
  </si>
  <si>
    <t>Co2</t>
  </si>
  <si>
    <t>N2O</t>
  </si>
  <si>
    <t>CH4</t>
  </si>
  <si>
    <t>.</t>
  </si>
  <si>
    <t>Square footage for STARS calculation</t>
  </si>
  <si>
    <t>MTCDE per sq foot using STARS</t>
  </si>
  <si>
    <t>FY 15/16</t>
  </si>
  <si>
    <t>FY15/16</t>
  </si>
  <si>
    <t>* offroad diesel includes: off road diesel, blended diesel, and straight kerosene</t>
  </si>
  <si>
    <t>na</t>
  </si>
  <si>
    <t>NatGas (MCF)</t>
  </si>
  <si>
    <t>Per Thousand Cubic Feet</t>
  </si>
  <si>
    <t>Per Thousand Cu. Ft.</t>
  </si>
  <si>
    <t>https://www.eia.gov/environment/emissions/co2_vol_mass.cfm</t>
  </si>
  <si>
    <t>In 2015, the average heat content of natural gas for the residential, commercial, and industrial sectors was about 1,032 Btu per cf; one Ccf = 103,200 Btu or 1.032 therms; one Mcf = 1.032 MMBtu or 10.32 therms.</t>
  </si>
  <si>
    <t>HC (MMBTU/McF)</t>
  </si>
  <si>
    <t>Tonnes CO2/McF NatGas EF</t>
  </si>
  <si>
    <t>N2O GWP</t>
  </si>
  <si>
    <t>S1S Nat Gas</t>
  </si>
  <si>
    <t>S1S NatGas</t>
  </si>
  <si>
    <t>Bread Loaf Sequestration (tonnes)</t>
  </si>
  <si>
    <t>Offsets External)</t>
  </si>
  <si>
    <t>Offsets Internal</t>
  </si>
  <si>
    <t>Offsets (Internal)</t>
  </si>
  <si>
    <t>Offsets (External)</t>
  </si>
  <si>
    <r>
      <t>Tonnes CO</t>
    </r>
    <r>
      <rPr>
        <b/>
        <vertAlign val="subscript"/>
        <sz val="10"/>
        <rFont val="Arial"/>
        <family val="2"/>
      </rPr>
      <t xml:space="preserve">2  </t>
    </r>
    <r>
      <rPr>
        <b/>
        <sz val="10"/>
        <rFont val="Arial"/>
        <family val="2"/>
      </rPr>
      <t>sequestered from compost</t>
    </r>
  </si>
  <si>
    <t>Total Tonnes Internal Offsets</t>
  </si>
  <si>
    <t>`</t>
  </si>
  <si>
    <t>1.78351514 MTeCO2/ton</t>
  </si>
  <si>
    <t>Clean and renewable electricity generated on-site during the performance year and for which the institution retains or has retired the associated environmental attributes</t>
  </si>
  <si>
    <t>Clean and renewable electricity generated on-site</t>
  </si>
  <si>
    <t>Non-electric renewable energy generated on-site</t>
  </si>
  <si>
    <t>Clean and renewable electricity generated by off-site projects</t>
  </si>
  <si>
    <t>mmbtu from elec</t>
  </si>
  <si>
    <t>total mmbtu</t>
  </si>
  <si>
    <t>Note: estimate of 13,000 credits based on initial assessment of CO2 sequestration for FY16 on BL and other eligible lands by Blue Source.  Estimate represents credits retained by MC out of a total estimate of 23,000 tonnes. Final values to be confirmed in 2017.</t>
  </si>
  <si>
    <t>Fuel</t>
  </si>
  <si>
    <t>(mmBtu/ton)</t>
  </si>
  <si>
    <t>Wood and wood Residuals</t>
  </si>
  <si>
    <t>(kg CO2/ton)</t>
  </si>
  <si>
    <t>(g CH4/ton)</t>
  </si>
  <si>
    <t>(g N2O/ton)</t>
  </si>
  <si>
    <t>Heat Content (HHV)</t>
  </si>
  <si>
    <t>Emission Factors</t>
  </si>
  <si>
    <t>https://www.epa.gov/sites/production/files/2016-03/documents/stationaryemissions_3_2016.pdf</t>
  </si>
  <si>
    <t>HC, EF and CCC values from:EPA Center for Corporate Climate Leadership: Greenhouse Gas Inventory Guidance
Direct Emissions from Stationary Combustion Sources. June 2016</t>
  </si>
  <si>
    <t>EPA Factors</t>
  </si>
  <si>
    <t>EPA Climate Leaders 2016 Default Emissions factors</t>
  </si>
  <si>
    <t>Biomass Energy Resource Center Emissions Factor for Woodchips</t>
  </si>
  <si>
    <t>BERC Factor</t>
  </si>
  <si>
    <t>EPA</t>
  </si>
  <si>
    <t>BERC</t>
  </si>
  <si>
    <t xml:space="preserve"> lbs CO2/mmBtu</t>
  </si>
  <si>
    <t>This 29.58 value is derived by adding the upstream emissions factor of 8.1 with 21.48 (10% of the total 214.8 emissions factor). The approach presented above intends to err on the side of being conservative because, in addition to factoring the upstream emissions, it also acknowledges the possibility that not all wood fuel sourced for any given project may come from forest management that achieves full regeneration within 20-100 years. </t>
  </si>
  <si>
    <t>http://www.biomasscenter.org/pdfs/veic-carbon-emission-and-modern-wood-heating-summary.pdf</t>
  </si>
  <si>
    <t> SUMMARY OF CARBON EMISSION IMPACTS OF MODERN WOOD HEATING IN NORTHEASTERN US </t>
  </si>
  <si>
    <t>and</t>
  </si>
  <si>
    <t>Biomass Energy Resource Center</t>
  </si>
  <si>
    <t>ΣMTCDE from wood (EPA)</t>
  </si>
  <si>
    <t>ΣMTCDE from wood (BERC)</t>
  </si>
  <si>
    <t>FY16/17</t>
  </si>
  <si>
    <t>FY 16/17</t>
  </si>
  <si>
    <t>*includes other RE (Landfill, methane)</t>
  </si>
  <si>
    <t>On-Campus Wind Generation</t>
  </si>
  <si>
    <t>Middlebury Recycling Center Wind Turbine (kWh)</t>
  </si>
  <si>
    <t>Total Wind</t>
  </si>
  <si>
    <t>TOTAL Solar</t>
  </si>
  <si>
    <t xml:space="preserve">Mileage and car rental </t>
  </si>
  <si>
    <t>tolls and parking included</t>
  </si>
  <si>
    <t>Biogenic emissions (biomass)</t>
  </si>
  <si>
    <r>
      <t xml:space="preserve">on and off-campus solar kWH </t>
    </r>
    <r>
      <rPr>
        <sz val="10"/>
        <color indexed="10"/>
        <rFont val="Arial"/>
        <family val="2"/>
      </rPr>
      <t>‡</t>
    </r>
  </si>
  <si>
    <t>FY 17/18</t>
  </si>
  <si>
    <t>% Wind &amp; Solar and landfill gas</t>
  </si>
  <si>
    <t>InSite</t>
  </si>
  <si>
    <t>Self Reliance</t>
  </si>
  <si>
    <t>President's House</t>
  </si>
  <si>
    <t>FY17/18</t>
  </si>
  <si>
    <t xml:space="preserve">Future metrics </t>
  </si>
  <si>
    <t>kgCO2/mmbtu for hardwood at 45% mc</t>
  </si>
  <si>
    <t>tonneCO2/lb wood</t>
  </si>
  <si>
    <t>%mmbtu not central plant</t>
  </si>
  <si>
    <t>ross</t>
  </si>
  <si>
    <t>at</t>
  </si>
  <si>
    <t>mc</t>
  </si>
  <si>
    <t>proc</t>
  </si>
  <si>
    <t>FY18 MMBTU</t>
  </si>
  <si>
    <t>Wilber Farm Solar Project (December 2016) (Pittsford, VT 500kW)</t>
  </si>
  <si>
    <t>FY 18/19</t>
  </si>
  <si>
    <t>ΣMTCDE from natural gas</t>
  </si>
  <si>
    <t>FY18/19</t>
  </si>
  <si>
    <t>Note: 2018 source mix from GMP site - need to update w 2019</t>
  </si>
  <si>
    <t>*oil &amp; natural gas combined</t>
  </si>
  <si>
    <t>note fy 18 and 19 are provisional estimates until final data is available</t>
  </si>
  <si>
    <t>FY19 GHG Travel Data Source</t>
  </si>
  <si>
    <t>Banner $</t>
  </si>
  <si>
    <t>Oracle $</t>
  </si>
  <si>
    <t>Banner MTCDE</t>
  </si>
  <si>
    <t>Oracle MTCDE</t>
  </si>
  <si>
    <t>Combined</t>
  </si>
  <si>
    <t>FY19 (July-March)</t>
  </si>
  <si>
    <t>FY19 (April-June)</t>
  </si>
  <si>
    <t>Mileage(includes car rental)</t>
  </si>
  <si>
    <t>N/A</t>
  </si>
  <si>
    <t>(Normalized taxi, train and bus sum)</t>
  </si>
  <si>
    <t>Average Percent used by Taxi, Bus, Trains (FY15-19):</t>
  </si>
  <si>
    <t>Average Percent used by Taxi, Bus, Trains (FY19):</t>
  </si>
  <si>
    <t>NOTES:</t>
  </si>
  <si>
    <t>The data from July to March is very straightforward as it comes from Banner</t>
  </si>
  <si>
    <t>The data from April to June (Oracle) only accounts for data from airplanes and mileage (mileage includes car rentals in the GHG). Luckily those two categories always make up between 94-95% of our total GHG emissions from travel. I have included a standard total that includes the concrete numbers from both Oracle and Banner, as well as their sum.</t>
  </si>
  <si>
    <t>Because the percentage of MTCDE from combined bus, train, and taxi is always very consistent (average from last 5 years is less than a tenth of a percent different from this year’s Banner data) I made a normalized value for the Oracle data. This number assumes the percent emitted from buses, trains, and taxis is roughly proportionate to the amount emitted from airplanes and mileage.</t>
  </si>
  <si>
    <t>The boxed blue number is the non-normalized sum. The boxed green number is the normalized value. I recommend using the normalized value as it is more comprehensive of our travel GHG.</t>
  </si>
  <si>
    <r>
      <rPr>
        <b/>
        <sz val="10"/>
        <rFont val="Arial"/>
        <family val="2"/>
      </rPr>
      <t>Note</t>
    </r>
    <r>
      <rPr>
        <sz val="10"/>
        <rFont val="Arial"/>
        <family val="2"/>
      </rPr>
      <t>: During 2019 the College switch accounting systems and changed the categories of travel itemization. See notes below by Gabe Desmond, SSL Intern explaining changes</t>
    </r>
  </si>
  <si>
    <t>FY19 Data adjustment for emissions</t>
  </si>
  <si>
    <t>from taxis, bus, and trains (see tab</t>
  </si>
  <si>
    <t xml:space="preserve"> "Scope 3 Travel Sources FY19")</t>
  </si>
  <si>
    <t>mtcde</t>
  </si>
  <si>
    <r>
      <t xml:space="preserve">FY 18/19 </t>
    </r>
    <r>
      <rPr>
        <b/>
        <sz val="8"/>
        <rFont val="Arial"/>
        <family val="2"/>
      </rPr>
      <t>(see tab for FY19 Travel Sources</t>
    </r>
  </si>
  <si>
    <t>Biomass Emissions By Fiscal Year</t>
  </si>
  <si>
    <t>Citations/Reasoning</t>
  </si>
  <si>
    <t>Combustion (scope 1) MTCDE</t>
  </si>
  <si>
    <t>Upstream emissions (scope 3) MTCDE</t>
  </si>
  <si>
    <t>Gross Forest Sequestration MTCDE</t>
  </si>
  <si>
    <t>TOTAL MTCDE:</t>
  </si>
  <si>
    <t>Input factors (annual)</t>
  </si>
  <si>
    <t>Tons of chips gassified:</t>
  </si>
  <si>
    <t>Data from Jenn Pottinger</t>
  </si>
  <si>
    <t># of chip deliveries:</t>
  </si>
  <si>
    <t>Combustion:</t>
  </si>
  <si>
    <t>Chips gassified at Midd (tons):</t>
  </si>
  <si>
    <t>input factor</t>
  </si>
  <si>
    <t>Percent carbon in wood</t>
  </si>
  <si>
    <t>Average weight of Northeast hardwoods</t>
  </si>
  <si>
    <t>https://www.researchgate.net/publication/242094365_A_reassessment_of_carbon_content_in_wood_variation_within_and_between_41_North_American_species</t>
  </si>
  <si>
    <t>Weight of carbon in wood (tons)</t>
  </si>
  <si>
    <t>Weight of carbon in wood (Metric Tons)</t>
  </si>
  <si>
    <t>tons to metric tons conversion rate</t>
  </si>
  <si>
    <t>Tonnes of CO2 Released</t>
  </si>
  <si>
    <t xml:space="preserve">Chemistry Factor </t>
  </si>
  <si>
    <t>https://www.eia.gov/tools/faqs/faq.php?id=82&amp;t=11#:~:text=The%20addition%20of%20two%20oxygen,the%20carbon%2C%20which%20is%2012.&amp;text=subbituminous%20coal%20and%201.87%20times,short%20ton%20of%20subbituminous%20coal.</t>
  </si>
  <si>
    <t>Tonnes of CH4 Released</t>
  </si>
  <si>
    <t>Ratios derived from EPA data</t>
  </si>
  <si>
    <t>https://www.epa.gov/sites/production/files/2015-07/documents/emission-factors_2014.pdf</t>
  </si>
  <si>
    <t>MTCDE, CH4</t>
  </si>
  <si>
    <t>Assumes a 100-year GWP of 25</t>
  </si>
  <si>
    <t>Tonnes of N20 Released</t>
  </si>
  <si>
    <t>MTCDE, N20</t>
  </si>
  <si>
    <t>Assumes a 100-year GWP of 298</t>
  </si>
  <si>
    <t>Total MTCDE:</t>
  </si>
  <si>
    <t>Sum of CO2, CH4, and N20</t>
  </si>
  <si>
    <t>Upstream Emissions:</t>
  </si>
  <si>
    <t>From Chris Acker (who’s very in touch with Lathrop logging process).  For a single 30 ton load of chips of Midd:  log cutter operates about ½ hour and consumes 5 gallons of diesel.  Skidder operates for about 1 hour and consumes 5 gallons of diesel.  Assume about 10 gallons to load a log truck in wood and drive truck to Lathrop mill in Bristol, and unload truck at mill.  Assume about 5 gallons to chip 30 tons of logs at mill.  Assume another 5 misc gallons to load chip truck at mill and other parts of operation.  So…. 30 gallons of diesel / 30 tons of chips from harvest to loaded truck at mill ready for delivery to College</t>
  </si>
  <si>
    <t>Number of deliveries (about 30 tons of wood each)</t>
  </si>
  <si>
    <t>Harvesting:</t>
  </si>
  <si>
    <t>Diesel (gallons) used in log cutter operating for 1/2 hour</t>
  </si>
  <si>
    <t>See above note from Acker Excavating</t>
  </si>
  <si>
    <t>Diesel (gallons) used in skidder operating for 1 hour</t>
  </si>
  <si>
    <t>Transportation:</t>
  </si>
  <si>
    <t>Harvest site to Lathrop (diesel gallons)</t>
  </si>
  <si>
    <t>Lathrop to Midd (diesel gallons)</t>
  </si>
  <si>
    <t>Chipping:</t>
  </si>
  <si>
    <t>Chipping 30 tons of logs (diesel gallons)</t>
  </si>
  <si>
    <t>total gallons of diesel per delivery:</t>
  </si>
  <si>
    <t>TOTAL annual diesel consumption (gallons)</t>
  </si>
  <si>
    <t>https://www.epa.gov/energy/greenhouse-gases-equivalencies-calculator-calculations-and-references</t>
  </si>
  <si>
    <t>This data uses the emissions factor derived from Middlebury's Scope 1 Stationary combustion sheet. Please see scope 1 methodology for more information</t>
  </si>
  <si>
    <t>Please see above note on scope 1 methodology for more information</t>
  </si>
  <si>
    <t>Sequestration:</t>
  </si>
  <si>
    <t>Tons of chips harvested for Midd Biomass:</t>
  </si>
  <si>
    <t>Total harvest in Vermont (cords)</t>
  </si>
  <si>
    <t>https://fpr.vermont.gov/sites/fpr/files/Forest_and_Forestry/Forest_Based_Business/Library/2018%20HARVEST_RPT_FINAL.pdf</t>
  </si>
  <si>
    <t>green tons per cord</t>
  </si>
  <si>
    <t>Total harvest in Vermont (green tons)</t>
  </si>
  <si>
    <t>Percent of VT harvest for Midd:</t>
  </si>
  <si>
    <t>Annual net sequestration in VT MTCDE</t>
  </si>
  <si>
    <t>Only accounts for above ground biomass</t>
  </si>
  <si>
    <t>https://www.fs.fed.us/nrs/pubs/ru/ru_fs119.pdf</t>
  </si>
  <si>
    <t>Relative sequestration to Middlebury's consumption</t>
  </si>
  <si>
    <t>Percent of growth related to harvests:</t>
  </si>
  <si>
    <t>Total Net MTCDE sequestered</t>
  </si>
  <si>
    <t>This is net sequestration (total sequestration - harvests). In other words, this is how much is sequestered AFTER carbon neutrality</t>
  </si>
  <si>
    <t>Total MTCDE in removals</t>
  </si>
  <si>
    <t>Gross sequestration (MTCDE)</t>
  </si>
  <si>
    <t>This is a 'maximum' assumption. In reality, it is incredibly difficult to know how much carbon sequestration is a direct result of the wood products industry. Note that around 58.6% of growth needs to be related to harvests for carbon neutrality to be met</t>
  </si>
  <si>
    <t>FY  15/16</t>
  </si>
  <si>
    <t>NOTE: FY 18/19 data is exact. For back-calculated previous years, it is assumed that deliveries contained roughly 30 tons of chips. This means that the exact nmber of trips is an estimate</t>
  </si>
  <si>
    <t>NOTE: the FY 18/19 calculations are based on the most recent emissions numbers. Prior years are backwards calculated using many of those same emissions factors. As such, prior years are only meant to be an estimate.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</si>
</sst>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5">
    <numFmt numFmtId="5" formatCode="&quot;$&quot;#,##0_);\(&quot;$&quot;#,##0\)"/>
    <numFmt numFmtId="6" formatCode="&quot;$&quot;#,##0_);[Red]\(&quot;$&quot;#,##0\)"/>
    <numFmt numFmtId="8" formatCode="&quot;$&quot;#,##0.00_);[Red]\(&quot;$&quot;#,##0.00\)"/>
    <numFmt numFmtId="44" formatCode="_(&quot;$&quot;* #,##0.00_);_(&quot;$&quot;* \(#,##0.00\);_(&quot;$&quot;* &quot;-&quot;??_);_(@_)"/>
    <numFmt numFmtId="43" formatCode="_(* #,##0.00_);_(* \(#,##0.00\);_(* &quot;-&quot;??_);_(@_)"/>
    <numFmt numFmtId="165" formatCode="0.0000"/>
    <numFmt numFmtId="166" formatCode="0.00000"/>
    <numFmt numFmtId="171" formatCode="0.000"/>
    <numFmt numFmtId="172" formatCode="0.0E+00"/>
    <numFmt numFmtId="173" formatCode="0.0"/>
    <numFmt numFmtId="174" formatCode="#,##0.0"/>
    <numFmt numFmtId="175" formatCode="0.000000"/>
    <numFmt numFmtId="176" formatCode="#,##0.00000"/>
    <numFmt numFmtId="177" formatCode="#,##0.000000"/>
    <numFmt numFmtId="178" formatCode="0.0%"/>
    <numFmt numFmtId="179" formatCode="#,##0.0000"/>
    <numFmt numFmtId="180" formatCode="#,##0.000"/>
    <numFmt numFmtId="181" formatCode="#,##0.0000000"/>
    <numFmt numFmtId="183" formatCode="&quot;$&quot;#,##0.00"/>
    <numFmt numFmtId="185" formatCode="&quot;$&quot;#,##0"/>
    <numFmt numFmtId="187" formatCode="&quot;$&quot;#,##0.000"/>
    <numFmt numFmtId="188" formatCode="0.E+00"/>
    <numFmt numFmtId="192" formatCode="_(&quot;$&quot;* #,##0_);_(&quot;$&quot;* \(#,##0\);_(&quot;$&quot;* &quot;-&quot;??_);_(@_)"/>
    <numFmt numFmtId="201" formatCode="_(* #,##0_);_(* \(#,##0\);_(* &quot;-&quot;??_);_(@_)"/>
    <numFmt numFmtId="206" formatCode="#,##0.0000000_);\(#,##0.0000000\)"/>
  </numFmts>
  <fonts count="93">
    <font>
      <sz val="10"/>
      <name val="Arial"/>
      <family val="2"/>
    </font>
    <font>
      <sz val="10"/>
      <name val="Arial"/>
      <family val="2"/>
    </font>
    <font>
      <b/>
      <sz val="14"/>
      <name val="Arial"/>
      <family val="2"/>
    </font>
    <font>
      <sz val="8"/>
      <name val="Arial"/>
      <family val="2"/>
    </font>
    <font>
      <i/>
      <sz val="10"/>
      <name val="Arial"/>
      <family val="2"/>
    </font>
    <font>
      <b/>
      <sz val="10"/>
      <name val="Arial"/>
      <family val="2"/>
    </font>
    <font>
      <b/>
      <u/>
      <sz val="12"/>
      <name val="Arial"/>
      <family val="2"/>
    </font>
    <font>
      <u/>
      <sz val="10"/>
      <name val="Arial"/>
      <family val="2"/>
    </font>
    <font>
      <u/>
      <sz val="10"/>
      <color indexed="12"/>
      <name val="Arial"/>
      <family val="2"/>
    </font>
    <font>
      <sz val="12"/>
      <name val="Times New Roman"/>
      <family val="1"/>
    </font>
    <font>
      <sz val="10"/>
      <name val="Arial"/>
      <family val="2"/>
    </font>
    <font>
      <vertAlign val="subscript"/>
      <sz val="10"/>
      <name val="Arial"/>
      <family val="2"/>
    </font>
    <font>
      <b/>
      <vertAlign val="subscript"/>
      <sz val="10"/>
      <name val="Arial"/>
      <family val="2"/>
    </font>
    <font>
      <i/>
      <vertAlign val="superscript"/>
      <sz val="10"/>
      <name val="Arial"/>
      <family val="2"/>
    </font>
    <font>
      <b/>
      <sz val="12"/>
      <name val="Times New Roman"/>
      <family val="1"/>
    </font>
    <font>
      <b/>
      <u/>
      <sz val="12"/>
      <name val="Times New Roman"/>
      <family val="1"/>
    </font>
    <font>
      <i/>
      <sz val="12"/>
      <name val="Times New Roman"/>
      <family val="1"/>
    </font>
    <font>
      <u/>
      <sz val="12"/>
      <name val="Times New Roman"/>
      <family val="1"/>
    </font>
    <font>
      <sz val="10"/>
      <color indexed="8"/>
      <name val="Arial"/>
      <family val="2"/>
    </font>
    <font>
      <sz val="8"/>
      <color indexed="81"/>
      <name val="Tahoma"/>
      <family val="2"/>
    </font>
    <font>
      <b/>
      <sz val="8"/>
      <color indexed="81"/>
      <name val="Tahoma"/>
      <family val="2"/>
    </font>
    <font>
      <u/>
      <sz val="10"/>
      <name val="Arial"/>
      <family val="2"/>
    </font>
    <font>
      <b/>
      <sz val="14"/>
      <color indexed="22"/>
      <name val="Arial"/>
      <family val="2"/>
    </font>
    <font>
      <sz val="10"/>
      <color indexed="55"/>
      <name val="Arial"/>
      <family val="2"/>
    </font>
    <font>
      <b/>
      <sz val="12"/>
      <name val="Arial"/>
      <family val="2"/>
    </font>
    <font>
      <b/>
      <sz val="11"/>
      <name val="Arial"/>
      <family val="2"/>
    </font>
    <font>
      <sz val="11"/>
      <name val="Arial"/>
      <family val="2"/>
    </font>
    <font>
      <b/>
      <sz val="14"/>
      <color indexed="9"/>
      <name val="Arial"/>
      <family val="2"/>
    </font>
    <font>
      <b/>
      <u/>
      <sz val="10"/>
      <name val="Arial"/>
      <family val="2"/>
    </font>
    <font>
      <b/>
      <i/>
      <sz val="10"/>
      <name val="Arial"/>
      <family val="2"/>
    </font>
    <font>
      <b/>
      <i/>
      <vertAlign val="superscript"/>
      <sz val="10"/>
      <name val="Arial"/>
      <family val="2"/>
    </font>
    <font>
      <sz val="10"/>
      <name val="Arial"/>
      <family val="2"/>
    </font>
    <font>
      <u/>
      <sz val="10"/>
      <name val="Arial"/>
      <family val="2"/>
    </font>
    <font>
      <sz val="10"/>
      <color indexed="10"/>
      <name val="Arial"/>
      <family val="2"/>
    </font>
    <font>
      <b/>
      <sz val="10"/>
      <name val="Arial"/>
      <family val="2"/>
    </font>
    <font>
      <sz val="9"/>
      <name val="Arial"/>
      <family val="2"/>
    </font>
    <font>
      <b/>
      <sz val="14"/>
      <name val="Garamond"/>
      <family val="1"/>
    </font>
    <font>
      <i/>
      <sz val="12"/>
      <name val="Arial"/>
      <family val="2"/>
    </font>
    <font>
      <b/>
      <sz val="8"/>
      <color indexed="81"/>
      <name val="Tahoma"/>
      <family val="2"/>
    </font>
    <font>
      <sz val="8"/>
      <color indexed="81"/>
      <name val="Tahoma"/>
      <family val="2"/>
    </font>
    <font>
      <b/>
      <sz val="18"/>
      <name val="Garamond"/>
      <family val="1"/>
    </font>
    <font>
      <b/>
      <i/>
      <sz val="12"/>
      <name val="Arial"/>
      <family val="2"/>
    </font>
    <font>
      <sz val="12"/>
      <color indexed="10"/>
      <name val="Arial"/>
      <family val="2"/>
    </font>
    <font>
      <b/>
      <i/>
      <sz val="14"/>
      <name val="Arial"/>
      <family val="2"/>
    </font>
    <font>
      <sz val="14"/>
      <name val="Arial"/>
      <family val="2"/>
    </font>
    <font>
      <u/>
      <sz val="14"/>
      <color indexed="12"/>
      <name val="Arial"/>
      <family val="2"/>
    </font>
    <font>
      <b/>
      <sz val="24"/>
      <name val="Garamond"/>
      <family val="1"/>
    </font>
    <font>
      <sz val="10"/>
      <name val="Arial"/>
      <family val="2"/>
    </font>
    <font>
      <sz val="14"/>
      <name val="Arial"/>
      <family val="2"/>
    </font>
    <font>
      <sz val="10"/>
      <name val="Arial"/>
      <family val="2"/>
    </font>
    <font>
      <sz val="10"/>
      <name val="Arial"/>
      <family val="2"/>
    </font>
    <font>
      <sz val="10"/>
      <name val="Arial"/>
      <family val="2"/>
    </font>
    <font>
      <sz val="8"/>
      <color indexed="81"/>
      <name val="Tahoma"/>
      <family val="2"/>
    </font>
    <font>
      <b/>
      <sz val="10"/>
      <color indexed="10"/>
      <name val="Arial"/>
      <family val="2"/>
    </font>
    <font>
      <sz val="8"/>
      <name val="Verdana"/>
      <family val="2"/>
    </font>
    <font>
      <sz val="11"/>
      <color indexed="8"/>
      <name val="Calibri"/>
      <family val="2"/>
    </font>
    <font>
      <b/>
      <i/>
      <sz val="16"/>
      <name val="Arial"/>
      <family val="2"/>
    </font>
    <font>
      <sz val="9"/>
      <color indexed="81"/>
      <name val="Tahoma"/>
      <family val="2"/>
    </font>
    <font>
      <b/>
      <sz val="9"/>
      <color indexed="81"/>
      <name val="Tahoma"/>
      <family val="2"/>
    </font>
    <font>
      <sz val="10"/>
      <name val="Arial"/>
      <family val="2"/>
    </font>
    <font>
      <sz val="8"/>
      <color indexed="81"/>
      <name val="Tahoma"/>
      <family val="2"/>
    </font>
    <font>
      <b/>
      <sz val="8"/>
      <color indexed="81"/>
      <name val="Tahoma"/>
      <family val="2"/>
    </font>
    <font>
      <sz val="10"/>
      <name val="Arial"/>
      <family val="2"/>
    </font>
    <font>
      <sz val="9"/>
      <color indexed="81"/>
      <name val="Arial"/>
      <family val="2"/>
    </font>
    <font>
      <b/>
      <sz val="9"/>
      <color indexed="81"/>
      <name val="Arial"/>
      <family val="2"/>
    </font>
    <font>
      <sz val="10"/>
      <color indexed="72"/>
      <name val="Arial"/>
      <family val="2"/>
    </font>
    <font>
      <sz val="10"/>
      <color indexed="10"/>
      <name val="Arial"/>
      <family val="2"/>
    </font>
    <font>
      <sz val="12"/>
      <color indexed="63"/>
      <name val="Verdana"/>
      <family val="2"/>
    </font>
    <font>
      <vertAlign val="subscript"/>
      <sz val="12"/>
      <color indexed="63"/>
      <name val="Verdana"/>
      <family val="2"/>
    </font>
    <font>
      <b/>
      <sz val="12"/>
      <color indexed="63"/>
      <name val="Verdana"/>
      <family val="2"/>
    </font>
    <font>
      <b/>
      <sz val="9"/>
      <name val="Microsoft Sans Serif"/>
      <family val="2"/>
    </font>
    <font>
      <sz val="18"/>
      <name val="Arial"/>
      <family val="2"/>
    </font>
    <font>
      <sz val="11"/>
      <name val="Times"/>
      <family val="1"/>
    </font>
    <font>
      <sz val="10"/>
      <name val="Helv"/>
    </font>
    <font>
      <b/>
      <sz val="8"/>
      <color indexed="8"/>
      <name val="Tahoma"/>
      <family val="2"/>
    </font>
    <font>
      <sz val="8"/>
      <color indexed="8"/>
      <name val="Tahoma"/>
      <family val="2"/>
    </font>
    <font>
      <b/>
      <sz val="8"/>
      <color indexed="8"/>
      <name val="Tahoma"/>
      <family val="2"/>
    </font>
    <font>
      <b/>
      <sz val="8"/>
      <color indexed="8"/>
      <name val="Tahoma"/>
      <family val="2"/>
    </font>
    <font>
      <sz val="8"/>
      <color indexed="8"/>
      <name val="Tahoma"/>
      <family val="2"/>
    </font>
    <font>
      <b/>
      <sz val="10"/>
      <color indexed="8"/>
      <name val="Tahoma"/>
      <family val="2"/>
    </font>
    <font>
      <b/>
      <sz val="8"/>
      <color indexed="8"/>
      <name val="Tahoma"/>
      <family val="2"/>
    </font>
    <font>
      <sz val="8"/>
      <color indexed="8"/>
      <name val="Tahoma"/>
      <family val="2"/>
    </font>
    <font>
      <sz val="9"/>
      <color indexed="8"/>
      <name val="Arial"/>
      <family val="2"/>
    </font>
    <font>
      <b/>
      <sz val="8"/>
      <name val="Arial"/>
      <family val="2"/>
    </font>
    <font>
      <sz val="12"/>
      <color rgb="FF333333"/>
      <name val="Verdana"/>
      <family val="2"/>
    </font>
    <font>
      <sz val="10"/>
      <color rgb="FF000000"/>
      <name val="Arial"/>
      <family val="2"/>
    </font>
    <font>
      <sz val="10"/>
      <color rgb="FFFF0000"/>
      <name val="Arial"/>
      <family val="2"/>
    </font>
    <font>
      <sz val="10"/>
      <color theme="5" tint="0.39997558519241921"/>
      <name val="Arial"/>
      <family val="2"/>
    </font>
    <font>
      <b/>
      <sz val="8"/>
      <color theme="1"/>
      <name val="Calibri"/>
      <family val="2"/>
    </font>
    <font>
      <sz val="12"/>
      <color rgb="FF000000"/>
      <name val="Calibri"/>
      <family val="2"/>
    </font>
    <font>
      <b/>
      <sz val="12"/>
      <color theme="1"/>
      <name val="Calibri"/>
      <family val="2"/>
      <scheme val="minor"/>
    </font>
    <font>
      <u/>
      <sz val="12"/>
      <color theme="10"/>
      <name val="Calibri"/>
      <family val="2"/>
      <scheme val="minor"/>
    </font>
    <font>
      <sz val="12"/>
      <color theme="1"/>
      <name val="Calibri"/>
      <family val="2"/>
      <scheme val="minor"/>
    </font>
  </fonts>
  <fills count="47">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indexed="41"/>
        <bgColor indexed="64"/>
      </patternFill>
    </fill>
    <fill>
      <patternFill patternType="solid">
        <fgColor indexed="45"/>
        <bgColor indexed="64"/>
      </patternFill>
    </fill>
    <fill>
      <patternFill patternType="solid">
        <fgColor indexed="46"/>
        <bgColor indexed="64"/>
      </patternFill>
    </fill>
    <fill>
      <patternFill patternType="solid">
        <fgColor indexed="12"/>
        <bgColor indexed="64"/>
      </patternFill>
    </fill>
    <fill>
      <patternFill patternType="solid">
        <fgColor indexed="10"/>
        <bgColor indexed="64"/>
      </patternFill>
    </fill>
    <fill>
      <patternFill patternType="solid">
        <fgColor indexed="55"/>
        <bgColor indexed="64"/>
      </patternFill>
    </fill>
    <fill>
      <patternFill patternType="solid">
        <fgColor indexed="42"/>
        <bgColor indexed="64"/>
      </patternFill>
    </fill>
    <fill>
      <patternFill patternType="solid">
        <fgColor indexed="22"/>
        <bgColor indexed="64"/>
      </patternFill>
    </fill>
    <fill>
      <patternFill patternType="solid">
        <fgColor indexed="51"/>
        <bgColor indexed="64"/>
      </patternFill>
    </fill>
    <fill>
      <patternFill patternType="solid">
        <fgColor indexed="53"/>
        <bgColor indexed="64"/>
      </patternFill>
    </fill>
    <fill>
      <patternFill patternType="solid">
        <fgColor indexed="44"/>
        <bgColor indexed="64"/>
      </patternFill>
    </fill>
    <fill>
      <patternFill patternType="solid">
        <fgColor indexed="29"/>
        <bgColor indexed="64"/>
      </patternFill>
    </fill>
    <fill>
      <patternFill patternType="solid">
        <fgColor indexed="52"/>
        <bgColor indexed="64"/>
      </patternFill>
    </fill>
    <fill>
      <patternFill patternType="solid">
        <fgColor indexed="40"/>
        <bgColor indexed="64"/>
      </patternFill>
    </fill>
    <fill>
      <patternFill patternType="solid">
        <fgColor indexed="47"/>
        <bgColor indexed="64"/>
      </patternFill>
    </fill>
    <fill>
      <patternFill patternType="solid">
        <fgColor indexed="9"/>
        <bgColor indexed="64"/>
      </patternFill>
    </fill>
    <fill>
      <patternFill patternType="solid">
        <fgColor indexed="26"/>
        <bgColor indexed="64"/>
      </patternFill>
    </fill>
    <fill>
      <patternFill patternType="solid">
        <fgColor indexed="11"/>
        <bgColor indexed="64"/>
      </patternFill>
    </fill>
    <fill>
      <patternFill patternType="solid">
        <fgColor indexed="49"/>
        <bgColor indexed="64"/>
      </patternFill>
    </fill>
    <fill>
      <patternFill patternType="solid">
        <fgColor indexed="20"/>
        <bgColor indexed="64"/>
      </patternFill>
    </fill>
    <fill>
      <patternFill patternType="solid">
        <fgColor rgb="FFFFFF00"/>
        <bgColor indexed="64"/>
      </patternFill>
    </fill>
    <fill>
      <patternFill patternType="solid">
        <fgColor rgb="FFFFFF8E"/>
        <bgColor indexed="64"/>
      </patternFill>
    </fill>
    <fill>
      <patternFill patternType="solid">
        <fgColor theme="3" tint="0.79998168889431442"/>
        <bgColor indexed="64"/>
      </patternFill>
    </fill>
    <fill>
      <patternFill patternType="solid">
        <fgColor rgb="FFFF0000"/>
        <bgColor indexed="64"/>
      </patternFill>
    </fill>
    <fill>
      <patternFill patternType="solid">
        <fgColor theme="8" tint="0.79998168889431442"/>
        <bgColor indexed="64"/>
      </patternFill>
    </fill>
    <fill>
      <patternFill patternType="solid">
        <fgColor theme="3" tint="0.59999389629810485"/>
        <bgColor indexed="64"/>
      </patternFill>
    </fill>
    <fill>
      <patternFill patternType="solid">
        <fgColor theme="0"/>
        <bgColor indexed="64"/>
      </patternFill>
    </fill>
    <fill>
      <patternFill patternType="solid">
        <fgColor rgb="FF9ACCFF"/>
        <bgColor indexed="64"/>
      </patternFill>
    </fill>
    <fill>
      <patternFill patternType="solid">
        <fgColor rgb="FF1FB713"/>
        <bgColor indexed="64"/>
      </patternFill>
    </fill>
    <fill>
      <patternFill patternType="solid">
        <fgColor rgb="FFFFFD9A"/>
        <bgColor indexed="64"/>
      </patternFill>
    </fill>
    <fill>
      <patternFill patternType="solid">
        <fgColor rgb="FFFF9ACC"/>
        <bgColor indexed="64"/>
      </patternFill>
    </fill>
    <fill>
      <patternFill patternType="solid">
        <fgColor rgb="FFF3F2EA"/>
      </patternFill>
    </fill>
    <fill>
      <patternFill patternType="solid">
        <fgColor rgb="FFFFFF99"/>
        <bgColor indexed="64"/>
      </patternFill>
    </fill>
    <fill>
      <patternFill patternType="solid">
        <fgColor rgb="FF00B0F0"/>
        <bgColor indexed="64"/>
      </patternFill>
    </fill>
    <fill>
      <patternFill patternType="solid">
        <fgColor rgb="FF00B050"/>
        <bgColor indexed="64"/>
      </patternFill>
    </fill>
    <fill>
      <patternFill patternType="solid">
        <fgColor theme="5" tint="0.39997558519241921"/>
        <bgColor indexed="64"/>
      </patternFill>
    </fill>
    <fill>
      <patternFill patternType="solid">
        <fgColor theme="7"/>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theme="9"/>
        <bgColor indexed="64"/>
      </patternFill>
    </fill>
    <fill>
      <patternFill patternType="solid">
        <fgColor theme="9" tint="0.39997558519241921"/>
        <bgColor indexed="64"/>
      </patternFill>
    </fill>
  </fills>
  <borders count="33">
    <border>
      <left/>
      <right/>
      <top/>
      <bottom/>
      <diagonal/>
    </border>
    <border>
      <left style="thin">
        <color indexed="22"/>
      </left>
      <right style="thin">
        <color indexed="22"/>
      </right>
      <top style="thin">
        <color indexed="22"/>
      </top>
      <bottom style="thin">
        <color indexed="22"/>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hair">
        <color indexed="22"/>
      </left>
      <right style="hair">
        <color indexed="22"/>
      </right>
      <top style="hair">
        <color indexed="22"/>
      </top>
      <bottom style="hair">
        <color indexed="22"/>
      </bottom>
      <diagonal/>
    </border>
    <border>
      <left/>
      <right/>
      <top/>
      <bottom style="thin">
        <color indexed="64"/>
      </bottom>
      <diagonal/>
    </border>
    <border>
      <left style="hair">
        <color indexed="22"/>
      </left>
      <right style="hair">
        <color indexed="22"/>
      </right>
      <top style="hair">
        <color indexed="22"/>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hair">
        <color indexed="22"/>
      </left>
      <right/>
      <top/>
      <bottom style="thin">
        <color indexed="64"/>
      </bottom>
      <diagonal/>
    </border>
    <border>
      <left style="hair">
        <color indexed="22"/>
      </left>
      <right style="hair">
        <color indexed="22"/>
      </right>
      <top/>
      <bottom style="hair">
        <color indexed="22"/>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thin">
        <color indexed="22"/>
      </left>
      <right/>
      <top style="thin">
        <color indexed="22"/>
      </top>
      <bottom/>
      <diagonal/>
    </border>
    <border>
      <left/>
      <right/>
      <top style="thin">
        <color indexed="22"/>
      </top>
      <bottom/>
      <diagonal/>
    </border>
    <border>
      <left style="thin">
        <color indexed="22"/>
      </left>
      <right/>
      <top/>
      <bottom/>
      <diagonal/>
    </border>
    <border>
      <left style="thin">
        <color indexed="22"/>
      </left>
      <right/>
      <top/>
      <bottom style="thin">
        <color indexed="22"/>
      </bottom>
      <diagonal/>
    </border>
    <border>
      <left/>
      <right/>
      <top/>
      <bottom style="thin">
        <color indexed="22"/>
      </bottom>
      <diagonal/>
    </border>
    <border>
      <left style="hair">
        <color rgb="FFC0C0C0"/>
      </left>
      <right style="hair">
        <color rgb="FFC0C0C0"/>
      </right>
      <top style="hair">
        <color rgb="FFC0C0C0"/>
      </top>
      <bottom style="hair">
        <color rgb="FFC0C0C0"/>
      </bottom>
      <diagonal/>
    </border>
    <border>
      <left/>
      <right style="hair">
        <color rgb="FFC0C0C0"/>
      </right>
      <top style="hair">
        <color rgb="FFC0C0C0"/>
      </top>
      <bottom style="hair">
        <color rgb="FFC0C0C0"/>
      </bottom>
      <diagonal/>
    </border>
    <border>
      <left style="hair">
        <color rgb="FFC0C0C0"/>
      </left>
      <right style="hair">
        <color rgb="FFC0C0C0"/>
      </right>
      <top/>
      <bottom style="thin">
        <color indexed="64"/>
      </bottom>
      <diagonal/>
    </border>
    <border>
      <left/>
      <right style="hair">
        <color rgb="FFC0C0C0"/>
      </right>
      <top/>
      <bottom style="thin">
        <color indexed="64"/>
      </bottom>
      <diagonal/>
    </border>
    <border>
      <left style="medium">
        <color rgb="FF979991"/>
      </left>
      <right/>
      <top style="medium">
        <color rgb="FF979991"/>
      </top>
      <bottom style="medium">
        <color rgb="FF979991"/>
      </bottom>
      <diagonal/>
    </border>
    <border>
      <left style="thin">
        <color rgb="FF959595"/>
      </left>
      <right/>
      <top style="thin">
        <color rgb="FF959595"/>
      </top>
      <bottom/>
      <diagonal/>
    </border>
    <border>
      <left style="medium">
        <color rgb="FF979991"/>
      </left>
      <right/>
      <top/>
      <bottom style="medium">
        <color rgb="FF979991"/>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s>
  <cellStyleXfs count="7">
    <xf numFmtId="0" fontId="0" fillId="0" borderId="0"/>
    <xf numFmtId="43" fontId="1" fillId="0" borderId="0" applyFont="0" applyFill="0" applyBorder="0" applyAlignment="0" applyProtection="0"/>
    <xf numFmtId="44" fontId="1" fillId="0" borderId="0" applyFont="0" applyFill="0" applyBorder="0" applyAlignment="0" applyProtection="0"/>
    <xf numFmtId="0" fontId="8" fillId="0" borderId="0" applyNumberFormat="0" applyFill="0" applyBorder="0" applyAlignment="0" applyProtection="0">
      <alignment vertical="top"/>
      <protection locked="0"/>
    </xf>
    <xf numFmtId="0" fontId="55" fillId="0" borderId="0"/>
    <xf numFmtId="0" fontId="18" fillId="0" borderId="0"/>
    <xf numFmtId="9" fontId="1" fillId="0" borderId="0" applyFont="0" applyFill="0" applyBorder="0" applyAlignment="0" applyProtection="0"/>
  </cellStyleXfs>
  <cellXfs count="953">
    <xf numFmtId="0" fontId="0" fillId="0" borderId="0" xfId="0"/>
    <xf numFmtId="0" fontId="4" fillId="0" borderId="0" xfId="0" applyFont="1"/>
    <xf numFmtId="0" fontId="0" fillId="0" borderId="0" xfId="0" applyAlignment="1"/>
    <xf numFmtId="16" fontId="0" fillId="0" borderId="0" xfId="0" applyNumberFormat="1"/>
    <xf numFmtId="0" fontId="6" fillId="0" borderId="0" xfId="0" applyFont="1"/>
    <xf numFmtId="3" fontId="0" fillId="0" borderId="0" xfId="0" applyNumberFormat="1"/>
    <xf numFmtId="0" fontId="7" fillId="0" borderId="0" xfId="0" applyFont="1"/>
    <xf numFmtId="166" fontId="0" fillId="0" borderId="0" xfId="0" applyNumberFormat="1"/>
    <xf numFmtId="0" fontId="10" fillId="0" borderId="0" xfId="0" applyFont="1"/>
    <xf numFmtId="171" fontId="0" fillId="0" borderId="0" xfId="0" applyNumberFormat="1"/>
    <xf numFmtId="0" fontId="5" fillId="0" borderId="0" xfId="0" applyFont="1"/>
    <xf numFmtId="3" fontId="5" fillId="0" borderId="0" xfId="0" applyNumberFormat="1" applyFont="1"/>
    <xf numFmtId="0" fontId="9" fillId="0" borderId="0" xfId="0" applyFont="1"/>
    <xf numFmtId="172" fontId="0" fillId="0" borderId="0" xfId="0" applyNumberFormat="1"/>
    <xf numFmtId="173" fontId="0" fillId="0" borderId="0" xfId="0" applyNumberFormat="1"/>
    <xf numFmtId="173" fontId="5" fillId="0" borderId="0" xfId="0" applyNumberFormat="1" applyFont="1"/>
    <xf numFmtId="0" fontId="0" fillId="0" borderId="2" xfId="0" applyBorder="1"/>
    <xf numFmtId="174" fontId="0" fillId="0" borderId="0" xfId="0" applyNumberFormat="1"/>
    <xf numFmtId="2" fontId="5" fillId="0" borderId="0" xfId="0" applyNumberFormat="1" applyFont="1"/>
    <xf numFmtId="0" fontId="15" fillId="0" borderId="0" xfId="0" applyFont="1"/>
    <xf numFmtId="0" fontId="14" fillId="0" borderId="0" xfId="0" applyFont="1"/>
    <xf numFmtId="0" fontId="9" fillId="0" borderId="0" xfId="0" applyFont="1" applyAlignment="1">
      <alignment horizontal="left" indent="2"/>
    </xf>
    <xf numFmtId="16" fontId="5" fillId="0" borderId="0" xfId="0" applyNumberFormat="1" applyFont="1"/>
    <xf numFmtId="0" fontId="4" fillId="0" borderId="0" xfId="0" applyFont="1" applyBorder="1"/>
    <xf numFmtId="0" fontId="0" fillId="0" borderId="0" xfId="0" applyBorder="1"/>
    <xf numFmtId="0" fontId="10" fillId="0" borderId="0" xfId="0" applyFont="1" applyBorder="1"/>
    <xf numFmtId="0" fontId="0" fillId="2" borderId="0" xfId="0" applyFill="1"/>
    <xf numFmtId="3" fontId="0" fillId="2" borderId="0" xfId="0" applyNumberFormat="1" applyFill="1"/>
    <xf numFmtId="174" fontId="0" fillId="2" borderId="0" xfId="0" applyNumberFormat="1" applyFill="1"/>
    <xf numFmtId="0" fontId="0" fillId="0" borderId="0" xfId="0" applyFill="1"/>
    <xf numFmtId="3" fontId="0" fillId="0" borderId="0" xfId="0" applyNumberFormat="1" applyFill="1"/>
    <xf numFmtId="174" fontId="5" fillId="0" borderId="0" xfId="0" applyNumberFormat="1" applyFont="1"/>
    <xf numFmtId="0" fontId="0" fillId="3" borderId="0" xfId="0" applyFill="1"/>
    <xf numFmtId="0" fontId="10" fillId="2" borderId="0" xfId="0" applyFont="1" applyFill="1"/>
    <xf numFmtId="165" fontId="0" fillId="0" borderId="0" xfId="0" applyNumberFormat="1"/>
    <xf numFmtId="0" fontId="0" fillId="0" borderId="0" xfId="0" applyAlignment="1">
      <alignment horizontal="right"/>
    </xf>
    <xf numFmtId="0" fontId="2" fillId="3" borderId="0" xfId="0" applyFont="1" applyFill="1"/>
    <xf numFmtId="0" fontId="0" fillId="0" borderId="0" xfId="0" applyAlignment="1">
      <alignment wrapText="1"/>
    </xf>
    <xf numFmtId="3" fontId="0" fillId="0" borderId="0" xfId="0" applyNumberFormat="1" applyAlignment="1"/>
    <xf numFmtId="165" fontId="0" fillId="0" borderId="0" xfId="0" applyNumberFormat="1" applyAlignment="1"/>
    <xf numFmtId="171" fontId="0" fillId="0" borderId="0" xfId="0" applyNumberFormat="1" applyAlignment="1"/>
    <xf numFmtId="3" fontId="0" fillId="2" borderId="0" xfId="0" applyNumberFormat="1" applyFill="1" applyAlignment="1"/>
    <xf numFmtId="171" fontId="0" fillId="0" borderId="2" xfId="0" applyNumberFormat="1" applyBorder="1" applyAlignment="1"/>
    <xf numFmtId="171" fontId="0" fillId="0" borderId="0" xfId="0" applyNumberFormat="1" applyFill="1" applyAlignment="1"/>
    <xf numFmtId="3" fontId="0" fillId="0" borderId="0" xfId="0" applyNumberFormat="1" applyFill="1" applyAlignment="1"/>
    <xf numFmtId="0" fontId="0" fillId="0" borderId="2" xfId="0" applyFill="1" applyBorder="1"/>
    <xf numFmtId="3" fontId="0" fillId="0" borderId="2" xfId="0" applyNumberFormat="1" applyFill="1" applyBorder="1" applyAlignment="1"/>
    <xf numFmtId="0" fontId="10" fillId="0" borderId="0" xfId="0" applyFont="1" applyFill="1"/>
    <xf numFmtId="9" fontId="0" fillId="0" borderId="0" xfId="0" applyNumberFormat="1" applyAlignment="1"/>
    <xf numFmtId="9" fontId="0" fillId="0" borderId="2" xfId="0" applyNumberFormat="1" applyFill="1" applyBorder="1" applyAlignment="1"/>
    <xf numFmtId="0" fontId="1" fillId="0" borderId="0" xfId="0" applyFont="1"/>
    <xf numFmtId="3" fontId="1" fillId="0" borderId="0" xfId="0" applyNumberFormat="1" applyFont="1"/>
    <xf numFmtId="177" fontId="1" fillId="0" borderId="0" xfId="0" applyNumberFormat="1" applyFont="1"/>
    <xf numFmtId="178" fontId="0" fillId="0" borderId="0" xfId="0" applyNumberFormat="1" applyAlignment="1"/>
    <xf numFmtId="178" fontId="0" fillId="0" borderId="2" xfId="0" applyNumberFormat="1" applyFill="1" applyBorder="1" applyAlignment="1"/>
    <xf numFmtId="0" fontId="6" fillId="0" borderId="0" xfId="0" applyFont="1" applyFill="1"/>
    <xf numFmtId="180" fontId="1" fillId="0" borderId="0" xfId="0" applyNumberFormat="1" applyFont="1"/>
    <xf numFmtId="175" fontId="0" fillId="0" borderId="0" xfId="0" applyNumberFormat="1" applyBorder="1"/>
    <xf numFmtId="9" fontId="0" fillId="0" borderId="0" xfId="0" applyNumberFormat="1" applyFill="1" applyAlignment="1"/>
    <xf numFmtId="178" fontId="0" fillId="0" borderId="0" xfId="0" applyNumberFormat="1"/>
    <xf numFmtId="0" fontId="7" fillId="0" borderId="0" xfId="0" applyFont="1" applyFill="1"/>
    <xf numFmtId="174" fontId="10" fillId="0" borderId="0" xfId="0" applyNumberFormat="1" applyFont="1" applyFill="1"/>
    <xf numFmtId="16" fontId="0" fillId="0" borderId="0" xfId="0" applyNumberFormat="1" applyFill="1"/>
    <xf numFmtId="0" fontId="5" fillId="0" borderId="0" xfId="0" applyFont="1" applyFill="1"/>
    <xf numFmtId="173" fontId="10" fillId="0" borderId="0" xfId="0" applyNumberFormat="1" applyFont="1" applyFill="1"/>
    <xf numFmtId="174" fontId="0" fillId="0" borderId="0" xfId="0" applyNumberFormat="1" applyFill="1"/>
    <xf numFmtId="0" fontId="4" fillId="0" borderId="0" xfId="0" applyFont="1" applyFill="1"/>
    <xf numFmtId="166" fontId="0" fillId="0" borderId="0" xfId="0" applyNumberFormat="1" applyFill="1"/>
    <xf numFmtId="171" fontId="0" fillId="0" borderId="0" xfId="0" applyNumberFormat="1" applyFill="1"/>
    <xf numFmtId="0" fontId="4" fillId="0" borderId="0" xfId="0" applyFont="1" applyFill="1" applyBorder="1"/>
    <xf numFmtId="0" fontId="0" fillId="0" borderId="0" xfId="0" applyFill="1" applyBorder="1"/>
    <xf numFmtId="0" fontId="10" fillId="0" borderId="0" xfId="0" applyFont="1" applyFill="1" applyBorder="1"/>
    <xf numFmtId="165" fontId="0" fillId="0" borderId="0" xfId="0" applyNumberFormat="1" applyFill="1" applyBorder="1"/>
    <xf numFmtId="174" fontId="5" fillId="0" borderId="0" xfId="0" applyNumberFormat="1" applyFont="1" applyFill="1"/>
    <xf numFmtId="0" fontId="21" fillId="0" borderId="0" xfId="0" applyFont="1" applyFill="1"/>
    <xf numFmtId="2" fontId="10" fillId="0" borderId="0" xfId="0" applyNumberFormat="1" applyFont="1" applyFill="1"/>
    <xf numFmtId="0" fontId="4" fillId="0" borderId="0" xfId="0" applyFont="1" applyAlignment="1"/>
    <xf numFmtId="16" fontId="7" fillId="0" borderId="0" xfId="0" applyNumberFormat="1" applyFont="1"/>
    <xf numFmtId="3" fontId="10" fillId="2" borderId="0" xfId="0" applyNumberFormat="1" applyFont="1" applyFill="1"/>
    <xf numFmtId="181" fontId="10" fillId="0" borderId="0" xfId="0" applyNumberFormat="1" applyFont="1" applyFill="1" applyBorder="1"/>
    <xf numFmtId="0" fontId="23" fillId="0" borderId="0" xfId="0" applyFont="1" applyFill="1"/>
    <xf numFmtId="0" fontId="0" fillId="0" borderId="0" xfId="0" applyAlignment="1">
      <alignment horizontal="left"/>
    </xf>
    <xf numFmtId="166" fontId="0" fillId="0" borderId="0" xfId="0" applyNumberFormat="1" applyBorder="1"/>
    <xf numFmtId="0" fontId="5" fillId="0" borderId="0" xfId="0" applyFont="1" applyBorder="1"/>
    <xf numFmtId="4" fontId="0" fillId="0" borderId="0" xfId="0" applyNumberFormat="1"/>
    <xf numFmtId="0" fontId="24" fillId="0" borderId="0" xfId="0" applyFont="1" applyAlignment="1"/>
    <xf numFmtId="9" fontId="10" fillId="2" borderId="0" xfId="0" applyNumberFormat="1" applyFont="1" applyFill="1"/>
    <xf numFmtId="0" fontId="10" fillId="4" borderId="0" xfId="0" applyFont="1" applyFill="1"/>
    <xf numFmtId="0" fontId="0" fillId="4" borderId="0" xfId="0" applyFill="1"/>
    <xf numFmtId="3" fontId="10" fillId="0" borderId="0" xfId="0" applyNumberFormat="1" applyFont="1" applyFill="1"/>
    <xf numFmtId="0" fontId="5" fillId="0" borderId="0" xfId="0" applyFont="1" applyFill="1" applyBorder="1"/>
    <xf numFmtId="0" fontId="1" fillId="2" borderId="0" xfId="0" applyFont="1" applyFill="1"/>
    <xf numFmtId="165" fontId="0" fillId="4" borderId="0" xfId="0" applyNumberFormat="1" applyFill="1" applyAlignment="1"/>
    <xf numFmtId="171" fontId="0" fillId="4" borderId="0" xfId="0" applyNumberFormat="1" applyFill="1" applyAlignment="1"/>
    <xf numFmtId="165" fontId="0" fillId="4" borderId="0" xfId="0" applyNumberFormat="1" applyFill="1"/>
    <xf numFmtId="171" fontId="0" fillId="0" borderId="0" xfId="0" applyNumberFormat="1" applyBorder="1"/>
    <xf numFmtId="3" fontId="0" fillId="0" borderId="0" xfId="0" applyNumberFormat="1" applyBorder="1"/>
    <xf numFmtId="180" fontId="0" fillId="0" borderId="0" xfId="0" applyNumberFormat="1" applyFill="1"/>
    <xf numFmtId="2" fontId="1" fillId="4" borderId="0" xfId="0" applyNumberFormat="1" applyFont="1" applyFill="1"/>
    <xf numFmtId="174" fontId="0" fillId="4" borderId="0" xfId="0" applyNumberFormat="1" applyFill="1" applyAlignment="1">
      <alignment horizontal="right"/>
    </xf>
    <xf numFmtId="0" fontId="0" fillId="2" borderId="0" xfId="0" applyFill="1" applyBorder="1"/>
    <xf numFmtId="2" fontId="0" fillId="0" borderId="0" xfId="0" applyNumberFormat="1" applyAlignment="1"/>
    <xf numFmtId="165" fontId="5" fillId="0" borderId="0" xfId="0" applyNumberFormat="1" applyFont="1" applyBorder="1"/>
    <xf numFmtId="0" fontId="29" fillId="0" borderId="0" xfId="0" applyFont="1"/>
    <xf numFmtId="0" fontId="29" fillId="0" borderId="0" xfId="0" applyFont="1" applyBorder="1"/>
    <xf numFmtId="0" fontId="6" fillId="0" borderId="0" xfId="0" applyFont="1" applyBorder="1"/>
    <xf numFmtId="172" fontId="0" fillId="0" borderId="0" xfId="0" applyNumberFormat="1" applyBorder="1"/>
    <xf numFmtId="0" fontId="7" fillId="0" borderId="0" xfId="0" applyFont="1" applyBorder="1"/>
    <xf numFmtId="16" fontId="0" fillId="0" borderId="0" xfId="0" applyNumberFormat="1" applyBorder="1"/>
    <xf numFmtId="3" fontId="0" fillId="2" borderId="0" xfId="0" applyNumberFormat="1" applyFill="1" applyBorder="1"/>
    <xf numFmtId="3" fontId="5" fillId="0" borderId="0" xfId="0" applyNumberFormat="1" applyFont="1" applyBorder="1"/>
    <xf numFmtId="173" fontId="5" fillId="0" borderId="0" xfId="0" applyNumberFormat="1" applyFont="1" applyBorder="1"/>
    <xf numFmtId="174" fontId="0" fillId="2" borderId="0" xfId="0" applyNumberFormat="1" applyFill="1" applyBorder="1"/>
    <xf numFmtId="2" fontId="5" fillId="0" borderId="0" xfId="0" applyNumberFormat="1" applyFont="1" applyBorder="1"/>
    <xf numFmtId="173" fontId="10" fillId="4" borderId="0" xfId="0" applyNumberFormat="1" applyFont="1" applyFill="1" applyBorder="1"/>
    <xf numFmtId="174" fontId="5" fillId="0" borderId="0" xfId="0" applyNumberFormat="1" applyFont="1" applyBorder="1"/>
    <xf numFmtId="0" fontId="0" fillId="0" borderId="0" xfId="0" applyAlignment="1">
      <alignment horizontal="left" wrapText="1"/>
    </xf>
    <xf numFmtId="3" fontId="0" fillId="0" borderId="0" xfId="0" applyNumberFormat="1" applyFill="1" applyBorder="1" applyAlignment="1"/>
    <xf numFmtId="3" fontId="0" fillId="2" borderId="0" xfId="0" applyNumberFormat="1" applyFill="1" applyBorder="1" applyAlignment="1"/>
    <xf numFmtId="0" fontId="28" fillId="0" borderId="0" xfId="0" applyFont="1"/>
    <xf numFmtId="16" fontId="6" fillId="0" borderId="0" xfId="0" applyNumberFormat="1" applyFont="1"/>
    <xf numFmtId="0" fontId="1" fillId="0" borderId="0" xfId="0" applyFont="1" applyBorder="1"/>
    <xf numFmtId="3" fontId="1" fillId="0" borderId="0" xfId="0" applyNumberFormat="1" applyFont="1" applyBorder="1"/>
    <xf numFmtId="174" fontId="0" fillId="0" borderId="0" xfId="0" applyNumberFormat="1" applyBorder="1"/>
    <xf numFmtId="171" fontId="5" fillId="0" borderId="0" xfId="0" applyNumberFormat="1" applyFont="1" applyBorder="1"/>
    <xf numFmtId="171" fontId="0" fillId="0" borderId="2" xfId="0" applyNumberFormat="1" applyFill="1" applyBorder="1" applyAlignment="1"/>
    <xf numFmtId="0" fontId="1" fillId="0" borderId="0" xfId="0" applyFont="1" applyFill="1"/>
    <xf numFmtId="0" fontId="1" fillId="0" borderId="0" xfId="0" applyFont="1" applyFill="1" applyBorder="1"/>
    <xf numFmtId="171" fontId="5" fillId="0" borderId="0" xfId="0" applyNumberFormat="1" applyFont="1" applyFill="1" applyBorder="1"/>
    <xf numFmtId="166" fontId="0" fillId="0" borderId="0" xfId="0" applyNumberFormat="1" applyFill="1" applyBorder="1"/>
    <xf numFmtId="175" fontId="5" fillId="0" borderId="0" xfId="0" applyNumberFormat="1" applyFont="1" applyBorder="1"/>
    <xf numFmtId="0" fontId="31" fillId="0" borderId="0" xfId="0" applyFont="1"/>
    <xf numFmtId="3" fontId="1" fillId="0" borderId="0" xfId="0" applyNumberFormat="1" applyFont="1" applyFill="1" applyBorder="1"/>
    <xf numFmtId="16" fontId="5" fillId="0" borderId="0" xfId="0" applyNumberFormat="1" applyFont="1" applyBorder="1"/>
    <xf numFmtId="174" fontId="0" fillId="0" borderId="0" xfId="0" applyNumberFormat="1" applyFill="1" applyBorder="1"/>
    <xf numFmtId="174" fontId="1" fillId="0" borderId="0" xfId="0" applyNumberFormat="1" applyFont="1" applyFill="1" applyBorder="1"/>
    <xf numFmtId="178" fontId="0" fillId="0" borderId="0" xfId="0" applyNumberFormat="1" applyBorder="1"/>
    <xf numFmtId="178" fontId="5" fillId="0" borderId="0" xfId="0" applyNumberFormat="1" applyFont="1" applyBorder="1"/>
    <xf numFmtId="4" fontId="0" fillId="0" borderId="0" xfId="0" applyNumberFormat="1" applyFill="1" applyBorder="1"/>
    <xf numFmtId="173" fontId="10" fillId="0" borderId="0" xfId="0" applyNumberFormat="1" applyFont="1" applyFill="1" applyBorder="1"/>
    <xf numFmtId="0" fontId="29" fillId="0" borderId="0" xfId="0" applyFont="1" applyFill="1" applyBorder="1"/>
    <xf numFmtId="0" fontId="29" fillId="0" borderId="0" xfId="0" applyFont="1" applyFill="1"/>
    <xf numFmtId="0" fontId="4" fillId="0" borderId="0" xfId="0" applyFont="1" applyAlignment="1">
      <alignment wrapText="1"/>
    </xf>
    <xf numFmtId="0" fontId="0" fillId="2" borderId="0" xfId="0" applyFill="1" applyAlignment="1">
      <alignment horizontal="left" wrapText="1"/>
    </xf>
    <xf numFmtId="0" fontId="10" fillId="2" borderId="0" xfId="0" applyFont="1" applyFill="1" applyBorder="1"/>
    <xf numFmtId="180" fontId="0" fillId="0" borderId="0" xfId="0" applyNumberFormat="1" applyFill="1" applyBorder="1"/>
    <xf numFmtId="4" fontId="0" fillId="0" borderId="0" xfId="0" applyNumberFormat="1" applyBorder="1"/>
    <xf numFmtId="0" fontId="6" fillId="0" borderId="0" xfId="0" applyFont="1" applyAlignment="1">
      <alignment wrapText="1"/>
    </xf>
    <xf numFmtId="0" fontId="0" fillId="2" borderId="0" xfId="0" applyFill="1" applyAlignment="1">
      <alignment wrapText="1"/>
    </xf>
    <xf numFmtId="0" fontId="22" fillId="0" borderId="0" xfId="0" applyFont="1" applyFill="1" applyAlignment="1">
      <alignment wrapText="1"/>
    </xf>
    <xf numFmtId="0" fontId="0" fillId="0" borderId="0" xfId="0" applyAlignment="1">
      <alignment wrapText="1" shrinkToFit="1"/>
    </xf>
    <xf numFmtId="4" fontId="10" fillId="0" borderId="0" xfId="0" applyNumberFormat="1" applyFont="1" applyFill="1" applyBorder="1"/>
    <xf numFmtId="0" fontId="0" fillId="5" borderId="0" xfId="0" applyFill="1"/>
    <xf numFmtId="2" fontId="0" fillId="0" borderId="0" xfId="0" applyNumberFormat="1" applyAlignment="1">
      <alignment horizontal="left"/>
    </xf>
    <xf numFmtId="0" fontId="32" fillId="0" borderId="0" xfId="0" applyFont="1" applyFill="1" applyBorder="1"/>
    <xf numFmtId="0" fontId="32" fillId="0" borderId="0" xfId="0" applyFont="1"/>
    <xf numFmtId="0" fontId="5" fillId="5" borderId="0" xfId="0" applyFont="1" applyFill="1" applyBorder="1"/>
    <xf numFmtId="0" fontId="0" fillId="5" borderId="0" xfId="0" applyFill="1" applyBorder="1"/>
    <xf numFmtId="171" fontId="0" fillId="5" borderId="0" xfId="0" applyNumberFormat="1" applyFill="1" applyBorder="1"/>
    <xf numFmtId="2" fontId="0" fillId="5" borderId="0" xfId="0" applyNumberFormat="1" applyFill="1" applyBorder="1"/>
    <xf numFmtId="0" fontId="5" fillId="5" borderId="0" xfId="0" applyFont="1" applyFill="1"/>
    <xf numFmtId="165" fontId="0" fillId="5" borderId="0" xfId="0" applyNumberFormat="1" applyFill="1"/>
    <xf numFmtId="171" fontId="0" fillId="5" borderId="0" xfId="0" applyNumberFormat="1" applyFill="1"/>
    <xf numFmtId="2" fontId="0" fillId="5" borderId="0" xfId="0" applyNumberFormat="1" applyFill="1"/>
    <xf numFmtId="165" fontId="0" fillId="5" borderId="0" xfId="0" applyNumberFormat="1" applyFill="1" applyBorder="1"/>
    <xf numFmtId="0" fontId="1" fillId="5" borderId="0" xfId="0" applyFont="1" applyFill="1"/>
    <xf numFmtId="1" fontId="1" fillId="5" borderId="0" xfId="0" applyNumberFormat="1" applyFont="1" applyFill="1"/>
    <xf numFmtId="173" fontId="1" fillId="5" borderId="0" xfId="0" applyNumberFormat="1" applyFont="1" applyFill="1"/>
    <xf numFmtId="171" fontId="0" fillId="0" borderId="0" xfId="0" applyNumberFormat="1" applyFill="1" applyBorder="1"/>
    <xf numFmtId="0" fontId="25" fillId="0" borderId="0" xfId="0" applyFont="1" applyAlignment="1">
      <alignment wrapText="1"/>
    </xf>
    <xf numFmtId="0" fontId="26" fillId="0" borderId="0" xfId="0" applyFont="1" applyAlignment="1"/>
    <xf numFmtId="0" fontId="0" fillId="0" borderId="0" xfId="0" applyFill="1" applyAlignment="1">
      <alignment horizontal="left"/>
    </xf>
    <xf numFmtId="0" fontId="0" fillId="0" borderId="0" xfId="0" applyFont="1" applyFill="1" applyBorder="1"/>
    <xf numFmtId="173" fontId="10" fillId="2" borderId="0" xfId="0" applyNumberFormat="1" applyFont="1" applyFill="1" applyBorder="1"/>
    <xf numFmtId="2" fontId="10" fillId="2" borderId="0" xfId="0" applyNumberFormat="1" applyFont="1" applyFill="1" applyBorder="1"/>
    <xf numFmtId="0" fontId="6" fillId="0" borderId="0" xfId="0" applyFont="1" applyFill="1" applyBorder="1" applyAlignment="1">
      <alignment horizontal="left"/>
    </xf>
    <xf numFmtId="178" fontId="0" fillId="0" borderId="0" xfId="6" applyNumberFormat="1" applyFont="1"/>
    <xf numFmtId="9" fontId="0" fillId="0" borderId="0" xfId="6" applyFont="1"/>
    <xf numFmtId="178" fontId="31" fillId="0" borderId="0" xfId="6" applyNumberFormat="1" applyFont="1" applyAlignment="1">
      <alignment wrapText="1"/>
    </xf>
    <xf numFmtId="9" fontId="31" fillId="0" borderId="0" xfId="6" applyNumberFormat="1" applyFont="1"/>
    <xf numFmtId="9" fontId="31" fillId="0" borderId="0" xfId="6" applyNumberFormat="1" applyFont="1" applyAlignment="1"/>
    <xf numFmtId="0" fontId="31" fillId="0" borderId="0" xfId="0" applyFont="1" applyBorder="1"/>
    <xf numFmtId="2" fontId="0" fillId="2" borderId="0" xfId="0" applyNumberFormat="1" applyFill="1" applyBorder="1"/>
    <xf numFmtId="1" fontId="10" fillId="2" borderId="0" xfId="0" applyNumberFormat="1" applyFont="1" applyFill="1" applyBorder="1"/>
    <xf numFmtId="1" fontId="0" fillId="2" borderId="0" xfId="0" applyNumberFormat="1" applyFill="1" applyBorder="1"/>
    <xf numFmtId="178" fontId="10" fillId="3" borderId="3" xfId="0" applyNumberFormat="1" applyFont="1" applyFill="1" applyBorder="1"/>
    <xf numFmtId="178" fontId="10" fillId="3" borderId="4" xfId="0" applyNumberFormat="1" applyFont="1" applyFill="1" applyBorder="1"/>
    <xf numFmtId="178" fontId="10" fillId="3" borderId="5" xfId="0" applyNumberFormat="1" applyFont="1" applyFill="1" applyBorder="1"/>
    <xf numFmtId="171" fontId="0" fillId="0" borderId="0" xfId="0" applyNumberFormat="1" applyFill="1" applyBorder="1" applyAlignment="1"/>
    <xf numFmtId="171" fontId="0" fillId="0" borderId="0" xfId="0" applyNumberFormat="1" applyBorder="1" applyAlignment="1"/>
    <xf numFmtId="0" fontId="36" fillId="0" borderId="0" xfId="0" applyFont="1" applyAlignment="1"/>
    <xf numFmtId="0" fontId="0" fillId="6" borderId="0" xfId="0" applyFill="1"/>
    <xf numFmtId="0" fontId="1" fillId="6" borderId="0" xfId="0" applyFont="1" applyFill="1"/>
    <xf numFmtId="0" fontId="5" fillId="6" borderId="0" xfId="0" applyFont="1" applyFill="1"/>
    <xf numFmtId="0" fontId="0" fillId="0" borderId="0" xfId="0" applyFill="1" applyAlignment="1"/>
    <xf numFmtId="9" fontId="10" fillId="2" borderId="0" xfId="0" applyNumberFormat="1" applyFont="1" applyFill="1" applyBorder="1"/>
    <xf numFmtId="0" fontId="37" fillId="0" borderId="0" xfId="0" applyNumberFormat="1" applyFont="1" applyBorder="1" applyAlignment="1">
      <alignment wrapText="1" shrinkToFit="1"/>
    </xf>
    <xf numFmtId="2" fontId="0" fillId="4" borderId="0" xfId="0" applyNumberFormat="1" applyFill="1" applyAlignment="1"/>
    <xf numFmtId="0" fontId="27" fillId="7" borderId="0" xfId="0" applyFont="1" applyFill="1" applyAlignment="1">
      <alignment horizontal="left"/>
    </xf>
    <xf numFmtId="0" fontId="4" fillId="0" borderId="0" xfId="0" applyFont="1" applyFill="1" applyAlignment="1">
      <alignment horizontal="left" wrapText="1"/>
    </xf>
    <xf numFmtId="0" fontId="37" fillId="0" borderId="0" xfId="0" applyNumberFormat="1" applyFont="1" applyBorder="1" applyAlignment="1">
      <alignment horizontal="centerContinuous" wrapText="1" shrinkToFit="1"/>
    </xf>
    <xf numFmtId="0" fontId="0" fillId="0" borderId="0" xfId="0" applyAlignment="1">
      <alignment horizontal="left" vertical="top" wrapText="1"/>
    </xf>
    <xf numFmtId="0" fontId="44" fillId="0" borderId="1" xfId="0" applyFont="1" applyBorder="1"/>
    <xf numFmtId="0" fontId="47" fillId="0" borderId="0" xfId="0" applyFont="1"/>
    <xf numFmtId="3" fontId="47" fillId="0" borderId="0" xfId="0" applyNumberFormat="1" applyFont="1"/>
    <xf numFmtId="174" fontId="47" fillId="0" borderId="0" xfId="0" applyNumberFormat="1" applyFont="1"/>
    <xf numFmtId="0" fontId="47" fillId="0" borderId="0" xfId="0" applyFont="1" applyFill="1"/>
    <xf numFmtId="0" fontId="47" fillId="0" borderId="0" xfId="0" applyFont="1" applyAlignment="1">
      <alignment wrapText="1"/>
    </xf>
    <xf numFmtId="3" fontId="7" fillId="0" borderId="0" xfId="0" applyNumberFormat="1" applyFont="1"/>
    <xf numFmtId="0" fontId="10" fillId="0" borderId="0" xfId="0" applyFont="1" applyAlignment="1">
      <alignment wrapText="1"/>
    </xf>
    <xf numFmtId="16" fontId="10" fillId="0" borderId="0" xfId="0" applyNumberFormat="1" applyFont="1" applyAlignment="1">
      <alignment wrapText="1"/>
    </xf>
    <xf numFmtId="16" fontId="10" fillId="0" borderId="0" xfId="0" applyNumberFormat="1" applyFont="1"/>
    <xf numFmtId="0" fontId="49" fillId="0" borderId="0" xfId="0" applyFont="1"/>
    <xf numFmtId="3" fontId="10" fillId="0" borderId="0" xfId="0" applyNumberFormat="1" applyFont="1"/>
    <xf numFmtId="3" fontId="49" fillId="0" borderId="0" xfId="0" applyNumberFormat="1" applyFont="1"/>
    <xf numFmtId="0" fontId="49" fillId="0" borderId="0" xfId="0" applyFont="1" applyFill="1"/>
    <xf numFmtId="3" fontId="49" fillId="0" borderId="0" xfId="0" applyNumberFormat="1" applyFont="1" applyFill="1"/>
    <xf numFmtId="0" fontId="49" fillId="0" borderId="0" xfId="0" applyFont="1" applyBorder="1"/>
    <xf numFmtId="3" fontId="49" fillId="0" borderId="0" xfId="0" applyNumberFormat="1" applyFont="1" applyBorder="1"/>
    <xf numFmtId="0" fontId="50" fillId="0" borderId="0" xfId="0" applyFont="1"/>
    <xf numFmtId="3" fontId="50" fillId="0" borderId="0" xfId="0" applyNumberFormat="1" applyFont="1"/>
    <xf numFmtId="0" fontId="51" fillId="0" borderId="0" xfId="0" applyFont="1"/>
    <xf numFmtId="3" fontId="51" fillId="0" borderId="0" xfId="0" applyNumberFormat="1" applyFont="1"/>
    <xf numFmtId="0" fontId="48" fillId="0" borderId="0" xfId="0" applyFont="1"/>
    <xf numFmtId="0" fontId="24" fillId="0" borderId="0" xfId="0" applyFont="1"/>
    <xf numFmtId="0" fontId="47" fillId="0" borderId="0" xfId="0" applyFont="1" applyAlignment="1"/>
    <xf numFmtId="0" fontId="5" fillId="0" borderId="0" xfId="0" applyFont="1" applyAlignment="1">
      <alignment wrapText="1"/>
    </xf>
    <xf numFmtId="0" fontId="0" fillId="0" borderId="0" xfId="0" applyProtection="1">
      <protection locked="0"/>
    </xf>
    <xf numFmtId="0" fontId="6" fillId="0" borderId="0" xfId="0" applyFont="1" applyProtection="1">
      <protection locked="0"/>
    </xf>
    <xf numFmtId="0" fontId="5" fillId="0" borderId="0" xfId="0" applyFont="1" applyProtection="1">
      <protection locked="0"/>
    </xf>
    <xf numFmtId="16" fontId="5" fillId="0" borderId="0" xfId="0" applyNumberFormat="1" applyFont="1" applyProtection="1">
      <protection locked="0"/>
    </xf>
    <xf numFmtId="3" fontId="0" fillId="0" borderId="0" xfId="0" applyNumberFormat="1" applyProtection="1">
      <protection locked="0"/>
    </xf>
    <xf numFmtId="174" fontId="0" fillId="0" borderId="0" xfId="0" applyNumberFormat="1" applyProtection="1">
      <protection locked="0"/>
    </xf>
    <xf numFmtId="0" fontId="0" fillId="0" borderId="0" xfId="0" applyAlignment="1" applyProtection="1">
      <protection locked="0"/>
    </xf>
    <xf numFmtId="0" fontId="7" fillId="0" borderId="0" xfId="0" applyFont="1" applyProtection="1">
      <protection locked="0"/>
    </xf>
    <xf numFmtId="173" fontId="10" fillId="4" borderId="0" xfId="0" applyNumberFormat="1" applyFont="1" applyFill="1" applyBorder="1" applyProtection="1">
      <protection locked="0"/>
    </xf>
    <xf numFmtId="0" fontId="0" fillId="2" borderId="0" xfId="0" applyFill="1" applyProtection="1">
      <protection locked="0"/>
    </xf>
    <xf numFmtId="174" fontId="0" fillId="2" borderId="0" xfId="0" applyNumberFormat="1" applyFill="1" applyProtection="1">
      <protection locked="0"/>
    </xf>
    <xf numFmtId="174" fontId="1" fillId="8" borderId="0" xfId="0" applyNumberFormat="1" applyFont="1" applyFill="1" applyBorder="1" applyProtection="1">
      <protection locked="0"/>
    </xf>
    <xf numFmtId="174" fontId="0" fillId="2" borderId="0" xfId="0" applyNumberFormat="1" applyFill="1" applyBorder="1" applyAlignment="1" applyProtection="1">
      <alignment horizontal="right"/>
      <protection locked="0"/>
    </xf>
    <xf numFmtId="0" fontId="10" fillId="0" borderId="0" xfId="0" applyFont="1" applyBorder="1" applyProtection="1">
      <protection locked="0"/>
    </xf>
    <xf numFmtId="3" fontId="0" fillId="0" borderId="0" xfId="0" applyNumberFormat="1" applyBorder="1" applyProtection="1">
      <protection locked="0"/>
    </xf>
    <xf numFmtId="0" fontId="10" fillId="0" borderId="0" xfId="0" applyFont="1" applyFill="1" applyBorder="1" applyProtection="1">
      <protection locked="0"/>
    </xf>
    <xf numFmtId="174" fontId="0" fillId="0" borderId="0" xfId="0" applyNumberFormat="1" applyBorder="1" applyProtection="1">
      <protection locked="0"/>
    </xf>
    <xf numFmtId="0" fontId="5" fillId="0" borderId="0" xfId="0" applyFont="1" applyBorder="1" applyProtection="1">
      <protection locked="0"/>
    </xf>
    <xf numFmtId="174" fontId="5" fillId="0" borderId="0" xfId="0" applyNumberFormat="1" applyFont="1" applyBorder="1" applyProtection="1">
      <protection locked="0"/>
    </xf>
    <xf numFmtId="0" fontId="0" fillId="4" borderId="0" xfId="0" applyFill="1" applyBorder="1" applyProtection="1">
      <protection locked="0"/>
    </xf>
    <xf numFmtId="0" fontId="0" fillId="0" borderId="0" xfId="0" applyBorder="1" applyProtection="1">
      <protection locked="0"/>
    </xf>
    <xf numFmtId="171" fontId="0" fillId="0" borderId="0" xfId="0" applyNumberFormat="1" applyBorder="1" applyProtection="1">
      <protection locked="0"/>
    </xf>
    <xf numFmtId="2" fontId="5" fillId="0" borderId="0" xfId="0" applyNumberFormat="1" applyFont="1" applyBorder="1" applyProtection="1">
      <protection locked="0"/>
    </xf>
    <xf numFmtId="173" fontId="5" fillId="0" borderId="0" xfId="0" applyNumberFormat="1" applyFont="1" applyProtection="1">
      <protection locked="0"/>
    </xf>
    <xf numFmtId="0" fontId="7" fillId="0" borderId="0" xfId="0" applyFont="1" applyFill="1" applyProtection="1">
      <protection locked="0"/>
    </xf>
    <xf numFmtId="174" fontId="5" fillId="0" borderId="0" xfId="0" applyNumberFormat="1" applyFont="1" applyProtection="1">
      <protection locked="0"/>
    </xf>
    <xf numFmtId="0" fontId="0" fillId="4" borderId="0" xfId="0" applyFill="1" applyProtection="1">
      <protection locked="0"/>
    </xf>
    <xf numFmtId="173" fontId="10" fillId="4" borderId="6" xfId="0" applyNumberFormat="1" applyFont="1" applyFill="1" applyBorder="1" applyProtection="1">
      <protection locked="0"/>
    </xf>
    <xf numFmtId="173" fontId="5" fillId="0" borderId="0" xfId="0" applyNumberFormat="1" applyFont="1" applyBorder="1" applyProtection="1">
      <protection locked="0"/>
    </xf>
    <xf numFmtId="0" fontId="6" fillId="0" borderId="0" xfId="0" applyFont="1" applyAlignment="1" applyProtection="1">
      <alignment horizontal="left"/>
      <protection locked="0"/>
    </xf>
    <xf numFmtId="0" fontId="29" fillId="0" borderId="0" xfId="0" applyFont="1" applyProtection="1">
      <protection locked="0"/>
    </xf>
    <xf numFmtId="166" fontId="0" fillId="0" borderId="0" xfId="0" applyNumberFormat="1" applyProtection="1">
      <protection locked="0"/>
    </xf>
    <xf numFmtId="0" fontId="29" fillId="0" borderId="0" xfId="0" applyFont="1" applyBorder="1" applyProtection="1">
      <protection locked="0"/>
    </xf>
    <xf numFmtId="172" fontId="0" fillId="0" borderId="0" xfId="0" applyNumberFormat="1" applyProtection="1">
      <protection locked="0"/>
    </xf>
    <xf numFmtId="171" fontId="0" fillId="0" borderId="0" xfId="0" applyNumberFormat="1" applyProtection="1">
      <protection locked="0"/>
    </xf>
    <xf numFmtId="0" fontId="5" fillId="5" borderId="0" xfId="0" applyFont="1" applyFill="1" applyProtection="1">
      <protection locked="0"/>
    </xf>
    <xf numFmtId="0" fontId="0" fillId="5" borderId="0" xfId="0" applyFill="1" applyProtection="1">
      <protection locked="0"/>
    </xf>
    <xf numFmtId="165" fontId="5" fillId="0" borderId="0" xfId="0" applyNumberFormat="1" applyFont="1" applyBorder="1" applyProtection="1">
      <protection locked="0"/>
    </xf>
    <xf numFmtId="165" fontId="0" fillId="5" borderId="0" xfId="0" applyNumberFormat="1" applyFill="1" applyProtection="1">
      <protection locked="0"/>
    </xf>
    <xf numFmtId="173" fontId="0" fillId="0" borderId="0" xfId="0" applyNumberFormat="1" applyProtection="1">
      <protection locked="0"/>
    </xf>
    <xf numFmtId="171" fontId="0" fillId="5" borderId="0" xfId="0" applyNumberFormat="1" applyFill="1" applyProtection="1">
      <protection locked="0"/>
    </xf>
    <xf numFmtId="0" fontId="32" fillId="0" borderId="0" xfId="0" applyFont="1" applyFill="1" applyProtection="1">
      <protection locked="0"/>
    </xf>
    <xf numFmtId="0" fontId="10" fillId="0" borderId="0" xfId="0" applyFont="1" applyFill="1" applyProtection="1">
      <protection locked="0"/>
    </xf>
    <xf numFmtId="0" fontId="0" fillId="0" borderId="0" xfId="0" applyProtection="1"/>
    <xf numFmtId="0" fontId="0" fillId="0" borderId="0" xfId="0" applyAlignment="1" applyProtection="1">
      <alignment wrapText="1"/>
    </xf>
    <xf numFmtId="0" fontId="6" fillId="0" borderId="0" xfId="0" applyFont="1" applyProtection="1"/>
    <xf numFmtId="0" fontId="5" fillId="0" borderId="0" xfId="0" applyFont="1" applyProtection="1"/>
    <xf numFmtId="16" fontId="5" fillId="0" borderId="0" xfId="0" applyNumberFormat="1" applyFont="1" applyProtection="1"/>
    <xf numFmtId="0" fontId="10" fillId="0" borderId="0" xfId="0" applyFont="1" applyProtection="1"/>
    <xf numFmtId="3" fontId="0" fillId="0" borderId="0" xfId="0" applyNumberFormat="1" applyProtection="1"/>
    <xf numFmtId="174" fontId="0" fillId="0" borderId="0" xfId="0" applyNumberFormat="1" applyProtection="1"/>
    <xf numFmtId="174" fontId="0" fillId="0" borderId="0" xfId="0" applyNumberFormat="1" applyFill="1" applyProtection="1"/>
    <xf numFmtId="0" fontId="10" fillId="0" borderId="0" xfId="0" applyFont="1" applyBorder="1" applyProtection="1"/>
    <xf numFmtId="3" fontId="10" fillId="0" borderId="0" xfId="0" applyNumberFormat="1" applyFont="1" applyFill="1" applyBorder="1" applyProtection="1"/>
    <xf numFmtId="174" fontId="10" fillId="0" borderId="0" xfId="0" applyNumberFormat="1" applyFont="1" applyFill="1" applyProtection="1"/>
    <xf numFmtId="174" fontId="0" fillId="0" borderId="0" xfId="0" applyNumberFormat="1" applyFill="1" applyBorder="1" applyProtection="1"/>
    <xf numFmtId="0" fontId="0" fillId="0" borderId="0" xfId="0" applyBorder="1" applyProtection="1"/>
    <xf numFmtId="0" fontId="0" fillId="0" borderId="0" xfId="0" applyBorder="1" applyAlignment="1" applyProtection="1"/>
    <xf numFmtId="0" fontId="6" fillId="0" borderId="0" xfId="0" applyFont="1" applyBorder="1" applyProtection="1"/>
    <xf numFmtId="0" fontId="7" fillId="0" borderId="0" xfId="0" applyFont="1" applyProtection="1"/>
    <xf numFmtId="16" fontId="0" fillId="0" borderId="0" xfId="0" applyNumberFormat="1" applyProtection="1"/>
    <xf numFmtId="0" fontId="0" fillId="2" borderId="0" xfId="0" applyFill="1" applyProtection="1"/>
    <xf numFmtId="185" fontId="0" fillId="2" borderId="0" xfId="0" applyNumberFormat="1" applyFill="1" applyProtection="1"/>
    <xf numFmtId="0" fontId="0" fillId="0" borderId="0" xfId="0" applyFill="1" applyProtection="1"/>
    <xf numFmtId="44" fontId="1" fillId="6" borderId="0" xfId="2" applyFont="1" applyFill="1" applyBorder="1" applyProtection="1"/>
    <xf numFmtId="3" fontId="0" fillId="0" borderId="0" xfId="0" applyNumberFormat="1" applyBorder="1" applyProtection="1"/>
    <xf numFmtId="0" fontId="10" fillId="0" borderId="0" xfId="0" applyFont="1" applyFill="1" applyBorder="1" applyProtection="1"/>
    <xf numFmtId="174" fontId="0" fillId="0" borderId="0" xfId="0" applyNumberFormat="1" applyBorder="1" applyProtection="1"/>
    <xf numFmtId="0" fontId="5" fillId="0" borderId="0" xfId="0" applyFont="1" applyBorder="1" applyProtection="1"/>
    <xf numFmtId="174" fontId="5" fillId="0" borderId="0" xfId="0" applyNumberFormat="1" applyFont="1" applyBorder="1" applyProtection="1"/>
    <xf numFmtId="0" fontId="0" fillId="4" borderId="0" xfId="0" applyFill="1" applyBorder="1" applyProtection="1"/>
    <xf numFmtId="173" fontId="10" fillId="4" borderId="0" xfId="0" applyNumberFormat="1" applyFont="1" applyFill="1" applyBorder="1" applyProtection="1"/>
    <xf numFmtId="171" fontId="0" fillId="0" borderId="0" xfId="0" applyNumberFormat="1" applyBorder="1" applyProtection="1"/>
    <xf numFmtId="2" fontId="5" fillId="0" borderId="0" xfId="0" applyNumberFormat="1" applyFont="1" applyBorder="1" applyProtection="1"/>
    <xf numFmtId="173" fontId="5" fillId="0" borderId="0" xfId="0" applyNumberFormat="1" applyFont="1" applyBorder="1" applyProtection="1"/>
    <xf numFmtId="174" fontId="5" fillId="0" borderId="0" xfId="0" applyNumberFormat="1" applyFont="1" applyProtection="1"/>
    <xf numFmtId="0" fontId="0" fillId="0" borderId="0" xfId="0" applyAlignment="1" applyProtection="1"/>
    <xf numFmtId="0" fontId="7" fillId="0" borderId="0" xfId="0" applyFont="1" applyFill="1" applyProtection="1"/>
    <xf numFmtId="185" fontId="0" fillId="0" borderId="0" xfId="0" applyNumberFormat="1" applyFill="1" applyProtection="1"/>
    <xf numFmtId="0" fontId="0" fillId="4" borderId="0" xfId="0" applyFill="1" applyProtection="1"/>
    <xf numFmtId="183" fontId="0" fillId="4" borderId="0" xfId="0" applyNumberFormat="1" applyFill="1" applyProtection="1"/>
    <xf numFmtId="183" fontId="0" fillId="4" borderId="0" xfId="0" applyNumberFormat="1" applyFill="1" applyBorder="1" applyProtection="1"/>
    <xf numFmtId="3" fontId="0" fillId="4" borderId="0" xfId="0" applyNumberFormat="1" applyFill="1" applyProtection="1"/>
    <xf numFmtId="3" fontId="0" fillId="4" borderId="0" xfId="0" applyNumberFormat="1" applyFill="1" applyBorder="1" applyProtection="1"/>
    <xf numFmtId="185" fontId="0" fillId="4" borderId="0" xfId="0" applyNumberFormat="1" applyFill="1" applyBorder="1" applyProtection="1"/>
    <xf numFmtId="0" fontId="0" fillId="0" borderId="0" xfId="0" applyFill="1" applyBorder="1" applyProtection="1"/>
    <xf numFmtId="3" fontId="0" fillId="0" borderId="0" xfId="0" applyNumberFormat="1" applyFill="1" applyBorder="1" applyProtection="1"/>
    <xf numFmtId="0" fontId="0" fillId="0" borderId="0" xfId="0" applyAlignment="1" applyProtection="1">
      <alignment horizontal="left" vertical="top" wrapText="1"/>
    </xf>
    <xf numFmtId="0" fontId="1" fillId="2" borderId="0" xfId="0" applyFont="1" applyFill="1" applyProtection="1"/>
    <xf numFmtId="185" fontId="1" fillId="2" borderId="0" xfId="0" applyNumberFormat="1" applyFont="1" applyFill="1" applyProtection="1"/>
    <xf numFmtId="192" fontId="0" fillId="4" borderId="0" xfId="2" applyNumberFormat="1" applyFont="1" applyFill="1" applyAlignment="1" applyProtection="1">
      <alignment horizontal="right"/>
    </xf>
    <xf numFmtId="185" fontId="0" fillId="4" borderId="0" xfId="0" applyNumberFormat="1" applyFill="1" applyProtection="1"/>
    <xf numFmtId="183" fontId="0" fillId="0" borderId="0" xfId="0" applyNumberFormat="1" applyFill="1" applyProtection="1"/>
    <xf numFmtId="4" fontId="0" fillId="0" borderId="0" xfId="0" applyNumberFormat="1" applyFill="1" applyProtection="1"/>
    <xf numFmtId="179" fontId="0" fillId="0" borderId="0" xfId="0" applyNumberFormat="1" applyFill="1" applyBorder="1" applyProtection="1"/>
    <xf numFmtId="171" fontId="5" fillId="0" borderId="0" xfId="0" applyNumberFormat="1" applyFont="1" applyBorder="1" applyProtection="1"/>
    <xf numFmtId="9" fontId="1" fillId="2" borderId="0" xfId="0" applyNumberFormat="1" applyFont="1" applyFill="1" applyProtection="1"/>
    <xf numFmtId="0" fontId="0" fillId="4" borderId="0" xfId="0" applyNumberFormat="1" applyFill="1" applyProtection="1"/>
    <xf numFmtId="0" fontId="0" fillId="4" borderId="0" xfId="0" applyNumberFormat="1" applyFill="1" applyBorder="1" applyProtection="1"/>
    <xf numFmtId="187" fontId="0" fillId="0" borderId="0" xfId="0" applyNumberFormat="1" applyFill="1" applyProtection="1"/>
    <xf numFmtId="187" fontId="0" fillId="0" borderId="0" xfId="0" applyNumberFormat="1" applyFill="1" applyBorder="1" applyProtection="1"/>
    <xf numFmtId="3" fontId="0" fillId="0" borderId="0" xfId="0" applyNumberFormat="1" applyFill="1" applyProtection="1"/>
    <xf numFmtId="0" fontId="5" fillId="0" borderId="0" xfId="0" applyFont="1" applyFill="1" applyProtection="1"/>
    <xf numFmtId="0" fontId="0" fillId="6" borderId="0" xfId="0" applyFill="1" applyProtection="1"/>
    <xf numFmtId="3" fontId="0" fillId="6" borderId="0" xfId="0" applyNumberFormat="1" applyFill="1" applyProtection="1"/>
    <xf numFmtId="3" fontId="0" fillId="6" borderId="0" xfId="0" applyNumberFormat="1" applyFill="1" applyBorder="1" applyProtection="1"/>
    <xf numFmtId="183" fontId="0" fillId="0" borderId="0" xfId="0" applyNumberFormat="1" applyBorder="1" applyProtection="1"/>
    <xf numFmtId="0" fontId="10" fillId="6" borderId="0" xfId="0" applyFont="1" applyFill="1" applyBorder="1" applyProtection="1"/>
    <xf numFmtId="174" fontId="10" fillId="6" borderId="0" xfId="0" applyNumberFormat="1" applyFont="1" applyFill="1" applyBorder="1" applyProtection="1"/>
    <xf numFmtId="3" fontId="10" fillId="0" borderId="0" xfId="0" applyNumberFormat="1" applyFont="1" applyBorder="1" applyProtection="1"/>
    <xf numFmtId="185" fontId="1" fillId="2" borderId="0" xfId="0" applyNumberFormat="1" applyFont="1" applyFill="1" applyBorder="1" applyProtection="1"/>
    <xf numFmtId="174" fontId="0" fillId="4" borderId="0" xfId="0" applyNumberFormat="1" applyFill="1" applyProtection="1"/>
    <xf numFmtId="174" fontId="0" fillId="4" borderId="0" xfId="0" applyNumberFormat="1" applyFill="1" applyBorder="1" applyProtection="1"/>
    <xf numFmtId="0" fontId="0" fillId="0" borderId="0" xfId="0" applyNumberFormat="1" applyFill="1" applyBorder="1" applyProtection="1"/>
    <xf numFmtId="165" fontId="0" fillId="0" borderId="0" xfId="0" applyNumberFormat="1" applyBorder="1" applyProtection="1"/>
    <xf numFmtId="166" fontId="0" fillId="0" borderId="0" xfId="0" applyNumberFormat="1" applyBorder="1" applyProtection="1"/>
    <xf numFmtId="0" fontId="29" fillId="0" borderId="0" xfId="0" applyFont="1" applyFill="1" applyProtection="1"/>
    <xf numFmtId="188" fontId="0" fillId="0" borderId="0" xfId="0" applyNumberFormat="1" applyFill="1" applyProtection="1"/>
    <xf numFmtId="0" fontId="29" fillId="0" borderId="0" xfId="0" applyFont="1" applyProtection="1"/>
    <xf numFmtId="166" fontId="0" fillId="0" borderId="0" xfId="0" applyNumberFormat="1" applyProtection="1"/>
    <xf numFmtId="0" fontId="29" fillId="0" borderId="0" xfId="0" applyFont="1" applyBorder="1" applyProtection="1"/>
    <xf numFmtId="172" fontId="31" fillId="0" borderId="0" xfId="0" applyNumberFormat="1" applyFont="1" applyProtection="1"/>
    <xf numFmtId="0" fontId="29" fillId="0" borderId="0" xfId="0" applyFont="1" applyFill="1" applyBorder="1" applyProtection="1"/>
    <xf numFmtId="4" fontId="0" fillId="0" borderId="0" xfId="0" applyNumberFormat="1" applyFill="1" applyBorder="1" applyProtection="1"/>
    <xf numFmtId="0" fontId="5" fillId="5" borderId="0" xfId="0" applyFont="1" applyFill="1" applyProtection="1"/>
    <xf numFmtId="0" fontId="0" fillId="5" borderId="0" xfId="0" applyFill="1" applyProtection="1"/>
    <xf numFmtId="171" fontId="0" fillId="0" borderId="0" xfId="0" applyNumberFormat="1" applyProtection="1"/>
    <xf numFmtId="165" fontId="5" fillId="0" borderId="0" xfId="0" applyNumberFormat="1" applyFont="1" applyBorder="1" applyProtection="1"/>
    <xf numFmtId="165" fontId="0" fillId="5" borderId="0" xfId="0" applyNumberFormat="1" applyFill="1" applyProtection="1"/>
    <xf numFmtId="0" fontId="5" fillId="5" borderId="0" xfId="0" applyFont="1" applyFill="1" applyBorder="1" applyProtection="1"/>
    <xf numFmtId="165" fontId="0" fillId="5" borderId="0" xfId="0" applyNumberFormat="1" applyFill="1" applyBorder="1" applyProtection="1"/>
    <xf numFmtId="171" fontId="0" fillId="5" borderId="0" xfId="0" applyNumberFormat="1" applyFill="1" applyProtection="1"/>
    <xf numFmtId="0" fontId="32" fillId="0" borderId="0" xfId="0" applyFont="1" applyProtection="1"/>
    <xf numFmtId="0" fontId="9" fillId="0" borderId="0" xfId="0" applyFont="1" applyAlignment="1" applyProtection="1">
      <alignment horizontal="left" indent="2"/>
    </xf>
    <xf numFmtId="166" fontId="5" fillId="0" borderId="0" xfId="0" applyNumberFormat="1" applyFont="1" applyBorder="1" applyProtection="1"/>
    <xf numFmtId="3" fontId="0" fillId="5" borderId="0" xfId="0" applyNumberFormat="1" applyFill="1" applyProtection="1"/>
    <xf numFmtId="4" fontId="0" fillId="5" borderId="0" xfId="0" applyNumberFormat="1" applyFill="1" applyProtection="1"/>
    <xf numFmtId="179" fontId="0" fillId="5" borderId="0" xfId="0" applyNumberFormat="1" applyFill="1" applyBorder="1" applyProtection="1"/>
    <xf numFmtId="2" fontId="0" fillId="5" borderId="0" xfId="0" applyNumberFormat="1" applyFill="1" applyProtection="1"/>
    <xf numFmtId="180" fontId="10" fillId="5" borderId="0" xfId="0" applyNumberFormat="1" applyFont="1" applyFill="1" applyProtection="1"/>
    <xf numFmtId="0" fontId="0" fillId="5" borderId="0" xfId="0" applyFill="1" applyBorder="1" applyProtection="1"/>
    <xf numFmtId="0" fontId="1" fillId="4" borderId="0" xfId="0" applyFont="1" applyFill="1"/>
    <xf numFmtId="0" fontId="0" fillId="0" borderId="1" xfId="0" applyFill="1" applyBorder="1"/>
    <xf numFmtId="185" fontId="0" fillId="2" borderId="7" xfId="0" applyNumberFormat="1" applyFill="1" applyBorder="1"/>
    <xf numFmtId="9" fontId="0" fillId="2" borderId="0" xfId="0" applyNumberFormat="1" applyFill="1" applyProtection="1"/>
    <xf numFmtId="6" fontId="0" fillId="4" borderId="0" xfId="0" applyNumberFormat="1" applyFill="1" applyProtection="1"/>
    <xf numFmtId="4" fontId="0" fillId="4" borderId="0" xfId="0" applyNumberFormat="1" applyFill="1" applyProtection="1"/>
    <xf numFmtId="8" fontId="0" fillId="4" borderId="0" xfId="0" applyNumberFormat="1" applyFill="1" applyProtection="1"/>
    <xf numFmtId="8" fontId="0" fillId="6" borderId="0" xfId="0" applyNumberFormat="1" applyFill="1" applyProtection="1"/>
    <xf numFmtId="173" fontId="0" fillId="4" borderId="0" xfId="0" applyNumberFormat="1" applyFill="1" applyProtection="1"/>
    <xf numFmtId="2" fontId="0" fillId="4" borderId="0" xfId="0" applyNumberFormat="1" applyFill="1"/>
    <xf numFmtId="178" fontId="0" fillId="2" borderId="0" xfId="0" applyNumberFormat="1" applyFill="1"/>
    <xf numFmtId="174" fontId="47" fillId="2" borderId="0" xfId="0" applyNumberFormat="1" applyFont="1" applyFill="1"/>
    <xf numFmtId="3" fontId="47" fillId="2" borderId="0" xfId="0" applyNumberFormat="1" applyFont="1" applyFill="1"/>
    <xf numFmtId="0" fontId="47" fillId="2" borderId="0" xfId="0" applyFont="1" applyFill="1"/>
    <xf numFmtId="173" fontId="0" fillId="2" borderId="0" xfId="0" applyNumberFormat="1" applyFill="1"/>
    <xf numFmtId="3" fontId="0" fillId="0" borderId="1" xfId="0" applyNumberFormat="1" applyFill="1" applyBorder="1"/>
    <xf numFmtId="3" fontId="0" fillId="0" borderId="0" xfId="0" applyNumberFormat="1" applyFill="1" applyBorder="1"/>
    <xf numFmtId="2" fontId="47" fillId="4" borderId="0" xfId="0" applyNumberFormat="1" applyFont="1" applyFill="1"/>
    <xf numFmtId="3" fontId="1" fillId="0" borderId="0" xfId="0" applyNumberFormat="1" applyFont="1" applyFill="1"/>
    <xf numFmtId="0" fontId="6" fillId="0" borderId="0" xfId="0" applyFont="1" applyAlignment="1"/>
    <xf numFmtId="0" fontId="4" fillId="0" borderId="0" xfId="0" applyFont="1" applyAlignment="1">
      <alignment horizontal="left" wrapText="1"/>
    </xf>
    <xf numFmtId="0" fontId="27" fillId="9" borderId="0" xfId="0" applyFont="1" applyFill="1" applyAlignment="1">
      <alignment horizontal="left"/>
    </xf>
    <xf numFmtId="16" fontId="1" fillId="0" borderId="0" xfId="0" applyNumberFormat="1" applyFont="1"/>
    <xf numFmtId="0" fontId="28" fillId="0" borderId="0" xfId="0" applyFont="1" applyFill="1"/>
    <xf numFmtId="4" fontId="1" fillId="0" borderId="0" xfId="0" applyNumberFormat="1" applyFont="1"/>
    <xf numFmtId="0" fontId="27" fillId="6" borderId="0" xfId="0" applyFont="1" applyFill="1" applyAlignment="1">
      <alignment horizontal="left"/>
    </xf>
    <xf numFmtId="0" fontId="0" fillId="9" borderId="0" xfId="0" applyFill="1"/>
    <xf numFmtId="0" fontId="27" fillId="0" borderId="0" xfId="0" applyFont="1" applyFill="1" applyAlignment="1">
      <alignment horizontal="left"/>
    </xf>
    <xf numFmtId="0" fontId="0" fillId="0" borderId="0" xfId="0" applyAlignment="1">
      <alignment horizontal="center" vertical="top"/>
    </xf>
    <xf numFmtId="0" fontId="0" fillId="0" borderId="0" xfId="0" applyAlignment="1">
      <alignment horizontal="left" vertical="center"/>
    </xf>
    <xf numFmtId="16" fontId="10" fillId="0" borderId="0" xfId="0" applyNumberFormat="1" applyFont="1" applyAlignment="1">
      <alignment horizontal="left" vertical="top" wrapText="1"/>
    </xf>
    <xf numFmtId="6" fontId="0" fillId="2" borderId="0" xfId="0" applyNumberFormat="1" applyFill="1" applyProtection="1"/>
    <xf numFmtId="6" fontId="1" fillId="2" borderId="0" xfId="0" applyNumberFormat="1" applyFont="1" applyFill="1" applyProtection="1"/>
    <xf numFmtId="2" fontId="10" fillId="0" borderId="0" xfId="0" applyNumberFormat="1" applyFont="1" applyFill="1" applyBorder="1"/>
    <xf numFmtId="0" fontId="5" fillId="4" borderId="0" xfId="0" applyFont="1" applyFill="1"/>
    <xf numFmtId="4" fontId="1" fillId="4" borderId="0" xfId="0" applyNumberFormat="1" applyFont="1" applyFill="1" applyAlignment="1">
      <alignment horizontal="right"/>
    </xf>
    <xf numFmtId="0" fontId="4" fillId="4" borderId="0" xfId="0" applyFont="1" applyFill="1"/>
    <xf numFmtId="0" fontId="0" fillId="2" borderId="0" xfId="0" applyFill="1" applyAlignment="1">
      <alignment horizontal="left"/>
    </xf>
    <xf numFmtId="0" fontId="4" fillId="0" borderId="0" xfId="0" applyFont="1" applyAlignment="1">
      <alignment horizontal="left"/>
    </xf>
    <xf numFmtId="0" fontId="5" fillId="2" borderId="0" xfId="0" applyFont="1" applyFill="1"/>
    <xf numFmtId="201" fontId="10" fillId="2" borderId="0" xfId="1" applyNumberFormat="1" applyFont="1" applyFill="1"/>
    <xf numFmtId="4" fontId="0" fillId="2" borderId="0" xfId="0" applyNumberFormat="1" applyFill="1"/>
    <xf numFmtId="0" fontId="5" fillId="0" borderId="0" xfId="0" applyFont="1" applyAlignment="1">
      <alignment horizontal="left"/>
    </xf>
    <xf numFmtId="16" fontId="5" fillId="10" borderId="0" xfId="0" applyNumberFormat="1" applyFont="1" applyFill="1"/>
    <xf numFmtId="16" fontId="0" fillId="10" borderId="0" xfId="0" applyNumberFormat="1" applyFill="1"/>
    <xf numFmtId="0" fontId="0" fillId="10" borderId="0" xfId="0" applyFill="1"/>
    <xf numFmtId="0" fontId="10" fillId="10" borderId="0" xfId="0" applyFont="1" applyFill="1"/>
    <xf numFmtId="0" fontId="1" fillId="10" borderId="0" xfId="0" applyFont="1" applyFill="1"/>
    <xf numFmtId="16" fontId="5" fillId="6" borderId="0" xfId="0" applyNumberFormat="1" applyFont="1" applyFill="1"/>
    <xf numFmtId="2" fontId="10" fillId="6" borderId="0" xfId="0" applyNumberFormat="1" applyFont="1" applyFill="1"/>
    <xf numFmtId="0" fontId="10" fillId="6" borderId="0" xfId="0" applyFont="1" applyFill="1"/>
    <xf numFmtId="171" fontId="10" fillId="6" borderId="0" xfId="0" applyNumberFormat="1" applyFont="1" applyFill="1"/>
    <xf numFmtId="2" fontId="1" fillId="6" borderId="0" xfId="0" applyNumberFormat="1" applyFont="1" applyFill="1"/>
    <xf numFmtId="4" fontId="0" fillId="6" borderId="1" xfId="0" applyNumberFormat="1" applyFill="1" applyBorder="1"/>
    <xf numFmtId="2" fontId="10" fillId="6" borderId="0" xfId="0" applyNumberFormat="1" applyFont="1" applyFill="1" applyBorder="1"/>
    <xf numFmtId="0" fontId="0" fillId="11" borderId="0" xfId="0" applyFill="1"/>
    <xf numFmtId="2" fontId="10" fillId="11" borderId="0" xfId="0" applyNumberFormat="1" applyFont="1" applyFill="1"/>
    <xf numFmtId="0" fontId="10" fillId="11" borderId="0" xfId="0" applyFont="1" applyFill="1"/>
    <xf numFmtId="0" fontId="1" fillId="11" borderId="0" xfId="0" applyFont="1" applyFill="1"/>
    <xf numFmtId="16" fontId="5" fillId="11" borderId="0" xfId="0" applyNumberFormat="1" applyFont="1" applyFill="1"/>
    <xf numFmtId="0" fontId="0" fillId="11" borderId="0" xfId="0" applyFont="1" applyFill="1"/>
    <xf numFmtId="0" fontId="10" fillId="11" borderId="0" xfId="0" applyFont="1" applyFill="1" applyBorder="1"/>
    <xf numFmtId="0" fontId="0" fillId="12" borderId="0" xfId="0" applyFill="1"/>
    <xf numFmtId="0" fontId="21" fillId="12" borderId="0" xfId="0" applyFont="1" applyFill="1"/>
    <xf numFmtId="1" fontId="10" fillId="12" borderId="0" xfId="0" applyNumberFormat="1" applyFont="1" applyFill="1"/>
    <xf numFmtId="2" fontId="10" fillId="12" borderId="0" xfId="0" applyNumberFormat="1" applyFont="1" applyFill="1"/>
    <xf numFmtId="2" fontId="1" fillId="12" borderId="0" xfId="0" applyNumberFormat="1" applyFont="1" applyFill="1"/>
    <xf numFmtId="174" fontId="5" fillId="0" borderId="0" xfId="0" applyNumberFormat="1" applyFont="1" applyFill="1" applyBorder="1"/>
    <xf numFmtId="2" fontId="5" fillId="0" borderId="0" xfId="0" applyNumberFormat="1" applyFont="1" applyFill="1" applyBorder="1"/>
    <xf numFmtId="173" fontId="5" fillId="0" borderId="0" xfId="0" applyNumberFormat="1" applyFont="1" applyFill="1"/>
    <xf numFmtId="0" fontId="4" fillId="13" borderId="0" xfId="0" applyFont="1" applyFill="1"/>
    <xf numFmtId="0" fontId="0" fillId="13" borderId="0" xfId="0" applyFill="1"/>
    <xf numFmtId="174" fontId="0" fillId="13" borderId="0" xfId="0" applyNumberFormat="1" applyFill="1"/>
    <xf numFmtId="0" fontId="10" fillId="12" borderId="0" xfId="0" applyFont="1" applyFill="1"/>
    <xf numFmtId="0" fontId="1" fillId="12" borderId="0" xfId="0" applyFont="1" applyFill="1"/>
    <xf numFmtId="0" fontId="7" fillId="12" borderId="0" xfId="0" applyFont="1" applyFill="1"/>
    <xf numFmtId="2" fontId="1" fillId="0" borderId="0" xfId="0" applyNumberFormat="1" applyFont="1" applyFill="1"/>
    <xf numFmtId="174" fontId="31" fillId="0" borderId="0" xfId="0" applyNumberFormat="1" applyFont="1" applyAlignment="1">
      <alignment wrapText="1"/>
    </xf>
    <xf numFmtId="174" fontId="31" fillId="0" borderId="0" xfId="0" applyNumberFormat="1" applyFont="1" applyFill="1" applyAlignment="1">
      <alignment wrapText="1"/>
    </xf>
    <xf numFmtId="174" fontId="33" fillId="0" borderId="0" xfId="0" applyNumberFormat="1" applyFont="1" applyAlignment="1">
      <alignment wrapText="1"/>
    </xf>
    <xf numFmtId="174" fontId="33" fillId="0" borderId="0" xfId="0" applyNumberFormat="1" applyFont="1" applyFill="1" applyAlignment="1">
      <alignment wrapText="1"/>
    </xf>
    <xf numFmtId="173" fontId="1" fillId="4" borderId="0" xfId="0" applyNumberFormat="1" applyFont="1" applyFill="1" applyBorder="1" applyProtection="1">
      <protection locked="0"/>
    </xf>
    <xf numFmtId="173" fontId="1" fillId="4" borderId="0" xfId="0" applyNumberFormat="1" applyFont="1" applyFill="1" applyBorder="1"/>
    <xf numFmtId="0" fontId="0" fillId="2" borderId="7" xfId="0" applyFill="1" applyBorder="1"/>
    <xf numFmtId="16" fontId="7" fillId="0" borderId="0" xfId="0" applyNumberFormat="1" applyFont="1" applyFill="1" applyBorder="1"/>
    <xf numFmtId="3" fontId="0" fillId="2" borderId="7" xfId="0" applyNumberFormat="1" applyFill="1" applyBorder="1"/>
    <xf numFmtId="4" fontId="55" fillId="2" borderId="0" xfId="4" applyNumberFormat="1" applyFill="1"/>
    <xf numFmtId="4" fontId="18" fillId="2" borderId="1" xfId="5" applyNumberFormat="1" applyFont="1" applyFill="1" applyBorder="1" applyAlignment="1">
      <alignment horizontal="right" wrapText="1"/>
    </xf>
    <xf numFmtId="3" fontId="1" fillId="2" borderId="0" xfId="0" applyNumberFormat="1" applyFont="1" applyFill="1"/>
    <xf numFmtId="6" fontId="0" fillId="4" borderId="0" xfId="0" applyNumberFormat="1" applyFill="1"/>
    <xf numFmtId="9" fontId="0" fillId="2" borderId="0" xfId="0" applyNumberFormat="1" applyFill="1"/>
    <xf numFmtId="3" fontId="0" fillId="6" borderId="0" xfId="0" applyNumberFormat="1" applyFill="1"/>
    <xf numFmtId="8" fontId="0" fillId="6" borderId="0" xfId="0" applyNumberFormat="1" applyFill="1"/>
    <xf numFmtId="2" fontId="0" fillId="4" borderId="0" xfId="0" applyNumberFormat="1" applyFill="1" applyBorder="1" applyAlignment="1"/>
    <xf numFmtId="2" fontId="1" fillId="4" borderId="0" xfId="0" applyNumberFormat="1" applyFont="1" applyFill="1" applyBorder="1" applyAlignment="1"/>
    <xf numFmtId="2" fontId="1" fillId="4" borderId="0" xfId="0" applyNumberFormat="1" applyFont="1" applyFill="1" applyBorder="1"/>
    <xf numFmtId="0" fontId="0" fillId="4" borderId="0" xfId="0" applyFill="1" applyAlignment="1"/>
    <xf numFmtId="2" fontId="0" fillId="4" borderId="0" xfId="0" applyNumberFormat="1" applyFill="1" applyBorder="1"/>
    <xf numFmtId="0" fontId="0" fillId="0" borderId="0" xfId="0" applyBorder="1" applyAlignment="1"/>
    <xf numFmtId="2" fontId="0" fillId="0" borderId="0" xfId="0" applyNumberFormat="1"/>
    <xf numFmtId="3" fontId="5" fillId="0" borderId="0" xfId="0" applyNumberFormat="1" applyFont="1" applyFill="1"/>
    <xf numFmtId="174" fontId="1" fillId="0" borderId="0" xfId="0" applyNumberFormat="1" applyFont="1" applyFill="1"/>
    <xf numFmtId="0" fontId="5" fillId="14" borderId="0" xfId="0" applyFont="1" applyFill="1"/>
    <xf numFmtId="3" fontId="5" fillId="14" borderId="0" xfId="0" applyNumberFormat="1" applyFont="1" applyFill="1"/>
    <xf numFmtId="174" fontId="5" fillId="14" borderId="0" xfId="0" applyNumberFormat="1" applyFont="1" applyFill="1"/>
    <xf numFmtId="0" fontId="2" fillId="15" borderId="0" xfId="0" applyFont="1" applyFill="1" applyAlignment="1"/>
    <xf numFmtId="0" fontId="0" fillId="15" borderId="0" xfId="0" applyFill="1" applyAlignment="1"/>
    <xf numFmtId="0" fontId="5" fillId="14" borderId="2" xfId="0" applyFont="1" applyFill="1" applyBorder="1"/>
    <xf numFmtId="3" fontId="5" fillId="14" borderId="2" xfId="0" applyNumberFormat="1" applyFont="1" applyFill="1" applyBorder="1"/>
    <xf numFmtId="0" fontId="0" fillId="15" borderId="0" xfId="0" applyFill="1"/>
    <xf numFmtId="0" fontId="5" fillId="14" borderId="2" xfId="0" applyFont="1" applyFill="1" applyBorder="1" applyProtection="1">
      <protection locked="0"/>
    </xf>
    <xf numFmtId="3" fontId="5" fillId="14" borderId="2" xfId="0" applyNumberFormat="1" applyFont="1" applyFill="1" applyBorder="1" applyProtection="1">
      <protection locked="0"/>
    </xf>
    <xf numFmtId="0" fontId="5" fillId="14" borderId="0" xfId="0" applyFont="1" applyFill="1" applyProtection="1">
      <protection locked="0"/>
    </xf>
    <xf numFmtId="174" fontId="5" fillId="14" borderId="0" xfId="0" applyNumberFormat="1" applyFont="1" applyFill="1" applyProtection="1">
      <protection locked="0"/>
    </xf>
    <xf numFmtId="0" fontId="0" fillId="16" borderId="0" xfId="0" applyFill="1"/>
    <xf numFmtId="0" fontId="5" fillId="14" borderId="0" xfId="0" applyFont="1" applyFill="1" applyBorder="1"/>
    <xf numFmtId="174" fontId="5" fillId="14" borderId="0" xfId="0" applyNumberFormat="1" applyFont="1" applyFill="1" applyBorder="1"/>
    <xf numFmtId="0" fontId="34" fillId="14" borderId="2" xfId="0" applyFont="1" applyFill="1" applyBorder="1"/>
    <xf numFmtId="3" fontId="5" fillId="14" borderId="2" xfId="0" applyNumberFormat="1" applyFont="1" applyFill="1" applyBorder="1" applyAlignment="1"/>
    <xf numFmtId="0" fontId="0" fillId="3" borderId="0" xfId="0" applyFill="1" applyAlignment="1"/>
    <xf numFmtId="0" fontId="5" fillId="3" borderId="0" xfId="0" applyFont="1" applyFill="1"/>
    <xf numFmtId="0" fontId="5" fillId="14" borderId="0" xfId="0" applyFont="1" applyFill="1" applyBorder="1" applyProtection="1"/>
    <xf numFmtId="3" fontId="5" fillId="14" borderId="0" xfId="0" applyNumberFormat="1" applyFont="1" applyFill="1" applyBorder="1" applyProtection="1"/>
    <xf numFmtId="174" fontId="5" fillId="14" borderId="0" xfId="0" applyNumberFormat="1" applyFont="1" applyFill="1" applyBorder="1" applyProtection="1"/>
    <xf numFmtId="0" fontId="5" fillId="17" borderId="0" xfId="0" applyFont="1" applyFill="1" applyProtection="1"/>
    <xf numFmtId="174" fontId="5" fillId="17" borderId="0" xfId="0" applyNumberFormat="1" applyFont="1" applyFill="1" applyProtection="1"/>
    <xf numFmtId="0" fontId="5" fillId="14" borderId="0" xfId="0" applyFont="1" applyFill="1" applyProtection="1"/>
    <xf numFmtId="174" fontId="5" fillId="14" borderId="0" xfId="0" applyNumberFormat="1" applyFont="1" applyFill="1" applyProtection="1"/>
    <xf numFmtId="3" fontId="5" fillId="14" borderId="0" xfId="0" applyNumberFormat="1" applyFont="1" applyFill="1" applyBorder="1"/>
    <xf numFmtId="0" fontId="0" fillId="14" borderId="0" xfId="0" applyFill="1"/>
    <xf numFmtId="4" fontId="0" fillId="14" borderId="0" xfId="0" applyNumberFormat="1" applyFill="1"/>
    <xf numFmtId="174" fontId="0" fillId="14" borderId="0" xfId="0" applyNumberFormat="1" applyFill="1"/>
    <xf numFmtId="0" fontId="1" fillId="14" borderId="0" xfId="0" applyFont="1" applyFill="1"/>
    <xf numFmtId="0" fontId="49" fillId="14" borderId="0" xfId="0" applyFont="1" applyFill="1"/>
    <xf numFmtId="3" fontId="49" fillId="14" borderId="0" xfId="0" applyNumberFormat="1" applyFont="1" applyFill="1"/>
    <xf numFmtId="176" fontId="49" fillId="14" borderId="0" xfId="0" applyNumberFormat="1" applyFont="1" applyFill="1"/>
    <xf numFmtId="173" fontId="49" fillId="14" borderId="0" xfId="0" applyNumberFormat="1" applyFont="1" applyFill="1"/>
    <xf numFmtId="4" fontId="1" fillId="14" borderId="0" xfId="0" applyNumberFormat="1" applyFont="1" applyFill="1"/>
    <xf numFmtId="166" fontId="1" fillId="14" borderId="0" xfId="0" applyNumberFormat="1" applyFont="1" applyFill="1"/>
    <xf numFmtId="0" fontId="24" fillId="14" borderId="0" xfId="0" applyFont="1" applyFill="1"/>
    <xf numFmtId="171" fontId="0" fillId="14" borderId="0" xfId="0" applyNumberFormat="1" applyFill="1"/>
    <xf numFmtId="165" fontId="0" fillId="14" borderId="0" xfId="0" applyNumberFormat="1" applyFill="1"/>
    <xf numFmtId="165" fontId="5" fillId="14" borderId="0" xfId="0" applyNumberFormat="1" applyFont="1" applyFill="1"/>
    <xf numFmtId="4" fontId="5" fillId="14" borderId="2" xfId="0" applyNumberFormat="1" applyFont="1" applyFill="1" applyBorder="1"/>
    <xf numFmtId="2" fontId="5" fillId="14" borderId="0" xfId="0" applyNumberFormat="1" applyFont="1" applyFill="1" applyBorder="1"/>
    <xf numFmtId="173" fontId="5" fillId="14" borderId="0" xfId="0" applyNumberFormat="1" applyFont="1" applyFill="1" applyBorder="1"/>
    <xf numFmtId="9" fontId="5" fillId="0" borderId="0" xfId="6" applyFont="1" applyFill="1"/>
    <xf numFmtId="0" fontId="8" fillId="0" borderId="0" xfId="3" applyAlignment="1" applyProtection="1"/>
    <xf numFmtId="14" fontId="28" fillId="0" borderId="0" xfId="0" applyNumberFormat="1" applyFont="1"/>
    <xf numFmtId="16" fontId="0" fillId="11" borderId="0" xfId="0" applyNumberFormat="1" applyFill="1"/>
    <xf numFmtId="16" fontId="0" fillId="6" borderId="0" xfId="0" applyNumberFormat="1" applyFill="1"/>
    <xf numFmtId="1" fontId="0" fillId="0" borderId="0" xfId="0" applyNumberFormat="1"/>
    <xf numFmtId="2" fontId="0" fillId="11" borderId="0" xfId="0" applyNumberFormat="1" applyFill="1"/>
    <xf numFmtId="2" fontId="0" fillId="6" borderId="0" xfId="0" applyNumberFormat="1" applyFill="1"/>
    <xf numFmtId="0" fontId="8" fillId="0" borderId="1" xfId="3" applyBorder="1" applyAlignment="1" applyProtection="1">
      <alignment horizontal="center"/>
    </xf>
    <xf numFmtId="0" fontId="8" fillId="0" borderId="1" xfId="3" applyBorder="1" applyAlignment="1" applyProtection="1"/>
    <xf numFmtId="0" fontId="59" fillId="0" borderId="0" xfId="0" applyFont="1"/>
    <xf numFmtId="16" fontId="0" fillId="0" borderId="0" xfId="0" applyNumberFormat="1" applyFont="1" applyFill="1"/>
    <xf numFmtId="16" fontId="0" fillId="0" borderId="0" xfId="0" applyNumberFormat="1" applyFont="1"/>
    <xf numFmtId="179" fontId="1" fillId="0" borderId="0" xfId="0" applyNumberFormat="1" applyFont="1" applyFill="1"/>
    <xf numFmtId="171" fontId="1" fillId="5" borderId="0" xfId="0" applyNumberFormat="1" applyFont="1" applyFill="1"/>
    <xf numFmtId="0" fontId="62" fillId="0" borderId="0" xfId="0" applyFont="1"/>
    <xf numFmtId="0" fontId="0" fillId="0" borderId="0" xfId="0" applyFill="1" applyProtection="1">
      <protection locked="0"/>
    </xf>
    <xf numFmtId="174" fontId="1" fillId="0" borderId="0" xfId="0" applyNumberFormat="1" applyFont="1" applyFill="1" applyBorder="1" applyProtection="1">
      <protection locked="0"/>
    </xf>
    <xf numFmtId="4" fontId="55" fillId="0" borderId="0" xfId="4" applyNumberFormat="1" applyFill="1"/>
    <xf numFmtId="0" fontId="1" fillId="2" borderId="0" xfId="0" applyFont="1" applyFill="1" applyProtection="1">
      <protection locked="0"/>
    </xf>
    <xf numFmtId="16" fontId="5" fillId="0" borderId="0" xfId="0" applyNumberFormat="1" applyFont="1" applyFill="1" applyBorder="1"/>
    <xf numFmtId="0" fontId="0" fillId="4" borderId="0" xfId="0" applyFill="1" applyAlignment="1">
      <alignment horizontal="left" vertical="top" wrapText="1"/>
    </xf>
    <xf numFmtId="0" fontId="0" fillId="18" borderId="0" xfId="0" applyFill="1"/>
    <xf numFmtId="0" fontId="6" fillId="0" borderId="0" xfId="0" applyFont="1" applyAlignment="1">
      <alignment horizontal="left"/>
    </xf>
    <xf numFmtId="0" fontId="5" fillId="14" borderId="0" xfId="0" applyFont="1" applyFill="1" applyBorder="1" applyProtection="1">
      <protection locked="0"/>
    </xf>
    <xf numFmtId="174" fontId="5" fillId="14" borderId="0" xfId="0" applyNumberFormat="1" applyFont="1" applyFill="1" applyBorder="1" applyProtection="1">
      <protection locked="0"/>
    </xf>
    <xf numFmtId="0" fontId="1" fillId="14" borderId="0" xfId="0" applyFont="1" applyFill="1" applyAlignment="1">
      <alignment wrapText="1"/>
    </xf>
    <xf numFmtId="0" fontId="28" fillId="0" borderId="0" xfId="0" applyFont="1" applyAlignment="1">
      <alignment wrapText="1"/>
    </xf>
    <xf numFmtId="0" fontId="5" fillId="14" borderId="2" xfId="0" applyFont="1" applyFill="1" applyBorder="1" applyProtection="1"/>
    <xf numFmtId="3" fontId="5" fillId="14" borderId="2" xfId="0" applyNumberFormat="1" applyFont="1" applyFill="1" applyBorder="1" applyProtection="1"/>
    <xf numFmtId="4" fontId="0" fillId="14" borderId="2" xfId="0" applyNumberFormat="1" applyFill="1" applyBorder="1"/>
    <xf numFmtId="0" fontId="5" fillId="0" borderId="2" xfId="0" applyFont="1" applyFill="1" applyBorder="1" applyProtection="1">
      <protection locked="0"/>
    </xf>
    <xf numFmtId="3" fontId="5" fillId="0" borderId="2" xfId="0" applyNumberFormat="1" applyFont="1" applyFill="1" applyBorder="1" applyProtection="1">
      <protection locked="0"/>
    </xf>
    <xf numFmtId="174" fontId="5" fillId="14" borderId="2" xfId="0" applyNumberFormat="1" applyFont="1" applyFill="1" applyBorder="1"/>
    <xf numFmtId="9" fontId="5" fillId="14" borderId="2" xfId="6" applyFont="1" applyFill="1" applyBorder="1"/>
    <xf numFmtId="9" fontId="5" fillId="14" borderId="2" xfId="6" applyNumberFormat="1" applyFont="1" applyFill="1" applyBorder="1"/>
    <xf numFmtId="178" fontId="5" fillId="14" borderId="2" xfId="6" applyNumberFormat="1" applyFont="1" applyFill="1" applyBorder="1"/>
    <xf numFmtId="16" fontId="5" fillId="0" borderId="0" xfId="0" applyNumberFormat="1" applyFont="1" applyFill="1"/>
    <xf numFmtId="174" fontId="1" fillId="0" borderId="0" xfId="0" applyNumberFormat="1" applyFont="1" applyFill="1" applyBorder="1" applyAlignment="1" applyProtection="1">
      <alignment horizontal="right"/>
      <protection locked="0"/>
    </xf>
    <xf numFmtId="0" fontId="14" fillId="0" borderId="0" xfId="0" applyFont="1" applyAlignment="1">
      <alignment vertical="top" wrapText="1"/>
    </xf>
    <xf numFmtId="0" fontId="0" fillId="0" borderId="0" xfId="0" applyAlignment="1">
      <alignment vertical="top" wrapText="1"/>
    </xf>
    <xf numFmtId="201" fontId="0" fillId="2" borderId="0" xfId="0" applyNumberFormat="1" applyFill="1"/>
    <xf numFmtId="3" fontId="0" fillId="2" borderId="0" xfId="0" applyNumberFormat="1" applyFill="1" applyAlignment="1">
      <alignment wrapText="1"/>
    </xf>
    <xf numFmtId="2" fontId="0" fillId="0" borderId="0" xfId="0" applyNumberFormat="1" applyFill="1"/>
    <xf numFmtId="2" fontId="0" fillId="4" borderId="0" xfId="0" applyNumberFormat="1" applyFont="1" applyFill="1"/>
    <xf numFmtId="2" fontId="0" fillId="4" borderId="0" xfId="0" applyNumberFormat="1" applyFont="1" applyFill="1" applyBorder="1" applyAlignment="1"/>
    <xf numFmtId="2" fontId="0" fillId="4" borderId="0" xfId="0" applyNumberFormat="1" applyFont="1" applyFill="1" applyBorder="1"/>
    <xf numFmtId="3" fontId="0" fillId="2" borderId="0" xfId="0" applyNumberFormat="1" applyFont="1" applyFill="1" applyBorder="1"/>
    <xf numFmtId="9" fontId="0" fillId="2" borderId="0" xfId="0" applyNumberFormat="1" applyFont="1" applyFill="1"/>
    <xf numFmtId="178" fontId="0" fillId="2" borderId="0" xfId="0" applyNumberFormat="1" applyFill="1" applyBorder="1"/>
    <xf numFmtId="178" fontId="0" fillId="19" borderId="0" xfId="0" applyNumberFormat="1" applyFill="1" applyBorder="1"/>
    <xf numFmtId="3" fontId="0" fillId="2" borderId="0" xfId="0" applyNumberFormat="1" applyFont="1" applyFill="1"/>
    <xf numFmtId="174" fontId="0" fillId="0" borderId="0" xfId="0" applyNumberFormat="1" applyFont="1" applyFill="1"/>
    <xf numFmtId="185" fontId="0" fillId="2" borderId="0" xfId="0" applyNumberFormat="1" applyFill="1" applyBorder="1"/>
    <xf numFmtId="8" fontId="0" fillId="0" borderId="0" xfId="0" applyNumberFormat="1" applyFill="1"/>
    <xf numFmtId="9" fontId="0" fillId="2" borderId="7" xfId="0" applyNumberFormat="1" applyFill="1" applyBorder="1"/>
    <xf numFmtId="0" fontId="0" fillId="0" borderId="0" xfId="0" applyFont="1"/>
    <xf numFmtId="0" fontId="0" fillId="0" borderId="0" xfId="0" applyFont="1" applyAlignment="1">
      <alignment horizontal="left" vertical="center"/>
    </xf>
    <xf numFmtId="0" fontId="0" fillId="19" borderId="7" xfId="0" applyFill="1" applyBorder="1"/>
    <xf numFmtId="3" fontId="0" fillId="0" borderId="0" xfId="0" applyNumberFormat="1" applyFont="1"/>
    <xf numFmtId="16" fontId="0" fillId="0" borderId="0" xfId="0" applyNumberFormat="1" applyFill="1" applyBorder="1"/>
    <xf numFmtId="3" fontId="50" fillId="0" borderId="0" xfId="0" applyNumberFormat="1" applyFont="1" applyFill="1" applyBorder="1"/>
    <xf numFmtId="201" fontId="1" fillId="2" borderId="0" xfId="1" applyNumberFormat="1" applyFont="1" applyFill="1"/>
    <xf numFmtId="38" fontId="5" fillId="0" borderId="0" xfId="4" applyNumberFormat="1" applyFont="1" applyProtection="1">
      <protection locked="0"/>
    </xf>
    <xf numFmtId="201" fontId="0" fillId="0" borderId="0" xfId="1" applyNumberFormat="1" applyFont="1" applyFill="1"/>
    <xf numFmtId="3" fontId="55" fillId="0" borderId="0" xfId="4" applyNumberFormat="1" applyFill="1"/>
    <xf numFmtId="201" fontId="0" fillId="0" borderId="0" xfId="1" applyNumberFormat="1" applyFont="1" applyFill="1" applyBorder="1"/>
    <xf numFmtId="201" fontId="47" fillId="0" borderId="0" xfId="1" applyNumberFormat="1" applyFont="1" applyFill="1"/>
    <xf numFmtId="201" fontId="1" fillId="0" borderId="0" xfId="1" applyNumberFormat="1" applyFont="1" applyFill="1"/>
    <xf numFmtId="201" fontId="18" fillId="0" borderId="1" xfId="1" applyNumberFormat="1" applyFont="1" applyFill="1" applyBorder="1" applyAlignment="1">
      <alignment horizontal="right" wrapText="1"/>
    </xf>
    <xf numFmtId="201" fontId="55" fillId="0" borderId="0" xfId="1" applyNumberFormat="1" applyFont="1" applyFill="1"/>
    <xf numFmtId="201" fontId="0" fillId="0" borderId="0" xfId="1" applyNumberFormat="1" applyFont="1"/>
    <xf numFmtId="3" fontId="0" fillId="0" borderId="22" xfId="0" applyNumberFormat="1" applyFill="1" applyBorder="1"/>
    <xf numFmtId="3" fontId="0" fillId="0" borderId="23" xfId="0" applyNumberFormat="1" applyFill="1" applyBorder="1"/>
    <xf numFmtId="0" fontId="0" fillId="0" borderId="8" xfId="0" applyFill="1" applyBorder="1"/>
    <xf numFmtId="3" fontId="0" fillId="0" borderId="8" xfId="0" applyNumberFormat="1" applyFill="1" applyBorder="1"/>
    <xf numFmtId="3" fontId="0" fillId="0" borderId="24" xfId="0" applyNumberFormat="1" applyFill="1" applyBorder="1"/>
    <xf numFmtId="3" fontId="0" fillId="0" borderId="25" xfId="0" applyNumberFormat="1" applyFill="1" applyBorder="1"/>
    <xf numFmtId="0" fontId="0" fillId="0" borderId="8" xfId="0" applyBorder="1"/>
    <xf numFmtId="3" fontId="0" fillId="0" borderId="8" xfId="0" applyNumberFormat="1" applyBorder="1"/>
    <xf numFmtId="0" fontId="5" fillId="0" borderId="0" xfId="0" applyFont="1" applyAlignment="1">
      <alignment horizontal="center"/>
    </xf>
    <xf numFmtId="185" fontId="0" fillId="0" borderId="7" xfId="0" applyNumberFormat="1" applyFill="1" applyBorder="1"/>
    <xf numFmtId="185" fontId="0" fillId="0" borderId="0" xfId="0" applyNumberFormat="1" applyFill="1" applyBorder="1"/>
    <xf numFmtId="0" fontId="0" fillId="0" borderId="0" xfId="0" applyFont="1" applyFill="1" applyProtection="1"/>
    <xf numFmtId="185" fontId="1" fillId="0" borderId="0" xfId="0" applyNumberFormat="1" applyFont="1" applyFill="1" applyProtection="1"/>
    <xf numFmtId="185" fontId="1" fillId="0" borderId="0" xfId="0" applyNumberFormat="1" applyFont="1" applyFill="1"/>
    <xf numFmtId="185" fontId="0" fillId="0" borderId="0" xfId="0" applyNumberFormat="1" applyFont="1" applyFill="1" applyProtection="1"/>
    <xf numFmtId="185" fontId="1" fillId="0" borderId="0" xfId="0" applyNumberFormat="1" applyFont="1" applyFill="1" applyBorder="1" applyProtection="1"/>
    <xf numFmtId="185" fontId="0" fillId="0" borderId="0" xfId="0" applyNumberFormat="1" applyFill="1"/>
    <xf numFmtId="185" fontId="10" fillId="0" borderId="0" xfId="4" applyNumberFormat="1" applyFont="1" applyFill="1" applyProtection="1">
      <protection locked="0"/>
    </xf>
    <xf numFmtId="185" fontId="0" fillId="0" borderId="0" xfId="1" applyNumberFormat="1" applyFont="1" applyFill="1"/>
    <xf numFmtId="0" fontId="0" fillId="0" borderId="0" xfId="0" applyFont="1" applyFill="1"/>
    <xf numFmtId="0" fontId="0" fillId="0" borderId="8" xfId="0" applyFont="1" applyFill="1" applyBorder="1" applyProtection="1"/>
    <xf numFmtId="185" fontId="1" fillId="0" borderId="8" xfId="0" applyNumberFormat="1" applyFont="1" applyFill="1" applyBorder="1" applyProtection="1"/>
    <xf numFmtId="185" fontId="0" fillId="0" borderId="8" xfId="0" applyNumberFormat="1" applyFill="1" applyBorder="1" applyProtection="1"/>
    <xf numFmtId="185" fontId="0" fillId="0" borderId="8" xfId="0" applyNumberFormat="1" applyFill="1" applyBorder="1"/>
    <xf numFmtId="3" fontId="0" fillId="0" borderId="0" xfId="0" applyNumberFormat="1" applyFill="1" applyAlignment="1" applyProtection="1">
      <protection locked="0"/>
    </xf>
    <xf numFmtId="201" fontId="0" fillId="0" borderId="0" xfId="1" applyNumberFormat="1" applyFont="1" applyAlignment="1"/>
    <xf numFmtId="0" fontId="28" fillId="0" borderId="8" xfId="0" applyFont="1" applyBorder="1" applyAlignment="1">
      <alignment wrapText="1"/>
    </xf>
    <xf numFmtId="0" fontId="7" fillId="0" borderId="8" xfId="0" applyFont="1" applyBorder="1"/>
    <xf numFmtId="0" fontId="5" fillId="0" borderId="8" xfId="0" applyFont="1" applyBorder="1"/>
    <xf numFmtId="0" fontId="5" fillId="0" borderId="8" xfId="0" applyFont="1" applyBorder="1" applyAlignment="1">
      <alignment horizontal="center"/>
    </xf>
    <xf numFmtId="0" fontId="24" fillId="0" borderId="0" xfId="0" applyFont="1" applyAlignment="1">
      <alignment horizontal="left"/>
    </xf>
    <xf numFmtId="177" fontId="0" fillId="0" borderId="0" xfId="0" applyNumberFormat="1" applyFill="1" applyBorder="1" applyProtection="1"/>
    <xf numFmtId="0" fontId="84" fillId="0" borderId="0" xfId="0" applyFont="1"/>
    <xf numFmtId="3" fontId="0" fillId="24" borderId="0" xfId="0" applyNumberFormat="1" applyFill="1"/>
    <xf numFmtId="201" fontId="10" fillId="24" borderId="7" xfId="1" applyNumberFormat="1" applyFont="1" applyFill="1" applyBorder="1"/>
    <xf numFmtId="201" fontId="0" fillId="2" borderId="0" xfId="1" applyNumberFormat="1" applyFont="1" applyFill="1"/>
    <xf numFmtId="201" fontId="0" fillId="2" borderId="7" xfId="1" applyNumberFormat="1" applyFont="1" applyFill="1" applyBorder="1"/>
    <xf numFmtId="201" fontId="0" fillId="2" borderId="0" xfId="1" applyNumberFormat="1" applyFont="1" applyFill="1" applyBorder="1"/>
    <xf numFmtId="5" fontId="1" fillId="2" borderId="0" xfId="1" applyNumberFormat="1" applyFont="1" applyFill="1"/>
    <xf numFmtId="5" fontId="0" fillId="2" borderId="0" xfId="1" applyNumberFormat="1" applyFont="1" applyFill="1"/>
    <xf numFmtId="5" fontId="10" fillId="24" borderId="0" xfId="1" applyNumberFormat="1" applyFont="1" applyFill="1" applyProtection="1">
      <protection locked="0"/>
    </xf>
    <xf numFmtId="5" fontId="10" fillId="24" borderId="0" xfId="1" applyNumberFormat="1" applyFont="1" applyFill="1"/>
    <xf numFmtId="5" fontId="10" fillId="24" borderId="0" xfId="1" applyNumberFormat="1" applyFont="1" applyFill="1"/>
    <xf numFmtId="1" fontId="0" fillId="4" borderId="0" xfId="0" applyNumberFormat="1" applyFill="1" applyBorder="1" applyProtection="1"/>
    <xf numFmtId="1" fontId="0" fillId="4" borderId="0" xfId="0" applyNumberFormat="1" applyFill="1" applyProtection="1"/>
    <xf numFmtId="3" fontId="0" fillId="20" borderId="0" xfId="0" applyNumberFormat="1" applyFill="1"/>
    <xf numFmtId="3" fontId="0" fillId="8" borderId="0" xfId="0" applyNumberFormat="1" applyFill="1"/>
    <xf numFmtId="3" fontId="0" fillId="25" borderId="0" xfId="0" applyNumberFormat="1" applyFill="1"/>
    <xf numFmtId="3" fontId="85" fillId="25" borderId="0" xfId="0" applyNumberFormat="1" applyFont="1" applyFill="1"/>
    <xf numFmtId="0" fontId="0" fillId="2" borderId="8" xfId="0" applyFill="1" applyBorder="1"/>
    <xf numFmtId="3" fontId="0" fillId="2" borderId="8" xfId="0" applyNumberFormat="1" applyFill="1" applyBorder="1"/>
    <xf numFmtId="3" fontId="0" fillId="2" borderId="9" xfId="0" applyNumberFormat="1" applyFill="1" applyBorder="1"/>
    <xf numFmtId="0" fontId="1" fillId="2" borderId="8" xfId="0" applyFont="1" applyFill="1" applyBorder="1"/>
    <xf numFmtId="3" fontId="10" fillId="0" borderId="8" xfId="0" applyNumberFormat="1" applyFont="1" applyFill="1" applyBorder="1"/>
    <xf numFmtId="3" fontId="1" fillId="0" borderId="8" xfId="0" applyNumberFormat="1" applyFont="1" applyFill="1" applyBorder="1"/>
    <xf numFmtId="0" fontId="0" fillId="19" borderId="9" xfId="0" applyFill="1" applyBorder="1"/>
    <xf numFmtId="3" fontId="50" fillId="0" borderId="8" xfId="0" applyNumberFormat="1" applyFont="1" applyBorder="1"/>
    <xf numFmtId="173" fontId="0" fillId="0" borderId="0" xfId="0" applyNumberFormat="1" applyAlignment="1">
      <alignment wrapText="1"/>
    </xf>
    <xf numFmtId="173" fontId="0" fillId="19" borderId="7" xfId="0" applyNumberFormat="1" applyFill="1" applyBorder="1"/>
    <xf numFmtId="173" fontId="0" fillId="0" borderId="0" xfId="0" applyNumberFormat="1" applyFill="1" applyBorder="1"/>
    <xf numFmtId="173" fontId="0" fillId="19" borderId="0" xfId="0" applyNumberFormat="1" applyFill="1"/>
    <xf numFmtId="173" fontId="0" fillId="0" borderId="8" xfId="0" applyNumberFormat="1" applyBorder="1"/>
    <xf numFmtId="173" fontId="10" fillId="0" borderId="0" xfId="0" applyNumberFormat="1" applyFont="1"/>
    <xf numFmtId="0" fontId="5" fillId="19" borderId="7" xfId="0" applyFont="1" applyFill="1" applyBorder="1"/>
    <xf numFmtId="4" fontId="5" fillId="14" borderId="0" xfId="0" applyNumberFormat="1" applyFont="1" applyFill="1"/>
    <xf numFmtId="4" fontId="0" fillId="0" borderId="0" xfId="0" applyNumberFormat="1" applyFill="1"/>
    <xf numFmtId="0" fontId="5" fillId="26" borderId="0" xfId="0" applyFont="1" applyFill="1"/>
    <xf numFmtId="0" fontId="0" fillId="26" borderId="0" xfId="0" applyFill="1"/>
    <xf numFmtId="4" fontId="0" fillId="26" borderId="0" xfId="0" applyNumberFormat="1" applyFill="1"/>
    <xf numFmtId="174" fontId="0" fillId="26" borderId="0" xfId="0" applyNumberFormat="1" applyFill="1"/>
    <xf numFmtId="0" fontId="49" fillId="26" borderId="0" xfId="0" applyFont="1" applyFill="1"/>
    <xf numFmtId="3" fontId="49" fillId="26" borderId="0" xfId="0" applyNumberFormat="1" applyFont="1" applyFill="1"/>
    <xf numFmtId="176" fontId="49" fillId="26" borderId="0" xfId="0" applyNumberFormat="1" applyFont="1" applyFill="1"/>
    <xf numFmtId="4" fontId="49" fillId="26" borderId="0" xfId="0" applyNumberFormat="1" applyFont="1" applyFill="1"/>
    <xf numFmtId="173" fontId="5" fillId="0" borderId="0" xfId="0" applyNumberFormat="1" applyFont="1" applyFill="1" applyBorder="1"/>
    <xf numFmtId="3" fontId="5" fillId="0" borderId="0" xfId="0" applyNumberFormat="1" applyFont="1" applyFill="1" applyBorder="1"/>
    <xf numFmtId="173" fontId="10" fillId="0" borderId="8" xfId="0" applyNumberFormat="1" applyFont="1" applyBorder="1"/>
    <xf numFmtId="173" fontId="65" fillId="0" borderId="8" xfId="0" applyNumberFormat="1" applyFont="1" applyBorder="1"/>
    <xf numFmtId="0" fontId="10" fillId="26" borderId="0" xfId="0" applyFont="1" applyFill="1"/>
    <xf numFmtId="3" fontId="10" fillId="26" borderId="0" xfId="0" applyNumberFormat="1" applyFont="1" applyFill="1"/>
    <xf numFmtId="173" fontId="5" fillId="26" borderId="0" xfId="0" applyNumberFormat="1" applyFont="1" applyFill="1"/>
    <xf numFmtId="174" fontId="5" fillId="26" borderId="0" xfId="0" applyNumberFormat="1" applyFont="1" applyFill="1"/>
    <xf numFmtId="2" fontId="5" fillId="14" borderId="0" xfId="0" applyNumberFormat="1" applyFont="1" applyFill="1"/>
    <xf numFmtId="0" fontId="5" fillId="14" borderId="8" xfId="0" applyFont="1" applyFill="1" applyBorder="1"/>
    <xf numFmtId="3" fontId="0" fillId="0" borderId="0" xfId="0" applyNumberFormat="1" applyFont="1" applyFill="1"/>
    <xf numFmtId="174" fontId="0" fillId="2" borderId="7" xfId="0" applyNumberFormat="1" applyFill="1" applyBorder="1"/>
    <xf numFmtId="174" fontId="55" fillId="2" borderId="0" xfId="4" applyNumberFormat="1" applyFill="1"/>
    <xf numFmtId="174" fontId="1" fillId="4" borderId="0" xfId="0" applyNumberFormat="1" applyFont="1" applyFill="1" applyBorder="1" applyProtection="1">
      <protection locked="0"/>
    </xf>
    <xf numFmtId="174" fontId="1" fillId="4" borderId="0" xfId="0" applyNumberFormat="1" applyFont="1" applyFill="1" applyBorder="1"/>
    <xf numFmtId="185" fontId="0" fillId="2" borderId="0" xfId="0" applyNumberFormat="1" applyFill="1"/>
    <xf numFmtId="3" fontId="85" fillId="24" borderId="26" xfId="0" applyNumberFormat="1" applyFont="1" applyFill="1" applyBorder="1" applyAlignment="1">
      <alignment horizontal="right" vertical="top"/>
    </xf>
    <xf numFmtId="16" fontId="5" fillId="0" borderId="0" xfId="0" applyNumberFormat="1" applyFont="1" applyAlignment="1" applyProtection="1">
      <alignment horizontal="center"/>
    </xf>
    <xf numFmtId="16" fontId="5" fillId="0" borderId="0" xfId="0" applyNumberFormat="1" applyFont="1" applyAlignment="1"/>
    <xf numFmtId="16" fontId="5" fillId="0" borderId="0" xfId="0" applyNumberFormat="1" applyFont="1" applyAlignment="1">
      <alignment horizontal="center"/>
    </xf>
    <xf numFmtId="16" fontId="5" fillId="0" borderId="0" xfId="0" applyNumberFormat="1" applyFont="1" applyFill="1" applyAlignment="1">
      <alignment horizontal="center"/>
    </xf>
    <xf numFmtId="16" fontId="5" fillId="0" borderId="0" xfId="0" applyNumberFormat="1" applyFont="1" applyFill="1" applyBorder="1" applyAlignment="1">
      <alignment horizontal="center"/>
    </xf>
    <xf numFmtId="0" fontId="5" fillId="0" borderId="0" xfId="0" applyFont="1" applyAlignment="1">
      <alignment horizontal="center" wrapText="1"/>
    </xf>
    <xf numFmtId="0" fontId="5" fillId="0" borderId="0" xfId="0" applyFont="1" applyAlignment="1">
      <alignment horizontal="center" vertical="center" wrapText="1"/>
    </xf>
    <xf numFmtId="0" fontId="0" fillId="0" borderId="0" xfId="0" applyAlignment="1">
      <alignment vertical="center" wrapText="1"/>
    </xf>
    <xf numFmtId="3" fontId="0" fillId="0" borderId="0" xfId="0" applyNumberFormat="1" applyFont="1" applyFill="1" applyBorder="1"/>
    <xf numFmtId="43" fontId="0" fillId="0" borderId="0" xfId="0" applyNumberFormat="1" applyFill="1"/>
    <xf numFmtId="4" fontId="0" fillId="0" borderId="0" xfId="0" applyNumberFormat="1" applyFill="1" applyBorder="1" applyAlignment="1"/>
    <xf numFmtId="166" fontId="5" fillId="14" borderId="0" xfId="0" applyNumberFormat="1" applyFont="1" applyFill="1"/>
    <xf numFmtId="166" fontId="5" fillId="26" borderId="0" xfId="0" applyNumberFormat="1" applyFont="1" applyFill="1"/>
    <xf numFmtId="0" fontId="1" fillId="27" borderId="0" xfId="0" applyFont="1" applyFill="1" applyProtection="1"/>
    <xf numFmtId="0" fontId="0" fillId="27" borderId="0" xfId="0" applyFill="1" applyProtection="1"/>
    <xf numFmtId="0" fontId="10" fillId="27" borderId="0" xfId="0" applyFont="1" applyFill="1" applyProtection="1"/>
    <xf numFmtId="206" fontId="0" fillId="0" borderId="0" xfId="0" applyNumberFormat="1" applyFill="1" applyBorder="1" applyProtection="1"/>
    <xf numFmtId="0" fontId="0" fillId="28" borderId="0" xfId="0" applyFill="1" applyProtection="1"/>
    <xf numFmtId="185" fontId="0" fillId="0" borderId="0" xfId="0" applyNumberFormat="1"/>
    <xf numFmtId="0" fontId="5" fillId="29" borderId="10" xfId="0" applyFont="1" applyFill="1" applyBorder="1"/>
    <xf numFmtId="0" fontId="0" fillId="29" borderId="10" xfId="0" applyFill="1" applyBorder="1"/>
    <xf numFmtId="3" fontId="0" fillId="29" borderId="10" xfId="0" applyNumberFormat="1" applyFill="1" applyBorder="1"/>
    <xf numFmtId="3" fontId="0" fillId="29" borderId="10" xfId="0" applyNumberFormat="1" applyFont="1" applyFill="1" applyBorder="1"/>
    <xf numFmtId="3" fontId="5" fillId="29" borderId="10" xfId="0" applyNumberFormat="1" applyFont="1" applyFill="1" applyBorder="1"/>
    <xf numFmtId="166" fontId="5" fillId="29" borderId="10" xfId="0" applyNumberFormat="1" applyFont="1" applyFill="1" applyBorder="1"/>
    <xf numFmtId="177" fontId="1" fillId="29" borderId="10" xfId="0" applyNumberFormat="1" applyFont="1" applyFill="1" applyBorder="1"/>
    <xf numFmtId="0" fontId="0" fillId="30" borderId="0" xfId="0" applyFill="1"/>
    <xf numFmtId="2" fontId="5" fillId="30" borderId="0" xfId="0" applyNumberFormat="1" applyFont="1" applyFill="1"/>
    <xf numFmtId="4" fontId="55" fillId="2" borderId="0" xfId="4" applyNumberFormat="1" applyFill="1" applyBorder="1"/>
    <xf numFmtId="16" fontId="5" fillId="0" borderId="0" xfId="0" applyNumberFormat="1" applyFont="1" applyAlignment="1" applyProtection="1">
      <alignment horizontal="center" wrapText="1"/>
    </xf>
    <xf numFmtId="16" fontId="5" fillId="0" borderId="0" xfId="0" applyNumberFormat="1" applyFont="1" applyAlignment="1" applyProtection="1">
      <alignment wrapText="1"/>
    </xf>
    <xf numFmtId="174" fontId="5" fillId="31" borderId="0" xfId="0" applyNumberFormat="1" applyFont="1" applyFill="1"/>
    <xf numFmtId="0" fontId="0" fillId="32" borderId="0" xfId="0" applyFill="1" applyProtection="1"/>
    <xf numFmtId="201" fontId="1" fillId="33" borderId="0" xfId="1" applyNumberFormat="1" applyFont="1" applyFill="1"/>
    <xf numFmtId="3" fontId="0" fillId="33" borderId="0" xfId="0" applyNumberFormat="1" applyFill="1" applyAlignment="1"/>
    <xf numFmtId="201" fontId="0" fillId="33" borderId="0" xfId="0" applyNumberFormat="1" applyFill="1"/>
    <xf numFmtId="3" fontId="0" fillId="33" borderId="0" xfId="0" applyNumberFormat="1" applyFill="1"/>
    <xf numFmtId="201" fontId="0" fillId="33" borderId="0" xfId="0" applyNumberFormat="1" applyFill="1" applyBorder="1"/>
    <xf numFmtId="201" fontId="10" fillId="33" borderId="7" xfId="1" applyNumberFormat="1" applyFont="1" applyFill="1" applyBorder="1"/>
    <xf numFmtId="174" fontId="55" fillId="2" borderId="0" xfId="4" applyNumberFormat="1" applyFill="1" applyBorder="1"/>
    <xf numFmtId="174" fontId="10" fillId="0" borderId="0" xfId="0" applyNumberFormat="1" applyFont="1" applyFill="1" applyBorder="1"/>
    <xf numFmtId="174" fontId="10" fillId="0" borderId="0" xfId="0" applyNumberFormat="1" applyFont="1" applyBorder="1"/>
    <xf numFmtId="4" fontId="5" fillId="0" borderId="0" xfId="0" applyNumberFormat="1" applyFont="1" applyBorder="1"/>
    <xf numFmtId="16" fontId="5" fillId="0" borderId="8" xfId="0" applyNumberFormat="1" applyFont="1" applyBorder="1" applyAlignment="1">
      <alignment horizontal="center"/>
    </xf>
    <xf numFmtId="0" fontId="5" fillId="0" borderId="2" xfId="0" applyFont="1" applyFill="1" applyBorder="1"/>
    <xf numFmtId="9" fontId="5" fillId="0" borderId="2" xfId="0" applyNumberFormat="1" applyFont="1" applyFill="1" applyBorder="1" applyAlignment="1"/>
    <xf numFmtId="3" fontId="0" fillId="33" borderId="0" xfId="0" applyNumberFormat="1" applyFont="1" applyFill="1"/>
    <xf numFmtId="174" fontId="86" fillId="0" borderId="0" xfId="0" applyNumberFormat="1" applyFont="1"/>
    <xf numFmtId="0" fontId="5" fillId="33" borderId="0" xfId="0" applyFont="1" applyFill="1" applyBorder="1"/>
    <xf numFmtId="4" fontId="5" fillId="33" borderId="0" xfId="0" applyNumberFormat="1" applyFont="1" applyFill="1" applyBorder="1"/>
    <xf numFmtId="0" fontId="0" fillId="31" borderId="0" xfId="0" applyFill="1"/>
    <xf numFmtId="4" fontId="5" fillId="31" borderId="0" xfId="0" applyNumberFormat="1" applyFont="1" applyFill="1"/>
    <xf numFmtId="0" fontId="0" fillId="2" borderId="11" xfId="0" applyFont="1" applyFill="1" applyBorder="1"/>
    <xf numFmtId="3" fontId="0" fillId="2" borderId="11" xfId="0" applyNumberFormat="1" applyFill="1" applyBorder="1"/>
    <xf numFmtId="3" fontId="0" fillId="2" borderId="11" xfId="0" applyNumberFormat="1" applyFill="1" applyBorder="1" applyAlignment="1">
      <alignment wrapText="1"/>
    </xf>
    <xf numFmtId="0" fontId="0" fillId="2" borderId="11" xfId="0" applyFill="1" applyBorder="1"/>
    <xf numFmtId="3" fontId="5" fillId="2" borderId="11" xfId="0" applyNumberFormat="1" applyFont="1" applyFill="1" applyBorder="1"/>
    <xf numFmtId="179" fontId="0" fillId="0" borderId="0" xfId="0" applyNumberFormat="1" applyFill="1" applyAlignment="1"/>
    <xf numFmtId="174" fontId="5" fillId="0" borderId="8" xfId="0" applyNumberFormat="1" applyFont="1" applyFill="1" applyBorder="1" applyAlignment="1">
      <alignment horizontal="center"/>
    </xf>
    <xf numFmtId="16" fontId="5" fillId="0" borderId="8" xfId="0" applyNumberFormat="1" applyFont="1" applyFill="1" applyBorder="1" applyAlignment="1">
      <alignment horizontal="center"/>
    </xf>
    <xf numFmtId="201" fontId="10" fillId="33" borderId="0" xfId="1" applyNumberFormat="1" applyFont="1" applyFill="1"/>
    <xf numFmtId="174" fontId="0" fillId="33" borderId="0" xfId="0" applyNumberFormat="1" applyFill="1"/>
    <xf numFmtId="0" fontId="87" fillId="27" borderId="0" xfId="0" applyFont="1" applyFill="1" applyBorder="1" applyProtection="1"/>
    <xf numFmtId="0" fontId="71" fillId="0" borderId="0" xfId="0" applyFont="1"/>
    <xf numFmtId="0" fontId="26" fillId="0" borderId="0" xfId="0" applyFont="1"/>
    <xf numFmtId="0" fontId="0" fillId="0" borderId="8" xfId="0" applyFont="1" applyBorder="1"/>
    <xf numFmtId="0" fontId="5" fillId="34" borderId="0" xfId="0" applyFont="1" applyFill="1"/>
    <xf numFmtId="173" fontId="5" fillId="5" borderId="0" xfId="0" applyNumberFormat="1" applyFont="1" applyFill="1"/>
    <xf numFmtId="2" fontId="5" fillId="5" borderId="0" xfId="0" applyNumberFormat="1" applyFont="1" applyFill="1"/>
    <xf numFmtId="165" fontId="5" fillId="0" borderId="0" xfId="0" applyNumberFormat="1" applyFont="1"/>
    <xf numFmtId="175" fontId="5" fillId="0" borderId="0" xfId="0" applyNumberFormat="1" applyFont="1"/>
    <xf numFmtId="0" fontId="72" fillId="0" borderId="0" xfId="0" applyFont="1" applyAlignment="1">
      <alignment horizontal="centerContinuous" wrapText="1"/>
    </xf>
    <xf numFmtId="0" fontId="0" fillId="0" borderId="0" xfId="0" applyAlignment="1">
      <alignment horizontal="centerContinuous" wrapText="1"/>
    </xf>
    <xf numFmtId="0" fontId="73" fillId="0" borderId="0" xfId="0" applyFont="1"/>
    <xf numFmtId="0" fontId="5" fillId="31" borderId="0" xfId="0" applyFont="1" applyFill="1"/>
    <xf numFmtId="0" fontId="5" fillId="31" borderId="8" xfId="0" applyFont="1" applyFill="1" applyBorder="1"/>
    <xf numFmtId="3" fontId="5" fillId="31" borderId="8" xfId="0" applyNumberFormat="1" applyFont="1" applyFill="1" applyBorder="1"/>
    <xf numFmtId="3" fontId="5" fillId="31" borderId="0" xfId="0" applyNumberFormat="1" applyFont="1" applyFill="1"/>
    <xf numFmtId="2" fontId="5" fillId="0" borderId="0" xfId="0" applyNumberFormat="1" applyFont="1" applyFill="1"/>
    <xf numFmtId="180" fontId="0" fillId="0" borderId="0" xfId="0" applyNumberFormat="1" applyFont="1" applyFill="1"/>
    <xf numFmtId="180" fontId="0" fillId="0" borderId="0" xfId="0" applyNumberFormat="1" applyFont="1"/>
    <xf numFmtId="3" fontId="0" fillId="24" borderId="0" xfId="0" applyNumberFormat="1" applyFont="1" applyFill="1"/>
    <xf numFmtId="174" fontId="28" fillId="0" borderId="0" xfId="0" applyNumberFormat="1" applyFont="1" applyFill="1" applyBorder="1" applyAlignment="1">
      <alignment horizontal="center"/>
    </xf>
    <xf numFmtId="16" fontId="5" fillId="0" borderId="8" xfId="0" applyNumberFormat="1" applyFont="1" applyBorder="1" applyProtection="1">
      <protection locked="0"/>
    </xf>
    <xf numFmtId="16" fontId="5" fillId="0" borderId="8" xfId="0" applyNumberFormat="1" applyFont="1" applyBorder="1"/>
    <xf numFmtId="16" fontId="5" fillId="0" borderId="8" xfId="0" applyNumberFormat="1" applyFont="1" applyFill="1" applyBorder="1" applyProtection="1">
      <protection locked="0"/>
    </xf>
    <xf numFmtId="16" fontId="5" fillId="0" borderId="8" xfId="0" applyNumberFormat="1" applyFont="1" applyFill="1" applyBorder="1"/>
    <xf numFmtId="0" fontId="5" fillId="0" borderId="8" xfId="0" applyFont="1" applyFill="1" applyBorder="1"/>
    <xf numFmtId="174" fontId="5" fillId="0" borderId="8" xfId="0" applyNumberFormat="1" applyFont="1" applyFill="1" applyBorder="1"/>
    <xf numFmtId="3" fontId="88" fillId="35" borderId="27" xfId="0" applyNumberFormat="1" applyFont="1" applyFill="1" applyBorder="1" applyAlignment="1">
      <alignment horizontal="right" vertical="top" wrapText="1"/>
    </xf>
    <xf numFmtId="3" fontId="0" fillId="2" borderId="12" xfId="0" applyNumberFormat="1" applyFill="1" applyBorder="1"/>
    <xf numFmtId="3" fontId="0" fillId="36" borderId="0" xfId="0" applyNumberFormat="1" applyFill="1" applyAlignment="1"/>
    <xf numFmtId="0" fontId="0" fillId="36" borderId="0" xfId="0" applyFill="1"/>
    <xf numFmtId="3" fontId="85" fillId="33" borderId="28" xfId="0" applyNumberFormat="1" applyFont="1" applyFill="1" applyBorder="1" applyAlignment="1">
      <alignment horizontal="right" vertical="top"/>
    </xf>
    <xf numFmtId="3" fontId="0" fillId="36" borderId="0" xfId="0" applyNumberFormat="1" applyFill="1"/>
    <xf numFmtId="5" fontId="1" fillId="36" borderId="0" xfId="1" applyNumberFormat="1" applyFont="1" applyFill="1"/>
    <xf numFmtId="5" fontId="10" fillId="36" borderId="0" xfId="1" applyNumberFormat="1" applyFont="1" applyFill="1"/>
    <xf numFmtId="0" fontId="5" fillId="0" borderId="11" xfId="0" applyFont="1" applyFill="1" applyBorder="1" applyAlignment="1">
      <alignment horizontal="center"/>
    </xf>
    <xf numFmtId="0" fontId="0" fillId="36" borderId="0" xfId="0" applyFill="1"/>
    <xf numFmtId="185" fontId="0" fillId="36" borderId="0" xfId="0" applyNumberFormat="1" applyFill="1" applyBorder="1" applyAlignment="1"/>
    <xf numFmtId="185" fontId="18" fillId="0" borderId="0" xfId="4" applyNumberFormat="1" applyFont="1"/>
    <xf numFmtId="3" fontId="89" fillId="0" borderId="0" xfId="0" applyNumberFormat="1" applyFont="1"/>
    <xf numFmtId="0" fontId="5" fillId="24" borderId="0" xfId="0" applyFont="1" applyFill="1"/>
    <xf numFmtId="3" fontId="5" fillId="24" borderId="0" xfId="0" applyNumberFormat="1" applyFont="1" applyFill="1"/>
    <xf numFmtId="3" fontId="0" fillId="0" borderId="0" xfId="0" applyNumberFormat="1" applyFont="1" applyBorder="1"/>
    <xf numFmtId="3" fontId="7" fillId="2" borderId="8" xfId="0" applyNumberFormat="1" applyFont="1" applyFill="1" applyBorder="1"/>
    <xf numFmtId="0" fontId="0" fillId="0" borderId="0" xfId="0" applyFill="1" applyAlignment="1">
      <alignment horizontal="left" wrapText="1"/>
    </xf>
    <xf numFmtId="0" fontId="0" fillId="0" borderId="0" xfId="0" applyFill="1" applyAlignment="1">
      <alignment wrapText="1"/>
    </xf>
    <xf numFmtId="201" fontId="10" fillId="36" borderId="0" xfId="1" applyNumberFormat="1" applyFont="1" applyFill="1"/>
    <xf numFmtId="180" fontId="0" fillId="0" borderId="0" xfId="0" applyNumberFormat="1" applyAlignment="1"/>
    <xf numFmtId="5" fontId="70" fillId="24" borderId="0" xfId="0" applyNumberFormat="1" applyFont="1" applyFill="1"/>
    <xf numFmtId="185" fontId="0" fillId="24" borderId="0" xfId="0" applyNumberFormat="1" applyFill="1"/>
    <xf numFmtId="185" fontId="70" fillId="24" borderId="0" xfId="4" applyNumberFormat="1" applyFont="1" applyFill="1"/>
    <xf numFmtId="3" fontId="55" fillId="2" borderId="0" xfId="4" applyNumberFormat="1" applyFill="1" applyBorder="1"/>
    <xf numFmtId="3" fontId="0" fillId="2" borderId="13" xfId="0" applyNumberFormat="1" applyFill="1" applyBorder="1"/>
    <xf numFmtId="3" fontId="55" fillId="2" borderId="0" xfId="4" applyNumberFormat="1" applyFill="1"/>
    <xf numFmtId="0" fontId="90" fillId="0" borderId="0" xfId="0" applyFont="1" applyFill="1" applyAlignment="1">
      <alignment wrapText="1"/>
    </xf>
    <xf numFmtId="0" fontId="0" fillId="0" borderId="0" xfId="0" applyFill="1" applyAlignment="1">
      <alignment horizontal="centerContinuous" vertical="top" wrapText="1"/>
    </xf>
    <xf numFmtId="185" fontId="18" fillId="0" borderId="0" xfId="4" applyNumberFormat="1" applyFont="1" applyFill="1"/>
    <xf numFmtId="5" fontId="10" fillId="0" borderId="0" xfId="1" applyNumberFormat="1" applyFont="1" applyFill="1"/>
    <xf numFmtId="8" fontId="0" fillId="0" borderId="0" xfId="0" applyNumberFormat="1" applyFill="1" applyAlignment="1">
      <alignment wrapText="1"/>
    </xf>
    <xf numFmtId="0" fontId="0" fillId="37" borderId="0" xfId="0" applyFill="1" applyAlignment="1">
      <alignment wrapText="1"/>
    </xf>
    <xf numFmtId="173" fontId="0" fillId="0" borderId="0" xfId="0" applyNumberFormat="1" applyFill="1" applyAlignment="1">
      <alignment wrapText="1"/>
    </xf>
    <xf numFmtId="173" fontId="0" fillId="38" borderId="6" xfId="0" applyNumberFormat="1" applyFill="1" applyBorder="1" applyAlignment="1">
      <alignment wrapText="1"/>
    </xf>
    <xf numFmtId="10" fontId="0" fillId="0" borderId="0" xfId="0" applyNumberFormat="1" applyFill="1" applyAlignment="1">
      <alignment wrapText="1"/>
    </xf>
    <xf numFmtId="0" fontId="0" fillId="0" borderId="0" xfId="0" applyFont="1" applyAlignment="1">
      <alignment horizontal="left" vertical="center" indent="1"/>
    </xf>
    <xf numFmtId="185" fontId="0" fillId="0" borderId="0" xfId="0" applyNumberFormat="1" applyFill="1" applyAlignment="1">
      <alignment wrapText="1"/>
    </xf>
    <xf numFmtId="0" fontId="0" fillId="0" borderId="8" xfId="0" applyFill="1" applyBorder="1" applyAlignment="1">
      <alignment wrapText="1"/>
    </xf>
    <xf numFmtId="0" fontId="5" fillId="0" borderId="0" xfId="0" applyFont="1" applyAlignment="1">
      <alignment vertical="center"/>
    </xf>
    <xf numFmtId="0" fontId="0" fillId="39" borderId="0" xfId="0" applyFill="1"/>
    <xf numFmtId="0" fontId="45" fillId="0" borderId="1" xfId="3" applyFont="1" applyBorder="1" applyAlignment="1" applyProtection="1">
      <alignment horizontal="center"/>
    </xf>
    <xf numFmtId="0" fontId="8" fillId="0" borderId="1" xfId="3" applyBorder="1" applyAlignment="1" applyProtection="1">
      <alignment horizontal="center"/>
    </xf>
    <xf numFmtId="0" fontId="46" fillId="10" borderId="14" xfId="0" applyFont="1" applyFill="1" applyBorder="1" applyAlignment="1">
      <alignment horizontal="center" vertical="center" wrapText="1"/>
    </xf>
    <xf numFmtId="0" fontId="40" fillId="10" borderId="15" xfId="0" applyFont="1" applyFill="1" applyBorder="1" applyAlignment="1">
      <alignment horizontal="center" vertical="center" wrapText="1"/>
    </xf>
    <xf numFmtId="0" fontId="40" fillId="10" borderId="16" xfId="0" applyFont="1" applyFill="1" applyBorder="1" applyAlignment="1">
      <alignment horizontal="center" vertical="center" wrapText="1"/>
    </xf>
    <xf numFmtId="0" fontId="40" fillId="10" borderId="0" xfId="0" applyFont="1" applyFill="1" applyBorder="1" applyAlignment="1">
      <alignment horizontal="center" vertical="center" wrapText="1"/>
    </xf>
    <xf numFmtId="0" fontId="43" fillId="0" borderId="0" xfId="0" applyNumberFormat="1" applyFont="1" applyBorder="1" applyAlignment="1">
      <alignment horizontal="left" wrapText="1" shrinkToFit="1"/>
    </xf>
    <xf numFmtId="0" fontId="37" fillId="0" borderId="0" xfId="0" applyNumberFormat="1" applyFont="1" applyBorder="1" applyAlignment="1">
      <alignment horizontal="left" wrapText="1" shrinkToFit="1"/>
    </xf>
    <xf numFmtId="0" fontId="56" fillId="0" borderId="0" xfId="0" applyNumberFormat="1" applyFont="1" applyBorder="1" applyAlignment="1">
      <alignment horizontal="center" wrapText="1" shrinkToFit="1"/>
    </xf>
    <xf numFmtId="0" fontId="44" fillId="0" borderId="0" xfId="0" applyFont="1" applyAlignment="1">
      <alignment horizontal="center" wrapText="1" shrinkToFit="1"/>
    </xf>
    <xf numFmtId="0" fontId="8" fillId="0" borderId="17" xfId="3" applyBorder="1" applyAlignment="1" applyProtection="1">
      <alignment horizontal="center"/>
    </xf>
    <xf numFmtId="0" fontId="8" fillId="0" borderId="18" xfId="3" applyBorder="1" applyAlignment="1" applyProtection="1">
      <alignment horizontal="center"/>
    </xf>
    <xf numFmtId="0" fontId="8" fillId="0" borderId="19" xfId="3" applyBorder="1" applyAlignment="1" applyProtection="1">
      <alignment horizontal="center"/>
    </xf>
    <xf numFmtId="0" fontId="8" fillId="0" borderId="0" xfId="3" applyAlignment="1" applyProtection="1">
      <alignment horizontal="center"/>
    </xf>
    <xf numFmtId="0" fontId="8" fillId="0" borderId="20" xfId="3" applyBorder="1" applyAlignment="1" applyProtection="1">
      <alignment horizontal="center"/>
    </xf>
    <xf numFmtId="0" fontId="8" fillId="0" borderId="21" xfId="3" applyBorder="1" applyAlignment="1" applyProtection="1">
      <alignment horizontal="center"/>
    </xf>
    <xf numFmtId="0" fontId="5" fillId="0" borderId="10" xfId="0" applyFont="1" applyFill="1" applyBorder="1" applyAlignment="1">
      <alignment horizontal="left" vertical="center"/>
    </xf>
    <xf numFmtId="0" fontId="0" fillId="0" borderId="10" xfId="0" applyFill="1" applyBorder="1" applyAlignment="1">
      <alignment horizontal="left" vertical="center"/>
    </xf>
    <xf numFmtId="0" fontId="42" fillId="0" borderId="10" xfId="0" applyFont="1" applyBorder="1" applyAlignment="1">
      <alignment horizontal="center" vertical="center"/>
    </xf>
    <xf numFmtId="0" fontId="0" fillId="0" borderId="10" xfId="0" applyFill="1" applyBorder="1" applyAlignment="1">
      <alignment horizontal="left" vertical="center" wrapText="1"/>
    </xf>
    <xf numFmtId="0" fontId="6" fillId="0" borderId="10" xfId="0" applyFont="1" applyBorder="1" applyAlignment="1">
      <alignment horizontal="left"/>
    </xf>
    <xf numFmtId="0" fontId="0" fillId="0" borderId="10" xfId="0" applyBorder="1" applyAlignment="1">
      <alignment horizontal="left"/>
    </xf>
    <xf numFmtId="0" fontId="1" fillId="0" borderId="10" xfId="0" applyFont="1" applyFill="1" applyBorder="1" applyAlignment="1">
      <alignment horizontal="left" vertical="center"/>
    </xf>
    <xf numFmtId="0" fontId="1" fillId="0" borderId="10" xfId="0" applyFont="1" applyFill="1" applyBorder="1" applyAlignment="1">
      <alignment horizontal="left" vertical="center" wrapText="1"/>
    </xf>
    <xf numFmtId="0" fontId="6" fillId="0" borderId="0" xfId="0" applyFont="1" applyAlignment="1">
      <alignment horizontal="left" wrapText="1"/>
    </xf>
    <xf numFmtId="0" fontId="14" fillId="0" borderId="0" xfId="0" applyFont="1" applyAlignment="1">
      <alignment vertical="top" wrapText="1"/>
    </xf>
    <xf numFmtId="0" fontId="0" fillId="0" borderId="0" xfId="0" applyAlignment="1">
      <alignment vertical="top" wrapText="1"/>
    </xf>
    <xf numFmtId="0" fontId="8" fillId="0" borderId="0" xfId="3" applyAlignment="1" applyProtection="1">
      <alignment vertical="top" wrapText="1"/>
    </xf>
    <xf numFmtId="0" fontId="6" fillId="0" borderId="0" xfId="0" applyFont="1" applyAlignment="1">
      <alignment horizontal="left"/>
    </xf>
    <xf numFmtId="0" fontId="27" fillId="7" borderId="0" xfId="0" applyFont="1" applyFill="1" applyAlignment="1">
      <alignment horizontal="left"/>
    </xf>
    <xf numFmtId="0" fontId="0" fillId="0" borderId="0" xfId="0" applyAlignment="1"/>
    <xf numFmtId="0" fontId="0" fillId="0" borderId="0" xfId="0" applyAlignment="1">
      <alignment wrapText="1"/>
    </xf>
    <xf numFmtId="0" fontId="4" fillId="0" borderId="0" xfId="0" applyFont="1" applyAlignment="1">
      <alignment horizontal="left" wrapText="1"/>
    </xf>
    <xf numFmtId="0" fontId="0" fillId="0" borderId="0" xfId="0" applyAlignment="1">
      <alignment horizontal="left"/>
    </xf>
    <xf numFmtId="0" fontId="0" fillId="2" borderId="0" xfId="0" applyFill="1" applyAlignment="1">
      <alignment horizontal="left" wrapText="1"/>
    </xf>
    <xf numFmtId="0" fontId="0" fillId="0" borderId="0" xfId="0" applyAlignment="1">
      <alignment horizontal="left" wrapText="1"/>
    </xf>
    <xf numFmtId="0" fontId="2" fillId="8" borderId="0" xfId="0" applyFont="1" applyFill="1" applyAlignment="1">
      <alignment horizontal="center"/>
    </xf>
    <xf numFmtId="0" fontId="5" fillId="0" borderId="0" xfId="0" applyFont="1" applyAlignment="1">
      <alignment horizontal="left" wrapText="1"/>
    </xf>
    <xf numFmtId="0" fontId="0" fillId="0" borderId="0" xfId="0" applyAlignment="1">
      <alignment horizontal="left" wrapText="1" shrinkToFit="1"/>
    </xf>
    <xf numFmtId="0" fontId="2" fillId="16" borderId="0" xfId="0" applyFont="1" applyFill="1" applyAlignment="1" applyProtection="1">
      <alignment horizontal="center"/>
      <protection locked="0"/>
    </xf>
    <xf numFmtId="0" fontId="4" fillId="0" borderId="0" xfId="0" applyFont="1" applyAlignment="1" applyProtection="1">
      <alignment horizontal="left" wrapText="1"/>
      <protection locked="0"/>
    </xf>
    <xf numFmtId="0" fontId="0" fillId="4" borderId="0" xfId="0" applyFill="1" applyAlignment="1">
      <alignment horizontal="left" wrapText="1"/>
    </xf>
    <xf numFmtId="0" fontId="2" fillId="16" borderId="0" xfId="0" applyFont="1" applyFill="1" applyAlignment="1">
      <alignment horizontal="left"/>
    </xf>
    <xf numFmtId="0" fontId="0" fillId="0" borderId="0" xfId="0" applyFill="1" applyAlignment="1">
      <alignment horizontal="left" wrapText="1"/>
    </xf>
    <xf numFmtId="0" fontId="0" fillId="4" borderId="0" xfId="0" applyFill="1" applyAlignment="1">
      <alignment horizontal="left" wrapText="1" shrinkToFit="1"/>
    </xf>
    <xf numFmtId="0" fontId="4" fillId="0" borderId="0" xfId="0" applyFont="1" applyAlignment="1">
      <alignment wrapText="1"/>
    </xf>
    <xf numFmtId="0" fontId="32" fillId="0" borderId="0" xfId="0" applyFont="1" applyFill="1" applyAlignment="1">
      <alignment horizontal="left"/>
    </xf>
    <xf numFmtId="0" fontId="2" fillId="10" borderId="0" xfId="0" applyFont="1" applyFill="1" applyAlignment="1"/>
    <xf numFmtId="0" fontId="0" fillId="10" borderId="0" xfId="0" applyFill="1" applyAlignment="1"/>
    <xf numFmtId="0" fontId="4" fillId="0" borderId="0" xfId="0" applyFont="1" applyAlignment="1">
      <alignment horizontal="left"/>
    </xf>
    <xf numFmtId="0" fontId="4" fillId="4" borderId="0" xfId="0" applyFont="1" applyFill="1" applyAlignment="1">
      <alignment horizontal="left" vertical="top" wrapText="1"/>
    </xf>
    <xf numFmtId="0" fontId="10" fillId="4" borderId="0" xfId="0" applyFont="1" applyFill="1" applyAlignment="1">
      <alignment horizontal="left" wrapText="1"/>
    </xf>
    <xf numFmtId="0" fontId="2" fillId="3" borderId="0" xfId="0" applyFont="1" applyFill="1" applyAlignment="1">
      <alignment horizontal="left"/>
    </xf>
    <xf numFmtId="0" fontId="0" fillId="2" borderId="0" xfId="0" applyFill="1" applyAlignment="1">
      <alignment horizontal="left"/>
    </xf>
    <xf numFmtId="0" fontId="1" fillId="2" borderId="0" xfId="0" applyFont="1" applyFill="1" applyAlignment="1">
      <alignment horizontal="left" wrapText="1"/>
    </xf>
    <xf numFmtId="0" fontId="5" fillId="0" borderId="0" xfId="0" applyFont="1" applyAlignment="1">
      <alignment horizontal="left"/>
    </xf>
    <xf numFmtId="0" fontId="10" fillId="0" borderId="0" xfId="0" applyFont="1" applyAlignment="1">
      <alignment horizontal="left" wrapText="1"/>
    </xf>
    <xf numFmtId="0" fontId="2" fillId="21" borderId="0" xfId="0" applyFont="1" applyFill="1" applyAlignment="1" applyProtection="1">
      <alignment horizontal="left"/>
    </xf>
    <xf numFmtId="0" fontId="32" fillId="0" borderId="0" xfId="0" applyFont="1" applyAlignment="1" applyProtection="1">
      <alignment horizontal="left"/>
    </xf>
    <xf numFmtId="0" fontId="4" fillId="0" borderId="0" xfId="0" applyFont="1" applyAlignment="1" applyProtection="1">
      <alignment horizontal="left" wrapText="1"/>
    </xf>
    <xf numFmtId="0" fontId="6" fillId="0" borderId="0" xfId="0" applyFont="1" applyAlignment="1" applyProtection="1">
      <alignment horizontal="left"/>
    </xf>
    <xf numFmtId="0" fontId="0" fillId="5" borderId="0" xfId="0" applyFill="1" applyAlignment="1" applyProtection="1">
      <alignment horizontal="left" vertical="top" wrapText="1"/>
    </xf>
    <xf numFmtId="0" fontId="9" fillId="0" borderId="0" xfId="0" applyFont="1" applyAlignment="1">
      <alignment horizontal="left" wrapText="1"/>
    </xf>
    <xf numFmtId="0" fontId="0" fillId="4" borderId="0" xfId="0" applyFill="1" applyAlignment="1">
      <alignment horizontal="left"/>
    </xf>
    <xf numFmtId="0" fontId="0" fillId="6" borderId="0" xfId="0" applyFill="1" applyAlignment="1">
      <alignment horizontal="left" wrapText="1"/>
    </xf>
    <xf numFmtId="0" fontId="35" fillId="6" borderId="0" xfId="0" applyFont="1" applyFill="1" applyAlignment="1">
      <alignment horizontal="left" vertical="top" wrapText="1"/>
    </xf>
    <xf numFmtId="0" fontId="0" fillId="6" borderId="0" xfId="0" applyFont="1" applyFill="1" applyAlignment="1">
      <alignment horizontal="left" wrapText="1"/>
    </xf>
    <xf numFmtId="0" fontId="10" fillId="6" borderId="0" xfId="0" applyFont="1" applyFill="1" applyAlignment="1">
      <alignment horizontal="left" vertical="top" wrapText="1"/>
    </xf>
    <xf numFmtId="0" fontId="0" fillId="6" borderId="0" xfId="0" applyFill="1" applyAlignment="1">
      <alignment horizontal="left" vertical="top" wrapText="1"/>
    </xf>
    <xf numFmtId="0" fontId="7" fillId="0" borderId="0" xfId="0" applyFont="1" applyFill="1" applyAlignment="1">
      <alignment horizontal="left" wrapText="1"/>
    </xf>
    <xf numFmtId="0" fontId="0" fillId="0" borderId="0" xfId="0" applyBorder="1" applyAlignment="1">
      <alignment horizontal="left"/>
    </xf>
    <xf numFmtId="0" fontId="10" fillId="6" borderId="0" xfId="0" applyFont="1" applyFill="1" applyAlignment="1">
      <alignment horizontal="left" wrapText="1"/>
    </xf>
    <xf numFmtId="0" fontId="2" fillId="21" borderId="0" xfId="0" applyFont="1" applyFill="1" applyAlignment="1">
      <alignment horizontal="left"/>
    </xf>
    <xf numFmtId="0" fontId="5" fillId="0" borderId="0" xfId="0" applyFont="1" applyAlignment="1">
      <alignment horizontal="left" wrapText="1" shrinkToFit="1"/>
    </xf>
    <xf numFmtId="0" fontId="0" fillId="0" borderId="0" xfId="0" applyFill="1" applyAlignment="1">
      <alignment wrapText="1"/>
    </xf>
    <xf numFmtId="0" fontId="2" fillId="22" borderId="0" xfId="0" applyFont="1" applyFill="1" applyAlignment="1"/>
    <xf numFmtId="0" fontId="0" fillId="22" borderId="0" xfId="0" applyFill="1" applyAlignment="1"/>
    <xf numFmtId="0" fontId="5" fillId="0" borderId="0" xfId="0" applyFont="1" applyAlignment="1">
      <alignment wrapText="1"/>
    </xf>
    <xf numFmtId="0" fontId="47" fillId="0" borderId="0" xfId="0" applyFont="1" applyAlignment="1">
      <alignment horizontal="left" wrapText="1"/>
    </xf>
    <xf numFmtId="0" fontId="2" fillId="22" borderId="0" xfId="0" applyFont="1" applyFill="1" applyAlignment="1">
      <alignment horizontal="left"/>
    </xf>
    <xf numFmtId="0" fontId="47" fillId="0" borderId="0" xfId="0" applyFont="1" applyFill="1" applyAlignment="1">
      <alignment horizontal="left"/>
    </xf>
    <xf numFmtId="0" fontId="0" fillId="36" borderId="0" xfId="0" applyFill="1"/>
    <xf numFmtId="0" fontId="22" fillId="23" borderId="0" xfId="0" applyFont="1" applyFill="1" applyAlignment="1">
      <alignment wrapText="1"/>
    </xf>
    <xf numFmtId="0" fontId="23" fillId="23" borderId="0" xfId="0" applyFont="1" applyFill="1" applyAlignment="1">
      <alignment wrapText="1"/>
    </xf>
    <xf numFmtId="0" fontId="27" fillId="23" borderId="0" xfId="0" applyFont="1" applyFill="1" applyAlignment="1">
      <alignment horizontal="left" wrapText="1"/>
    </xf>
    <xf numFmtId="0" fontId="5" fillId="0" borderId="0" xfId="0" applyFont="1" applyFill="1" applyAlignment="1">
      <alignment horizontal="left"/>
    </xf>
    <xf numFmtId="0" fontId="4" fillId="0" borderId="0" xfId="0" applyFont="1" applyFill="1" applyAlignment="1">
      <alignment horizontal="left" wrapText="1"/>
    </xf>
    <xf numFmtId="0" fontId="0" fillId="12" borderId="0" xfId="0" applyFill="1" applyAlignment="1">
      <alignment horizontal="left"/>
    </xf>
    <xf numFmtId="0" fontId="0" fillId="12" borderId="0" xfId="0" applyFill="1" applyAlignment="1">
      <alignment horizontal="left" wrapText="1"/>
    </xf>
    <xf numFmtId="0" fontId="27" fillId="6" borderId="0" xfId="0" applyFont="1" applyFill="1" applyBorder="1" applyAlignment="1">
      <alignment horizontal="left"/>
    </xf>
    <xf numFmtId="0" fontId="0" fillId="0" borderId="0" xfId="0" applyAlignment="1">
      <alignment horizontal="center" wrapText="1"/>
    </xf>
    <xf numFmtId="0" fontId="0" fillId="4" borderId="0" xfId="0" applyFill="1" applyAlignment="1">
      <alignment horizontal="left" vertical="top" wrapText="1"/>
    </xf>
    <xf numFmtId="0" fontId="0" fillId="2" borderId="0" xfId="0" applyFill="1" applyAlignment="1">
      <alignment horizontal="left" vertical="top" wrapText="1"/>
    </xf>
    <xf numFmtId="0" fontId="0" fillId="18" borderId="0" xfId="0" applyFill="1" applyAlignment="1">
      <alignment horizontal="left" vertical="top" wrapText="1"/>
    </xf>
    <xf numFmtId="0" fontId="0" fillId="0" borderId="0" xfId="0" applyAlignment="1">
      <alignment horizontal="left" vertical="top" wrapText="1"/>
    </xf>
    <xf numFmtId="0" fontId="27" fillId="9" borderId="0" xfId="0" applyFont="1" applyFill="1" applyAlignment="1">
      <alignment horizontal="left"/>
    </xf>
    <xf numFmtId="0" fontId="4" fillId="0" borderId="0" xfId="0" applyFont="1" applyAlignment="1">
      <alignment horizontal="left" vertical="top" wrapText="1"/>
    </xf>
    <xf numFmtId="0" fontId="0" fillId="0" borderId="0" xfId="0" applyAlignment="1">
      <alignment horizontal="left" vertical="top"/>
    </xf>
    <xf numFmtId="16" fontId="4" fillId="0" borderId="0" xfId="0" applyNumberFormat="1" applyFont="1" applyAlignment="1">
      <alignment horizontal="left" vertical="top" wrapText="1"/>
    </xf>
    <xf numFmtId="16" fontId="10" fillId="0" borderId="0" xfId="0" applyNumberFormat="1" applyFont="1" applyAlignment="1">
      <alignment horizontal="left" vertical="top" wrapText="1"/>
    </xf>
    <xf numFmtId="0" fontId="7" fillId="0" borderId="0" xfId="0" applyFont="1"/>
    <xf numFmtId="0" fontId="0" fillId="0" borderId="0" xfId="0"/>
    <xf numFmtId="0" fontId="0" fillId="40" borderId="2" xfId="0" applyFill="1" applyBorder="1"/>
    <xf numFmtId="0" fontId="0" fillId="41" borderId="0" xfId="0" applyFill="1"/>
    <xf numFmtId="0" fontId="0" fillId="42" borderId="0" xfId="0" applyFill="1"/>
    <xf numFmtId="0" fontId="0" fillId="46" borderId="0" xfId="0" applyFill="1"/>
    <xf numFmtId="0" fontId="91" fillId="46" borderId="0" xfId="3" applyFont="1" applyFill="1" applyBorder="1" applyAlignment="1" applyProtection="1"/>
    <xf numFmtId="0" fontId="0" fillId="46" borderId="8" xfId="0" applyFill="1" applyBorder="1"/>
    <xf numFmtId="0" fontId="8" fillId="46" borderId="0" xfId="3" applyFill="1" applyBorder="1" applyAlignment="1" applyProtection="1"/>
    <xf numFmtId="0" fontId="0" fillId="41" borderId="0" xfId="0" applyFill="1" applyBorder="1"/>
    <xf numFmtId="0" fontId="0" fillId="42" borderId="0" xfId="0" applyFill="1" applyBorder="1"/>
    <xf numFmtId="0" fontId="0" fillId="39" borderId="0" xfId="0" applyFill="1" applyBorder="1"/>
    <xf numFmtId="0" fontId="0" fillId="46" borderId="0" xfId="0" applyFill="1" applyBorder="1"/>
    <xf numFmtId="0" fontId="0" fillId="40" borderId="29" xfId="0" applyFill="1" applyBorder="1"/>
    <xf numFmtId="0" fontId="0" fillId="41" borderId="30" xfId="0" applyFill="1" applyBorder="1"/>
    <xf numFmtId="0" fontId="0" fillId="42" borderId="30" xfId="0" applyFill="1" applyBorder="1"/>
    <xf numFmtId="0" fontId="0" fillId="39" borderId="30" xfId="0" applyFill="1" applyBorder="1"/>
    <xf numFmtId="0" fontId="0" fillId="46" borderId="30" xfId="0" applyFill="1" applyBorder="1"/>
    <xf numFmtId="0" fontId="0" fillId="46" borderId="31" xfId="0" applyFill="1" applyBorder="1"/>
    <xf numFmtId="0" fontId="0" fillId="0" borderId="30" xfId="0" applyBorder="1"/>
    <xf numFmtId="0" fontId="0" fillId="0" borderId="32" xfId="0" applyBorder="1"/>
    <xf numFmtId="0" fontId="0" fillId="0" borderId="11" xfId="0" applyBorder="1"/>
    <xf numFmtId="0" fontId="0" fillId="43" borderId="30" xfId="0" applyFill="1" applyBorder="1"/>
    <xf numFmtId="0" fontId="0" fillId="43" borderId="0" xfId="0" applyFill="1" applyBorder="1"/>
    <xf numFmtId="0" fontId="0" fillId="44" borderId="30" xfId="0" applyFill="1" applyBorder="1"/>
    <xf numFmtId="0" fontId="0" fillId="44" borderId="0" xfId="0" applyFill="1" applyBorder="1"/>
    <xf numFmtId="0" fontId="0" fillId="45" borderId="30" xfId="0" applyFill="1" applyBorder="1"/>
    <xf numFmtId="0" fontId="0" fillId="45" borderId="0" xfId="0" applyFill="1" applyBorder="1"/>
    <xf numFmtId="0" fontId="0" fillId="45" borderId="0" xfId="0" applyFill="1" applyBorder="1" applyAlignment="1">
      <alignment wrapText="1"/>
    </xf>
    <xf numFmtId="0" fontId="92" fillId="46" borderId="30" xfId="3" applyFont="1" applyFill="1" applyBorder="1" applyAlignment="1" applyProtection="1"/>
    <xf numFmtId="2" fontId="0" fillId="41" borderId="30" xfId="0" applyNumberFormat="1" applyFill="1" applyBorder="1"/>
    <xf numFmtId="2" fontId="0" fillId="0" borderId="32" xfId="0" applyNumberFormat="1" applyBorder="1"/>
    <xf numFmtId="2" fontId="0" fillId="0" borderId="11" xfId="0" applyNumberFormat="1" applyBorder="1"/>
    <xf numFmtId="2" fontId="0" fillId="42" borderId="30" xfId="0" applyNumberFormat="1" applyFill="1" applyBorder="1"/>
    <xf numFmtId="2" fontId="0" fillId="43" borderId="30" xfId="0" applyNumberFormat="1" applyFill="1" applyBorder="1"/>
    <xf numFmtId="2" fontId="90" fillId="44" borderId="30" xfId="0" applyNumberFormat="1" applyFont="1" applyFill="1" applyBorder="1"/>
    <xf numFmtId="2" fontId="0" fillId="44" borderId="30" xfId="0" applyNumberFormat="1" applyFill="1" applyBorder="1"/>
    <xf numFmtId="2" fontId="0" fillId="39" borderId="30" xfId="0" applyNumberFormat="1" applyFill="1" applyBorder="1"/>
    <xf numFmtId="2" fontId="1" fillId="39" borderId="0" xfId="0" applyNumberFormat="1" applyFont="1" applyFill="1"/>
    <xf numFmtId="2" fontId="0" fillId="39" borderId="0" xfId="0" applyNumberFormat="1" applyFont="1" applyFill="1"/>
    <xf numFmtId="2" fontId="0" fillId="39" borderId="0" xfId="0" applyNumberFormat="1" applyFill="1" applyBorder="1"/>
    <xf numFmtId="2" fontId="90" fillId="45" borderId="30" xfId="0" applyNumberFormat="1" applyFont="1" applyFill="1" applyBorder="1"/>
    <xf numFmtId="2" fontId="0" fillId="45" borderId="30" xfId="0" applyNumberFormat="1" applyFill="1" applyBorder="1"/>
    <xf numFmtId="2" fontId="0" fillId="46" borderId="30" xfId="0" applyNumberFormat="1" applyFill="1" applyBorder="1"/>
    <xf numFmtId="2" fontId="90" fillId="46" borderId="30" xfId="0" applyNumberFormat="1" applyFont="1" applyFill="1" applyBorder="1"/>
    <xf numFmtId="2" fontId="0" fillId="46" borderId="31" xfId="0" applyNumberFormat="1" applyFill="1" applyBorder="1"/>
  </cellXfs>
  <cellStyles count="7">
    <cellStyle name="Comma" xfId="1" builtinId="3"/>
    <cellStyle name="Currency" xfId="2" builtinId="4"/>
    <cellStyle name="Hyperlink" xfId="3" builtinId="8"/>
    <cellStyle name="Normal" xfId="0" builtinId="0"/>
    <cellStyle name="Normal 2" xfId="4"/>
    <cellStyle name="Normal_Sheet1" xfId="5"/>
    <cellStyle name="Percent" xfId="6"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50" b="0" i="0" u="none" strike="noStrike" baseline="0">
                <a:solidFill>
                  <a:srgbClr val="000000"/>
                </a:solidFill>
                <a:latin typeface="Arial"/>
                <a:ea typeface="Arial"/>
                <a:cs typeface="Arial"/>
              </a:defRPr>
            </a:pPr>
            <a:r>
              <a:rPr lang="en-US" sz="1200" b="0" i="0" u="none" strike="noStrike" baseline="0">
                <a:solidFill>
                  <a:srgbClr val="000000"/>
                </a:solidFill>
                <a:latin typeface="Calibri" pitchFamily="2" charset="0"/>
                <a:cs typeface="Calibri" pitchFamily="2" charset="0"/>
              </a:rPr>
              <a:t>MTCDE By Source and Fiscal Year </a:t>
            </a:r>
          </a:p>
          <a:p>
            <a:pPr>
              <a:defRPr sz="250" b="0" i="0" u="none" strike="noStrike" baseline="0">
                <a:solidFill>
                  <a:srgbClr val="000000"/>
                </a:solidFill>
                <a:latin typeface="Arial"/>
                <a:ea typeface="Arial"/>
                <a:cs typeface="Arial"/>
              </a:defRPr>
            </a:pPr>
            <a:r>
              <a:rPr lang="en-US" sz="1200" b="0" i="0" u="none" strike="noStrike" baseline="0">
                <a:solidFill>
                  <a:srgbClr val="000000"/>
                </a:solidFill>
                <a:latin typeface="Calibri" pitchFamily="2" charset="0"/>
                <a:cs typeface="Calibri" pitchFamily="2" charset="0"/>
              </a:rPr>
              <a:t>(w/o offsets)</a:t>
            </a:r>
          </a:p>
        </c:rich>
      </c:tx>
      <c:overlay val="0"/>
      <c:spPr>
        <a:noFill/>
        <a:ln w="25400">
          <a:noFill/>
        </a:ln>
      </c:spPr>
    </c:title>
    <c:autoTitleDeleted val="0"/>
    <c:plotArea>
      <c:layout/>
      <c:barChart>
        <c:barDir val="col"/>
        <c:grouping val="stacked"/>
        <c:varyColors val="0"/>
        <c:ser>
          <c:idx val="0"/>
          <c:order val="0"/>
          <c:tx>
            <c:v>Summary!#REF!</c:v>
          </c:tx>
          <c:spPr>
            <a:solidFill>
              <a:srgbClr val="9999FF"/>
            </a:solidFill>
            <a:ln w="12700">
              <a:solidFill>
                <a:srgbClr val="000000"/>
              </a:solidFill>
              <a:prstDash val="solid"/>
            </a:ln>
          </c:spPr>
          <c:invertIfNegative val="0"/>
          <c:cat>
            <c:numRef>
              <c:f>Summary!#REF!</c:f>
              <c:numCache>
                <c:formatCode>General</c:formatCode>
                <c:ptCount val="1"/>
                <c:pt idx="0">
                  <c:v>1</c:v>
                </c:pt>
              </c:numCache>
            </c:numRef>
          </c:cat>
          <c:val>
            <c:numRef>
              <c:f>Summary!#REF!</c:f>
              <c:numCache>
                <c:formatCode>General</c:formatCode>
                <c:ptCount val="1"/>
                <c:pt idx="0">
                  <c:v>1</c:v>
                </c:pt>
              </c:numCache>
            </c:numRef>
          </c:val>
          <c:extLst>
            <c:ext xmlns:c16="http://schemas.microsoft.com/office/drawing/2014/chart" uri="{C3380CC4-5D6E-409C-BE32-E72D297353CC}">
              <c16:uniqueId val="{00000000-101E-BD44-958F-7C437E8D7579}"/>
            </c:ext>
          </c:extLst>
        </c:ser>
        <c:ser>
          <c:idx val="1"/>
          <c:order val="1"/>
          <c:tx>
            <c:v>Summary!#REF!</c:v>
          </c:tx>
          <c:spPr>
            <a:solidFill>
              <a:srgbClr val="993366"/>
            </a:solidFill>
            <a:ln w="12700">
              <a:solidFill>
                <a:srgbClr val="000000"/>
              </a:solidFill>
              <a:prstDash val="solid"/>
            </a:ln>
          </c:spPr>
          <c:invertIfNegative val="0"/>
          <c:cat>
            <c:numRef>
              <c:f>Summary!#REF!</c:f>
              <c:numCache>
                <c:formatCode>General</c:formatCode>
                <c:ptCount val="1"/>
                <c:pt idx="0">
                  <c:v>1</c:v>
                </c:pt>
              </c:numCache>
            </c:numRef>
          </c:cat>
          <c:val>
            <c:numRef>
              <c:f>Summary!#REF!</c:f>
              <c:numCache>
                <c:formatCode>General</c:formatCode>
                <c:ptCount val="1"/>
                <c:pt idx="0">
                  <c:v>1</c:v>
                </c:pt>
              </c:numCache>
            </c:numRef>
          </c:val>
          <c:extLst>
            <c:ext xmlns:c16="http://schemas.microsoft.com/office/drawing/2014/chart" uri="{C3380CC4-5D6E-409C-BE32-E72D297353CC}">
              <c16:uniqueId val="{00000001-101E-BD44-958F-7C437E8D7579}"/>
            </c:ext>
          </c:extLst>
        </c:ser>
        <c:ser>
          <c:idx val="2"/>
          <c:order val="2"/>
          <c:tx>
            <c:v>Summary!#REF!</c:v>
          </c:tx>
          <c:spPr>
            <a:solidFill>
              <a:srgbClr val="FFFFCC"/>
            </a:solidFill>
            <a:ln w="12700">
              <a:solidFill>
                <a:srgbClr val="000000"/>
              </a:solidFill>
              <a:prstDash val="solid"/>
            </a:ln>
          </c:spPr>
          <c:invertIfNegative val="0"/>
          <c:cat>
            <c:numRef>
              <c:f>Summary!#REF!</c:f>
              <c:numCache>
                <c:formatCode>General</c:formatCode>
                <c:ptCount val="1"/>
                <c:pt idx="0">
                  <c:v>1</c:v>
                </c:pt>
              </c:numCache>
            </c:numRef>
          </c:cat>
          <c:val>
            <c:numRef>
              <c:f>Summary!#REF!</c:f>
              <c:numCache>
                <c:formatCode>General</c:formatCode>
                <c:ptCount val="1"/>
                <c:pt idx="0">
                  <c:v>1</c:v>
                </c:pt>
              </c:numCache>
            </c:numRef>
          </c:val>
          <c:extLst>
            <c:ext xmlns:c16="http://schemas.microsoft.com/office/drawing/2014/chart" uri="{C3380CC4-5D6E-409C-BE32-E72D297353CC}">
              <c16:uniqueId val="{00000002-101E-BD44-958F-7C437E8D7579}"/>
            </c:ext>
          </c:extLst>
        </c:ser>
        <c:ser>
          <c:idx val="3"/>
          <c:order val="3"/>
          <c:tx>
            <c:v>Summary!#REF!</c:v>
          </c:tx>
          <c:spPr>
            <a:solidFill>
              <a:srgbClr val="CCFFFF"/>
            </a:solidFill>
            <a:ln w="12700">
              <a:solidFill>
                <a:srgbClr val="000000"/>
              </a:solidFill>
              <a:prstDash val="solid"/>
            </a:ln>
          </c:spPr>
          <c:invertIfNegative val="0"/>
          <c:cat>
            <c:numRef>
              <c:f>Summary!#REF!</c:f>
              <c:numCache>
                <c:formatCode>General</c:formatCode>
                <c:ptCount val="1"/>
                <c:pt idx="0">
                  <c:v>1</c:v>
                </c:pt>
              </c:numCache>
            </c:numRef>
          </c:cat>
          <c:val>
            <c:numRef>
              <c:f>Summary!#REF!</c:f>
              <c:numCache>
                <c:formatCode>General</c:formatCode>
                <c:ptCount val="1"/>
                <c:pt idx="0">
                  <c:v>1</c:v>
                </c:pt>
              </c:numCache>
            </c:numRef>
          </c:val>
          <c:extLst>
            <c:ext xmlns:c16="http://schemas.microsoft.com/office/drawing/2014/chart" uri="{C3380CC4-5D6E-409C-BE32-E72D297353CC}">
              <c16:uniqueId val="{00000003-101E-BD44-958F-7C437E8D7579}"/>
            </c:ext>
          </c:extLst>
        </c:ser>
        <c:ser>
          <c:idx val="4"/>
          <c:order val="4"/>
          <c:tx>
            <c:v>Summary!#REF!</c:v>
          </c:tx>
          <c:spPr>
            <a:solidFill>
              <a:srgbClr val="660066"/>
            </a:solidFill>
            <a:ln w="12700">
              <a:solidFill>
                <a:srgbClr val="000000"/>
              </a:solidFill>
              <a:prstDash val="solid"/>
            </a:ln>
          </c:spPr>
          <c:invertIfNegative val="0"/>
          <c:cat>
            <c:numRef>
              <c:f>Summary!#REF!</c:f>
              <c:numCache>
                <c:formatCode>General</c:formatCode>
                <c:ptCount val="1"/>
                <c:pt idx="0">
                  <c:v>1</c:v>
                </c:pt>
              </c:numCache>
            </c:numRef>
          </c:cat>
          <c:val>
            <c:numRef>
              <c:f>Summary!#REF!</c:f>
              <c:numCache>
                <c:formatCode>General</c:formatCode>
                <c:ptCount val="1"/>
                <c:pt idx="0">
                  <c:v>1</c:v>
                </c:pt>
              </c:numCache>
            </c:numRef>
          </c:val>
          <c:extLst>
            <c:ext xmlns:c16="http://schemas.microsoft.com/office/drawing/2014/chart" uri="{C3380CC4-5D6E-409C-BE32-E72D297353CC}">
              <c16:uniqueId val="{00000004-101E-BD44-958F-7C437E8D7579}"/>
            </c:ext>
          </c:extLst>
        </c:ser>
        <c:ser>
          <c:idx val="5"/>
          <c:order val="5"/>
          <c:tx>
            <c:v>Summary!#REF!</c:v>
          </c:tx>
          <c:spPr>
            <a:solidFill>
              <a:srgbClr val="FF8080"/>
            </a:solidFill>
            <a:ln w="12700">
              <a:solidFill>
                <a:srgbClr val="000000"/>
              </a:solidFill>
              <a:prstDash val="solid"/>
            </a:ln>
          </c:spPr>
          <c:invertIfNegative val="0"/>
          <c:cat>
            <c:numRef>
              <c:f>Summary!#REF!</c:f>
              <c:numCache>
                <c:formatCode>General</c:formatCode>
                <c:ptCount val="1"/>
                <c:pt idx="0">
                  <c:v>1</c:v>
                </c:pt>
              </c:numCache>
            </c:numRef>
          </c:cat>
          <c:val>
            <c:numRef>
              <c:f>Summary!#REF!</c:f>
              <c:numCache>
                <c:formatCode>General</c:formatCode>
                <c:ptCount val="1"/>
                <c:pt idx="0">
                  <c:v>1</c:v>
                </c:pt>
              </c:numCache>
            </c:numRef>
          </c:val>
          <c:extLst>
            <c:ext xmlns:c16="http://schemas.microsoft.com/office/drawing/2014/chart" uri="{C3380CC4-5D6E-409C-BE32-E72D297353CC}">
              <c16:uniqueId val="{00000005-101E-BD44-958F-7C437E8D7579}"/>
            </c:ext>
          </c:extLst>
        </c:ser>
        <c:ser>
          <c:idx val="6"/>
          <c:order val="6"/>
          <c:tx>
            <c:v>Summary!#REF!</c:v>
          </c:tx>
          <c:spPr>
            <a:solidFill>
              <a:srgbClr val="0066CC"/>
            </a:solidFill>
            <a:ln w="12700">
              <a:solidFill>
                <a:srgbClr val="000000"/>
              </a:solidFill>
              <a:prstDash val="solid"/>
            </a:ln>
          </c:spPr>
          <c:invertIfNegative val="0"/>
          <c:cat>
            <c:numRef>
              <c:f>Summary!#REF!</c:f>
              <c:numCache>
                <c:formatCode>General</c:formatCode>
                <c:ptCount val="1"/>
                <c:pt idx="0">
                  <c:v>1</c:v>
                </c:pt>
              </c:numCache>
            </c:numRef>
          </c:cat>
          <c:val>
            <c:numRef>
              <c:f>Summary!#REF!</c:f>
              <c:numCache>
                <c:formatCode>General</c:formatCode>
                <c:ptCount val="1"/>
                <c:pt idx="0">
                  <c:v>1</c:v>
                </c:pt>
              </c:numCache>
            </c:numRef>
          </c:val>
          <c:extLst>
            <c:ext xmlns:c16="http://schemas.microsoft.com/office/drawing/2014/chart" uri="{C3380CC4-5D6E-409C-BE32-E72D297353CC}">
              <c16:uniqueId val="{00000006-101E-BD44-958F-7C437E8D7579}"/>
            </c:ext>
          </c:extLst>
        </c:ser>
        <c:ser>
          <c:idx val="7"/>
          <c:order val="7"/>
          <c:tx>
            <c:v>Summary!#REF!</c:v>
          </c:tx>
          <c:spPr>
            <a:solidFill>
              <a:srgbClr val="CCCCFF"/>
            </a:solidFill>
            <a:ln w="12700">
              <a:solidFill>
                <a:srgbClr val="000000"/>
              </a:solidFill>
              <a:prstDash val="solid"/>
            </a:ln>
          </c:spPr>
          <c:invertIfNegative val="0"/>
          <c:cat>
            <c:numRef>
              <c:f>Summary!#REF!</c:f>
              <c:numCache>
                <c:formatCode>General</c:formatCode>
                <c:ptCount val="1"/>
                <c:pt idx="0">
                  <c:v>1</c:v>
                </c:pt>
              </c:numCache>
            </c:numRef>
          </c:cat>
          <c:val>
            <c:numRef>
              <c:f>Summary!#REF!</c:f>
              <c:numCache>
                <c:formatCode>General</c:formatCode>
                <c:ptCount val="1"/>
                <c:pt idx="0">
                  <c:v>1</c:v>
                </c:pt>
              </c:numCache>
            </c:numRef>
          </c:val>
          <c:extLst>
            <c:ext xmlns:c16="http://schemas.microsoft.com/office/drawing/2014/chart" uri="{C3380CC4-5D6E-409C-BE32-E72D297353CC}">
              <c16:uniqueId val="{00000007-101E-BD44-958F-7C437E8D7579}"/>
            </c:ext>
          </c:extLst>
        </c:ser>
        <c:ser>
          <c:idx val="8"/>
          <c:order val="8"/>
          <c:tx>
            <c:v>Summary!#REF!</c:v>
          </c:tx>
          <c:spPr>
            <a:solidFill>
              <a:srgbClr val="00CCFF"/>
            </a:solidFill>
            <a:ln w="12700">
              <a:solidFill>
                <a:srgbClr val="000000"/>
              </a:solidFill>
              <a:prstDash val="solid"/>
            </a:ln>
          </c:spPr>
          <c:invertIfNegative val="0"/>
          <c:cat>
            <c:numRef>
              <c:f>Summary!#REF!</c:f>
              <c:numCache>
                <c:formatCode>General</c:formatCode>
                <c:ptCount val="1"/>
                <c:pt idx="0">
                  <c:v>1</c:v>
                </c:pt>
              </c:numCache>
            </c:numRef>
          </c:cat>
          <c:val>
            <c:numRef>
              <c:f>Summary!#REF!</c:f>
              <c:numCache>
                <c:formatCode>General</c:formatCode>
                <c:ptCount val="1"/>
                <c:pt idx="0">
                  <c:v>1</c:v>
                </c:pt>
              </c:numCache>
            </c:numRef>
          </c:val>
          <c:extLst>
            <c:ext xmlns:c16="http://schemas.microsoft.com/office/drawing/2014/chart" uri="{C3380CC4-5D6E-409C-BE32-E72D297353CC}">
              <c16:uniqueId val="{00000008-101E-BD44-958F-7C437E8D7579}"/>
            </c:ext>
          </c:extLst>
        </c:ser>
        <c:ser>
          <c:idx val="9"/>
          <c:order val="9"/>
          <c:tx>
            <c:v>Summary!#REF!</c:v>
          </c:tx>
          <c:spPr>
            <a:solidFill>
              <a:srgbClr val="CCFFFF"/>
            </a:solidFill>
            <a:ln w="12700">
              <a:solidFill>
                <a:srgbClr val="000000"/>
              </a:solidFill>
              <a:prstDash val="solid"/>
            </a:ln>
          </c:spPr>
          <c:invertIfNegative val="0"/>
          <c:cat>
            <c:numRef>
              <c:f>Summary!#REF!</c:f>
              <c:numCache>
                <c:formatCode>General</c:formatCode>
                <c:ptCount val="1"/>
                <c:pt idx="0">
                  <c:v>1</c:v>
                </c:pt>
              </c:numCache>
            </c:numRef>
          </c:cat>
          <c:val>
            <c:numRef>
              <c:f>Summary!#REF!</c:f>
              <c:numCache>
                <c:formatCode>General</c:formatCode>
                <c:ptCount val="1"/>
                <c:pt idx="0">
                  <c:v>1</c:v>
                </c:pt>
              </c:numCache>
            </c:numRef>
          </c:val>
          <c:extLst>
            <c:ext xmlns:c16="http://schemas.microsoft.com/office/drawing/2014/chart" uri="{C3380CC4-5D6E-409C-BE32-E72D297353CC}">
              <c16:uniqueId val="{00000009-101E-BD44-958F-7C437E8D7579}"/>
            </c:ext>
          </c:extLst>
        </c:ser>
        <c:dLbls>
          <c:showLegendKey val="0"/>
          <c:showVal val="0"/>
          <c:showCatName val="0"/>
          <c:showSerName val="0"/>
          <c:showPercent val="0"/>
          <c:showBubbleSize val="0"/>
        </c:dLbls>
        <c:gapWidth val="150"/>
        <c:overlap val="100"/>
        <c:axId val="2064915551"/>
        <c:axId val="1"/>
      </c:barChart>
      <c:catAx>
        <c:axId val="2064915551"/>
        <c:scaling>
          <c:orientation val="minMax"/>
        </c:scaling>
        <c:delete val="0"/>
        <c:axPos val="b"/>
        <c:title>
          <c:tx>
            <c:rich>
              <a:bodyPr/>
              <a:lstStyle/>
              <a:p>
                <a:pPr>
                  <a:defRPr sz="250" b="1" i="0" u="none" strike="noStrike" baseline="0">
                    <a:solidFill>
                      <a:srgbClr val="000000"/>
                    </a:solidFill>
                    <a:latin typeface="Arial"/>
                    <a:ea typeface="Arial"/>
                    <a:cs typeface="Arial"/>
                  </a:defRPr>
                </a:pPr>
                <a:r>
                  <a:rPr lang="en-US"/>
                  <a:t>Fiscal Year</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250" b="0" i="0" u="none" strike="noStrike" baseline="0">
                <a:solidFill>
                  <a:srgbClr val="000000"/>
                </a:solidFill>
                <a:latin typeface="Arial"/>
                <a:ea typeface="Arial"/>
                <a:cs typeface="Arial"/>
              </a:defRPr>
            </a:pPr>
            <a:endParaRPr lang="en-US"/>
          </a:p>
        </c:txPr>
        <c:crossAx val="1"/>
        <c:crosses val="autoZero"/>
        <c:auto val="0"/>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title>
          <c:tx>
            <c:rich>
              <a:bodyPr/>
              <a:lstStyle/>
              <a:p>
                <a:pPr>
                  <a:defRPr sz="250" b="1" i="0" u="none" strike="noStrike" baseline="0">
                    <a:solidFill>
                      <a:srgbClr val="000000"/>
                    </a:solidFill>
                    <a:latin typeface="Arial"/>
                    <a:ea typeface="Arial"/>
                    <a:cs typeface="Arial"/>
                  </a:defRPr>
                </a:pPr>
                <a:r>
                  <a:rPr lang="en-US"/>
                  <a:t>MTCDE</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250" b="0" i="0" u="none" strike="noStrike" baseline="0">
                <a:solidFill>
                  <a:srgbClr val="000000"/>
                </a:solidFill>
                <a:latin typeface="Arial"/>
                <a:ea typeface="Arial"/>
                <a:cs typeface="Arial"/>
              </a:defRPr>
            </a:pPr>
            <a:endParaRPr lang="en-US"/>
          </a:p>
        </c:txPr>
        <c:crossAx val="2064915551"/>
        <c:crosses val="autoZero"/>
        <c:crossBetween val="between"/>
      </c:valAx>
      <c:spPr>
        <a:noFill/>
        <a:ln w="25400">
          <a:noFill/>
        </a:ln>
      </c:spPr>
    </c:plotArea>
    <c:legend>
      <c:legendPos val="r"/>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0"/>
      <c:hPercent val="15"/>
      <c:rotY val="360"/>
      <c:depthPercent val="100"/>
      <c:rAngAx val="1"/>
    </c:view3D>
    <c:floor>
      <c:thickness val="0"/>
      <c:spPr>
        <a:noFill/>
        <a:ln w="9525">
          <a:noFill/>
        </a:ln>
      </c:spPr>
    </c:floor>
    <c:sideWall>
      <c:thickness val="0"/>
      <c:spPr>
        <a:noFill/>
        <a:ln w="25400">
          <a:noFill/>
        </a:ln>
      </c:spPr>
    </c:sideWall>
    <c:backWall>
      <c:thickness val="0"/>
      <c:spPr>
        <a:noFill/>
        <a:ln w="25400">
          <a:noFill/>
        </a:ln>
      </c:spPr>
    </c:backWall>
    <c:plotArea>
      <c:layout/>
      <c:bar3DChart>
        <c:barDir val="col"/>
        <c:grouping val="stacked"/>
        <c:varyColors val="0"/>
        <c:ser>
          <c:idx val="0"/>
          <c:order val="0"/>
          <c:tx>
            <c:v>Summary!#REF!</c:v>
          </c:tx>
          <c:spPr>
            <a:solidFill>
              <a:srgbClr val="808080"/>
            </a:solidFill>
            <a:ln w="3175">
              <a:solidFill>
                <a:srgbClr val="333333"/>
              </a:solidFill>
              <a:prstDash val="solid"/>
            </a:ln>
            <a:effectLst>
              <a:outerShdw dist="35921" dir="2700000" algn="br">
                <a:srgbClr val="000000"/>
              </a:outerShdw>
            </a:effectLst>
          </c:spPr>
          <c:invertIfNegative val="0"/>
          <c:val>
            <c:numRef>
              <c:f>Summary!#REF!</c:f>
              <c:numCache>
                <c:formatCode>General</c:formatCode>
                <c:ptCount val="1"/>
                <c:pt idx="0">
                  <c:v>1</c:v>
                </c:pt>
              </c:numCache>
            </c:numRef>
          </c:val>
          <c:extLst>
            <c:ext xmlns:c16="http://schemas.microsoft.com/office/drawing/2014/chart" uri="{C3380CC4-5D6E-409C-BE32-E72D297353CC}">
              <c16:uniqueId val="{00000000-0B0A-EE4B-B605-00FF989B835F}"/>
            </c:ext>
          </c:extLst>
        </c:ser>
        <c:ser>
          <c:idx val="1"/>
          <c:order val="1"/>
          <c:tx>
            <c:v>Summary!#REF!</c:v>
          </c:tx>
          <c:spPr>
            <a:solidFill>
              <a:srgbClr val="969696"/>
            </a:solidFill>
            <a:ln w="3175">
              <a:solidFill>
                <a:srgbClr val="333333"/>
              </a:solidFill>
              <a:prstDash val="solid"/>
            </a:ln>
            <a:effectLst>
              <a:outerShdw dist="35921" dir="2700000" algn="br">
                <a:srgbClr val="000000"/>
              </a:outerShdw>
            </a:effectLst>
          </c:spPr>
          <c:invertIfNegative val="0"/>
          <c:val>
            <c:numRef>
              <c:f>Summary!#REF!</c:f>
              <c:numCache>
                <c:formatCode>General</c:formatCode>
                <c:ptCount val="1"/>
                <c:pt idx="0">
                  <c:v>1</c:v>
                </c:pt>
              </c:numCache>
            </c:numRef>
          </c:val>
          <c:extLst>
            <c:ext xmlns:c16="http://schemas.microsoft.com/office/drawing/2014/chart" uri="{C3380CC4-5D6E-409C-BE32-E72D297353CC}">
              <c16:uniqueId val="{00000001-0B0A-EE4B-B605-00FF989B835F}"/>
            </c:ext>
          </c:extLst>
        </c:ser>
        <c:ser>
          <c:idx val="2"/>
          <c:order val="2"/>
          <c:tx>
            <c:v>Summary!#REF!</c:v>
          </c:tx>
          <c:spPr>
            <a:solidFill>
              <a:srgbClr val="C0C0C0"/>
            </a:solidFill>
            <a:ln w="3175">
              <a:solidFill>
                <a:srgbClr val="333333"/>
              </a:solidFill>
              <a:prstDash val="solid"/>
            </a:ln>
            <a:effectLst>
              <a:outerShdw dist="35921" dir="2700000" algn="br">
                <a:srgbClr val="000000"/>
              </a:outerShdw>
            </a:effectLst>
          </c:spPr>
          <c:invertIfNegative val="0"/>
          <c:val>
            <c:numRef>
              <c:f>Summary!#REF!</c:f>
              <c:numCache>
                <c:formatCode>General</c:formatCode>
                <c:ptCount val="1"/>
                <c:pt idx="0">
                  <c:v>1</c:v>
                </c:pt>
              </c:numCache>
            </c:numRef>
          </c:val>
          <c:extLst>
            <c:ext xmlns:c16="http://schemas.microsoft.com/office/drawing/2014/chart" uri="{C3380CC4-5D6E-409C-BE32-E72D297353CC}">
              <c16:uniqueId val="{00000002-0B0A-EE4B-B605-00FF989B835F}"/>
            </c:ext>
          </c:extLst>
        </c:ser>
        <c:dLbls>
          <c:showLegendKey val="0"/>
          <c:showVal val="0"/>
          <c:showCatName val="0"/>
          <c:showSerName val="0"/>
          <c:showPercent val="0"/>
          <c:showBubbleSize val="0"/>
        </c:dLbls>
        <c:gapWidth val="150"/>
        <c:shape val="pyramid"/>
        <c:axId val="2082888623"/>
        <c:axId val="1"/>
        <c:axId val="0"/>
      </c:bar3DChart>
      <c:catAx>
        <c:axId val="2082888623"/>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25" b="0" i="0" u="none" strike="noStrike" baseline="0">
                <a:solidFill>
                  <a:srgbClr val="000000"/>
                </a:solidFill>
                <a:latin typeface="Verdana"/>
                <a:ea typeface="Verdana"/>
                <a:cs typeface="Verdana"/>
              </a:defRPr>
            </a:pPr>
            <a:endParaRPr lang="en-US"/>
          </a:p>
        </c:txPr>
        <c:crossAx val="1"/>
        <c:crosses val="autoZero"/>
        <c:auto val="1"/>
        <c:lblAlgn val="ctr"/>
        <c:lblOffset val="100"/>
        <c:tickLblSkip val="1"/>
        <c:tickMarkSkip val="1"/>
        <c:noMultiLvlLbl val="0"/>
      </c:catAx>
      <c:valAx>
        <c:axId val="1"/>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Verdana"/>
                <a:ea typeface="Verdana"/>
                <a:cs typeface="Verdana"/>
              </a:defRPr>
            </a:pPr>
            <a:endParaRPr lang="en-US"/>
          </a:p>
        </c:txPr>
        <c:crossAx val="2082888623"/>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25" b="0" i="0" u="none" strike="noStrike" baseline="0">
          <a:solidFill>
            <a:srgbClr val="000000"/>
          </a:solidFill>
          <a:latin typeface="Verdana"/>
          <a:ea typeface="Verdana"/>
          <a:cs typeface="Verdana"/>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12.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1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54</xdr:row>
      <xdr:rowOff>0</xdr:rowOff>
    </xdr:from>
    <xdr:to>
      <xdr:col>3</xdr:col>
      <xdr:colOff>330200</xdr:colOff>
      <xdr:row>56</xdr:row>
      <xdr:rowOff>127000</xdr:rowOff>
    </xdr:to>
    <xdr:pic>
      <xdr:nvPicPr>
        <xdr:cNvPr id="4427880" name="Picture 1" descr="footprintlogov2">
          <a:extLst>
            <a:ext uri="{FF2B5EF4-FFF2-40B4-BE49-F238E27FC236}">
              <a16:creationId xmlns:a16="http://schemas.microsoft.com/office/drawing/2014/main" id="{8930C857-8AC1-DB40-AA0F-44584617003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0756900"/>
          <a:ext cx="29337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203200</xdr:colOff>
      <xdr:row>53</xdr:row>
      <xdr:rowOff>63500</xdr:rowOff>
    </xdr:from>
    <xdr:to>
      <xdr:col>6</xdr:col>
      <xdr:colOff>1790700</xdr:colOff>
      <xdr:row>59</xdr:row>
      <xdr:rowOff>101600</xdr:rowOff>
    </xdr:to>
    <xdr:pic>
      <xdr:nvPicPr>
        <xdr:cNvPr id="4427881" name="Picture 2" descr="CO2016_urldkrlo.jpg">
          <a:extLst>
            <a:ext uri="{FF2B5EF4-FFF2-40B4-BE49-F238E27FC236}">
              <a16:creationId xmlns:a16="http://schemas.microsoft.com/office/drawing/2014/main" id="{D16A185A-4BCF-CC4A-96D1-729C1656F2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724400" y="10655300"/>
          <a:ext cx="22606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355600</xdr:colOff>
      <xdr:row>80</xdr:row>
      <xdr:rowOff>0</xdr:rowOff>
    </xdr:from>
    <xdr:to>
      <xdr:col>10</xdr:col>
      <xdr:colOff>152400</xdr:colOff>
      <xdr:row>80</xdr:row>
      <xdr:rowOff>0</xdr:rowOff>
    </xdr:to>
    <xdr:graphicFrame macro="">
      <xdr:nvGraphicFramePr>
        <xdr:cNvPr id="4428904" name="Chart 2">
          <a:extLst>
            <a:ext uri="{FF2B5EF4-FFF2-40B4-BE49-F238E27FC236}">
              <a16:creationId xmlns:a16="http://schemas.microsoft.com/office/drawing/2014/main" id="{DFA4402E-E693-1543-ADFC-061A305C42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977900</xdr:colOff>
      <xdr:row>83</xdr:row>
      <xdr:rowOff>0</xdr:rowOff>
    </xdr:from>
    <xdr:to>
      <xdr:col>6</xdr:col>
      <xdr:colOff>38100</xdr:colOff>
      <xdr:row>83</xdr:row>
      <xdr:rowOff>0</xdr:rowOff>
    </xdr:to>
    <xdr:graphicFrame macro="">
      <xdr:nvGraphicFramePr>
        <xdr:cNvPr id="4428905" name="Chart 19">
          <a:extLst>
            <a:ext uri="{FF2B5EF4-FFF2-40B4-BE49-F238E27FC236}">
              <a16:creationId xmlns:a16="http://schemas.microsoft.com/office/drawing/2014/main" id="{B6BCFCBB-8D03-9E46-8DBC-F756CD0EA8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15</xdr:col>
      <xdr:colOff>162642</xdr:colOff>
      <xdr:row>0</xdr:row>
      <xdr:rowOff>331839</xdr:rowOff>
    </xdr:from>
    <xdr:to>
      <xdr:col>15</xdr:col>
      <xdr:colOff>932016</xdr:colOff>
      <xdr:row>6</xdr:row>
      <xdr:rowOff>71694</xdr:rowOff>
    </xdr:to>
    <xdr:sp macro="" textlink="">
      <xdr:nvSpPr>
        <xdr:cNvPr id="4257978" name="TextBox 1">
          <a:extLst>
            <a:ext uri="{FF2B5EF4-FFF2-40B4-BE49-F238E27FC236}">
              <a16:creationId xmlns:a16="http://schemas.microsoft.com/office/drawing/2014/main" id="{5BC34E2F-BF9B-9140-81B5-1E121ADBF3AC}"/>
            </a:ext>
          </a:extLst>
        </xdr:cNvPr>
        <xdr:cNvSpPr txBox="1">
          <a:spLocks noChangeArrowheads="1"/>
        </xdr:cNvSpPr>
      </xdr:nvSpPr>
      <xdr:spPr bwMode="auto">
        <a:xfrm>
          <a:off x="14255545" y="331839"/>
          <a:ext cx="769374" cy="927920"/>
        </a:xfrm>
        <a:prstGeom prst="rect">
          <a:avLst/>
        </a:prstGeom>
        <a:gradFill rotWithShape="1">
          <a:gsLst>
            <a:gs pos="0">
              <a:srgbClr val="9BC1FF"/>
            </a:gs>
            <a:gs pos="100000">
              <a:srgbClr val="3F80CD"/>
            </a:gs>
          </a:gsLst>
          <a:lin ang="5400000"/>
        </a:gradFill>
        <a:ln w="9525">
          <a:solidFill>
            <a:srgbClr val="4A7EBB"/>
          </a:solidFill>
          <a:miter lim="800000"/>
          <a:headEnd/>
          <a:tailEnd/>
        </a:ln>
        <a:effectLst>
          <a:outerShdw blurRad="40000" dist="23000" dir="5400000" rotWithShape="0">
            <a:srgbClr val="808080">
              <a:alpha val="34998"/>
            </a:srgbClr>
          </a:outerShdw>
        </a:effectLst>
      </xdr:spPr>
      <xdr:txBody>
        <a:bodyPr vertOverflow="clip" wrap="square" lIns="27432" tIns="27432" rIns="0" bIns="0" anchor="t" upright="1"/>
        <a:lstStyle/>
        <a:p>
          <a:pPr algn="l" rtl="0">
            <a:defRPr sz="1000"/>
          </a:pPr>
          <a:r>
            <a:rPr lang="en-US" sz="1100" b="0" i="0" u="none" strike="noStrike" baseline="0">
              <a:solidFill>
                <a:srgbClr val="FFFFFF"/>
              </a:solidFill>
              <a:latin typeface="Calibri" pitchFamily="2" charset="0"/>
              <a:cs typeface="Calibri" pitchFamily="2" charset="0"/>
            </a:rPr>
            <a:t>The biomass facility came online partway through FY 08/09, explaining the sharp decrease in #6 fuel oil from 07/08 to 08/09. Because the biomass facility was online for all of FY09/10 and 10/11 and because the plant operators continued to learn to operate the facility most efficiently, the #6 fuel oil usage has continued to decrease. </a:t>
          </a:r>
        </a:p>
      </xdr:txBody>
    </xdr:sp>
    <xdr:clientData/>
  </xdr:twoCellAnchor>
  <xdr:twoCellAnchor>
    <xdr:from>
      <xdr:col>18</xdr:col>
      <xdr:colOff>389193</xdr:colOff>
      <xdr:row>44</xdr:row>
      <xdr:rowOff>76610</xdr:rowOff>
    </xdr:from>
    <xdr:to>
      <xdr:col>19</xdr:col>
      <xdr:colOff>174112</xdr:colOff>
      <xdr:row>48</xdr:row>
      <xdr:rowOff>20483</xdr:rowOff>
    </xdr:to>
    <xdr:sp macro="" textlink="">
      <xdr:nvSpPr>
        <xdr:cNvPr id="4257979" name="TextBox 4">
          <a:extLst>
            <a:ext uri="{FF2B5EF4-FFF2-40B4-BE49-F238E27FC236}">
              <a16:creationId xmlns:a16="http://schemas.microsoft.com/office/drawing/2014/main" id="{E89DB594-59B6-8048-A311-D69343D3F9DB}"/>
            </a:ext>
          </a:extLst>
        </xdr:cNvPr>
        <xdr:cNvSpPr txBox="1">
          <a:spLocks noChangeArrowheads="1"/>
        </xdr:cNvSpPr>
      </xdr:nvSpPr>
      <xdr:spPr bwMode="auto">
        <a:xfrm>
          <a:off x="18773467" y="7962900"/>
          <a:ext cx="962742" cy="660809"/>
        </a:xfrm>
        <a:prstGeom prst="rect">
          <a:avLst/>
        </a:prstGeom>
        <a:gradFill rotWithShape="1">
          <a:gsLst>
            <a:gs pos="0">
              <a:srgbClr val="9BC1FF"/>
            </a:gs>
            <a:gs pos="100000">
              <a:srgbClr val="3F80CD"/>
            </a:gs>
          </a:gsLst>
          <a:lin ang="5400000"/>
        </a:gradFill>
        <a:ln w="9525">
          <a:solidFill>
            <a:srgbClr val="4A7EBB"/>
          </a:solidFill>
          <a:miter lim="800000"/>
          <a:headEnd/>
          <a:tailEnd/>
        </a:ln>
        <a:effectLst>
          <a:outerShdw blurRad="40000" dist="23000" dir="5400000" rotWithShape="0">
            <a:srgbClr val="808080">
              <a:alpha val="34998"/>
            </a:srgbClr>
          </a:outerShdw>
        </a:effectLst>
      </xdr:spPr>
      <xdr:txBody>
        <a:bodyPr vertOverflow="clip" wrap="square" lIns="27432" tIns="22860" rIns="0" bIns="0" anchor="t" upright="1"/>
        <a:lstStyle/>
        <a:p>
          <a:pPr algn="l" rtl="0">
            <a:defRPr sz="1000"/>
          </a:pPr>
          <a:r>
            <a:rPr lang="en-US" sz="1100" b="0" i="0" u="none" strike="noStrike" baseline="0">
              <a:solidFill>
                <a:srgbClr val="FFFFFF"/>
              </a:solidFill>
              <a:latin typeface="Calibri" pitchFamily="2" charset="0"/>
              <a:cs typeface="Calibri" pitchFamily="2" charset="0"/>
            </a:rPr>
            <a:t>Propane use has remained relatively consisant from year to year. Fluctuations could potentially be due temperature differences from year to year or to usage patterns within the buildings heated by propane,but the cause is not currently known. </a:t>
          </a:r>
        </a:p>
      </xdr:txBody>
    </xdr:sp>
    <xdr:clientData/>
  </xdr:twoCellAnchor>
  <xdr:twoCellAnchor>
    <xdr:from>
      <xdr:col>18</xdr:col>
      <xdr:colOff>389193</xdr:colOff>
      <xdr:row>48</xdr:row>
      <xdr:rowOff>139700</xdr:rowOff>
    </xdr:from>
    <xdr:to>
      <xdr:col>19</xdr:col>
      <xdr:colOff>76199</xdr:colOff>
      <xdr:row>52</xdr:row>
      <xdr:rowOff>20484</xdr:rowOff>
    </xdr:to>
    <xdr:sp macro="" textlink="">
      <xdr:nvSpPr>
        <xdr:cNvPr id="4257980" name="TextBox 5">
          <a:extLst>
            <a:ext uri="{FF2B5EF4-FFF2-40B4-BE49-F238E27FC236}">
              <a16:creationId xmlns:a16="http://schemas.microsoft.com/office/drawing/2014/main" id="{9162489D-DA31-A349-BCFC-6A3A75E56252}"/>
            </a:ext>
          </a:extLst>
        </xdr:cNvPr>
        <xdr:cNvSpPr txBox="1">
          <a:spLocks noChangeArrowheads="1"/>
        </xdr:cNvSpPr>
      </xdr:nvSpPr>
      <xdr:spPr bwMode="auto">
        <a:xfrm>
          <a:off x="18773467" y="8742926"/>
          <a:ext cx="864829" cy="659171"/>
        </a:xfrm>
        <a:prstGeom prst="rect">
          <a:avLst/>
        </a:prstGeom>
        <a:gradFill rotWithShape="1">
          <a:gsLst>
            <a:gs pos="0">
              <a:srgbClr val="9BC1FF"/>
            </a:gs>
            <a:gs pos="100000">
              <a:srgbClr val="3F80CD"/>
            </a:gs>
          </a:gsLst>
          <a:lin ang="5400000"/>
        </a:gradFill>
        <a:ln w="9525">
          <a:solidFill>
            <a:srgbClr val="4A7EBB"/>
          </a:solidFill>
          <a:miter lim="800000"/>
          <a:headEnd/>
          <a:tailEnd/>
        </a:ln>
        <a:effectLst>
          <a:outerShdw blurRad="40000" dist="23000" dir="5400000" rotWithShape="0">
            <a:srgbClr val="808080">
              <a:alpha val="34998"/>
            </a:srgbClr>
          </a:outerShdw>
        </a:effectLst>
      </xdr:spPr>
      <xdr:txBody>
        <a:bodyPr vertOverflow="clip" wrap="square" lIns="27432" tIns="22860" rIns="0" bIns="0" anchor="t" upright="1"/>
        <a:lstStyle/>
        <a:p>
          <a:pPr algn="l" rtl="0">
            <a:defRPr sz="1000"/>
          </a:pPr>
          <a:r>
            <a:rPr lang="en-US" sz="1100" b="0" i="0" u="none" strike="noStrike" baseline="0">
              <a:solidFill>
                <a:srgbClr val="FFFFFF"/>
              </a:solidFill>
              <a:latin typeface="Calibri" pitchFamily="2" charset="0"/>
              <a:cs typeface="Calibri" pitchFamily="2" charset="0"/>
            </a:rPr>
            <a:t>The biomass facility came online partway through FY 08/09, and then was online for all of FY09/10 and 10/11. The plant operators continued to learn to operate the facility and keep it running smoothly, explaining the increased proportion of biomass to #6 fuel oil in FY10/11. </a:t>
          </a:r>
        </a:p>
      </xdr:txBody>
    </xdr:sp>
    <xdr:clientData/>
  </xdr:twoCellAnchor>
  <xdr:oneCellAnchor>
    <xdr:from>
      <xdr:col>15</xdr:col>
      <xdr:colOff>768145</xdr:colOff>
      <xdr:row>56</xdr:row>
      <xdr:rowOff>81935</xdr:rowOff>
    </xdr:from>
    <xdr:ext cx="1884004" cy="781240"/>
    <xdr:sp macro="" textlink="">
      <xdr:nvSpPr>
        <xdr:cNvPr id="3" name="TextBox 2">
          <a:extLst>
            <a:ext uri="{FF2B5EF4-FFF2-40B4-BE49-F238E27FC236}">
              <a16:creationId xmlns:a16="http://schemas.microsoft.com/office/drawing/2014/main" id="{AA60C41C-953B-0449-AF7B-55FD5F84FE8D}"/>
            </a:ext>
          </a:extLst>
        </xdr:cNvPr>
        <xdr:cNvSpPr txBox="1"/>
      </xdr:nvSpPr>
      <xdr:spPr>
        <a:xfrm>
          <a:off x="15793064" y="10200967"/>
          <a:ext cx="188400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nSpc>
              <a:spcPts val="1100"/>
            </a:lnSpc>
          </a:pPr>
          <a:r>
            <a:rPr lang="en-US" sz="1100"/>
            <a:t>FY 19 NatGas includes addt'l 21 mcf for off central system buidlings  converted to nat gas</a:t>
          </a:r>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88900</xdr:colOff>
      <xdr:row>4</xdr:row>
      <xdr:rowOff>88900</xdr:rowOff>
    </xdr:from>
    <xdr:to>
      <xdr:col>5</xdr:col>
      <xdr:colOff>431800</xdr:colOff>
      <xdr:row>18</xdr:row>
      <xdr:rowOff>139700</xdr:rowOff>
    </xdr:to>
    <xdr:pic>
      <xdr:nvPicPr>
        <xdr:cNvPr id="4433000" name="Picture 1">
          <a:extLst>
            <a:ext uri="{FF2B5EF4-FFF2-40B4-BE49-F238E27FC236}">
              <a16:creationId xmlns:a16="http://schemas.microsoft.com/office/drawing/2014/main" id="{65104149-7D7B-7544-A884-C4FFBDF523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900" y="800100"/>
          <a:ext cx="4838700" cy="233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114300</xdr:colOff>
      <xdr:row>22</xdr:row>
      <xdr:rowOff>63500</xdr:rowOff>
    </xdr:from>
    <xdr:to>
      <xdr:col>1</xdr:col>
      <xdr:colOff>584200</xdr:colOff>
      <xdr:row>33</xdr:row>
      <xdr:rowOff>101600</xdr:rowOff>
    </xdr:to>
    <xdr:pic>
      <xdr:nvPicPr>
        <xdr:cNvPr id="4433001" name="Picture 3">
          <a:extLst>
            <a:ext uri="{FF2B5EF4-FFF2-40B4-BE49-F238E27FC236}">
              <a16:creationId xmlns:a16="http://schemas.microsoft.com/office/drawing/2014/main" id="{FE311126-1FE4-9C4C-9953-CBBD21BD5C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4300" y="3695700"/>
          <a:ext cx="2273300" cy="1854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88900</xdr:colOff>
      <xdr:row>4</xdr:row>
      <xdr:rowOff>63500</xdr:rowOff>
    </xdr:from>
    <xdr:to>
      <xdr:col>5</xdr:col>
      <xdr:colOff>152400</xdr:colOff>
      <xdr:row>18</xdr:row>
      <xdr:rowOff>152400</xdr:rowOff>
    </xdr:to>
    <xdr:pic>
      <xdr:nvPicPr>
        <xdr:cNvPr id="4434024" name="Picture 1">
          <a:extLst>
            <a:ext uri="{FF2B5EF4-FFF2-40B4-BE49-F238E27FC236}">
              <a16:creationId xmlns:a16="http://schemas.microsoft.com/office/drawing/2014/main" id="{109358E4-C693-4842-AB7E-4DF401EC9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900" y="787400"/>
          <a:ext cx="4000500" cy="2400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88900</xdr:colOff>
      <xdr:row>22</xdr:row>
      <xdr:rowOff>63500</xdr:rowOff>
    </xdr:from>
    <xdr:to>
      <xdr:col>1</xdr:col>
      <xdr:colOff>431800</xdr:colOff>
      <xdr:row>34</xdr:row>
      <xdr:rowOff>63500</xdr:rowOff>
    </xdr:to>
    <xdr:pic>
      <xdr:nvPicPr>
        <xdr:cNvPr id="4434025" name="Picture 2">
          <a:extLst>
            <a:ext uri="{FF2B5EF4-FFF2-40B4-BE49-F238E27FC236}">
              <a16:creationId xmlns:a16="http://schemas.microsoft.com/office/drawing/2014/main" id="{B262B31B-DFF6-724D-8A38-B651CC1ADBC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8900" y="3759200"/>
          <a:ext cx="2044700" cy="1981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17</xdr:col>
      <xdr:colOff>1246262</xdr:colOff>
      <xdr:row>14</xdr:row>
      <xdr:rowOff>142429</xdr:rowOff>
    </xdr:from>
    <xdr:to>
      <xdr:col>20</xdr:col>
      <xdr:colOff>59345</xdr:colOff>
      <xdr:row>20</xdr:row>
      <xdr:rowOff>94952</xdr:rowOff>
    </xdr:to>
    <xdr:sp macro="" textlink="">
      <xdr:nvSpPr>
        <xdr:cNvPr id="3772282" name="TextBox 1">
          <a:extLst>
            <a:ext uri="{FF2B5EF4-FFF2-40B4-BE49-F238E27FC236}">
              <a16:creationId xmlns:a16="http://schemas.microsoft.com/office/drawing/2014/main" id="{2042387D-854A-AF4D-B6F4-1FC47AA83B80}"/>
            </a:ext>
          </a:extLst>
        </xdr:cNvPr>
        <xdr:cNvSpPr txBox="1">
          <a:spLocks noChangeArrowheads="1"/>
        </xdr:cNvSpPr>
      </xdr:nvSpPr>
      <xdr:spPr bwMode="auto">
        <a:xfrm>
          <a:off x="17400187" y="2706167"/>
          <a:ext cx="1281868" cy="949533"/>
        </a:xfrm>
        <a:prstGeom prst="rect">
          <a:avLst/>
        </a:prstGeom>
        <a:noFill/>
        <a:ln w="9525">
          <a:solidFill>
            <a:srgbClr val="4A7EBB"/>
          </a:solidFill>
          <a:miter lim="800000"/>
          <a:headEnd/>
          <a:tailEnd/>
        </a:ln>
        <a:effectLst>
          <a:outerShdw blurRad="40000" dist="23000" dir="5400000" rotWithShape="0">
            <a:srgbClr val="808080">
              <a:alpha val="34998"/>
            </a:srgbClr>
          </a:outerShdw>
        </a:effectLst>
      </xdr:spPr>
      <xdr:txBody>
        <a:bodyPr vertOverflow="clip" wrap="square" lIns="27432" tIns="22860" rIns="0" bIns="0" anchor="t" upright="1"/>
        <a:lstStyle/>
        <a:p>
          <a:pPr algn="l" rtl="0">
            <a:defRPr sz="1000"/>
          </a:pPr>
          <a:r>
            <a:rPr lang="en-US" sz="1100" b="0" i="0" u="none" strike="noStrike" baseline="0">
              <a:solidFill>
                <a:schemeClr val="tx1"/>
              </a:solidFill>
              <a:latin typeface="Calibri" pitchFamily="2" charset="0"/>
              <a:cs typeface="Calibri" pitchFamily="2" charset="0"/>
            </a:rPr>
            <a:t>The  change in on-campus solar production occuring around FY07/08 is due to  the solar PV panels added during the  renovation of the Franklin Environmental Center at Hillcrest  completed in 2008."CVPS kWh from CH</a:t>
          </a:r>
          <a:r>
            <a:rPr lang="en-US" sz="1100" b="0" i="0" u="none" strike="noStrike" baseline="-25000">
              <a:solidFill>
                <a:schemeClr val="tx1"/>
              </a:solidFill>
              <a:latin typeface="Calibri" pitchFamily="2" charset="0"/>
              <a:cs typeface="Calibri" pitchFamily="2" charset="0"/>
            </a:rPr>
            <a:t>4</a:t>
          </a:r>
          <a:r>
            <a:rPr lang="en-US" sz="1100" b="0" i="0" u="none" strike="noStrike" baseline="0">
              <a:solidFill>
                <a:schemeClr val="tx1"/>
              </a:solidFill>
              <a:latin typeface="Calibri" pitchFamily="2" charset="0"/>
              <a:cs typeface="Calibri" pitchFamily="2" charset="0"/>
            </a:rPr>
            <a:t> dig." refers to Cow Power electricity purchased for the President's house and for Weybridge House. The variation in amount purchase is likely due ot usage changes from year to year, but the cause of those changes is not known. The amount of electricity co-generated on campus changes year to year based on how much steam is produced. TThere is not a consistant directional trend in total electricity usage over the past 5 years. </a:t>
          </a:r>
        </a:p>
      </xdr:txBody>
    </xdr:sp>
    <xdr:clientData/>
  </xdr:twoCellAnchor>
  <xdr:twoCellAnchor>
    <xdr:from>
      <xdr:col>14</xdr:col>
      <xdr:colOff>508000</xdr:colOff>
      <xdr:row>145</xdr:row>
      <xdr:rowOff>12700</xdr:rowOff>
    </xdr:from>
    <xdr:to>
      <xdr:col>17</xdr:col>
      <xdr:colOff>279400</xdr:colOff>
      <xdr:row>151</xdr:row>
      <xdr:rowOff>63500</xdr:rowOff>
    </xdr:to>
    <xdr:sp macro="" textlink="">
      <xdr:nvSpPr>
        <xdr:cNvPr id="3772283" name="TextBox 2">
          <a:extLst>
            <a:ext uri="{FF2B5EF4-FFF2-40B4-BE49-F238E27FC236}">
              <a16:creationId xmlns:a16="http://schemas.microsoft.com/office/drawing/2014/main" id="{FB2E69BC-8DFB-714A-9BC6-83577BB429AF}"/>
            </a:ext>
          </a:extLst>
        </xdr:cNvPr>
        <xdr:cNvSpPr txBox="1">
          <a:spLocks noChangeArrowheads="1"/>
        </xdr:cNvSpPr>
      </xdr:nvSpPr>
      <xdr:spPr bwMode="auto">
        <a:xfrm>
          <a:off x="11468100" y="24904700"/>
          <a:ext cx="2540000" cy="1143000"/>
        </a:xfrm>
        <a:prstGeom prst="rect">
          <a:avLst/>
        </a:prstGeom>
        <a:gradFill rotWithShape="1">
          <a:gsLst>
            <a:gs pos="0">
              <a:srgbClr val="9BC1FF"/>
            </a:gs>
            <a:gs pos="100000">
              <a:srgbClr val="3F80CD"/>
            </a:gs>
          </a:gsLst>
          <a:lin ang="5400000"/>
        </a:gradFill>
        <a:ln w="9525">
          <a:solidFill>
            <a:srgbClr val="4A7EBB"/>
          </a:solidFill>
          <a:miter lim="800000"/>
          <a:headEnd/>
          <a:tailEnd/>
        </a:ln>
        <a:effectLst>
          <a:outerShdw blurRad="40000" dist="23000" dir="5400000" rotWithShape="0">
            <a:srgbClr val="808080">
              <a:alpha val="34998"/>
            </a:srgbClr>
          </a:outerShdw>
        </a:effectLst>
      </xdr:spPr>
      <xdr:txBody>
        <a:bodyPr vertOverflow="clip" wrap="square" lIns="27432" tIns="22860" rIns="0" bIns="0" anchor="t" upright="1"/>
        <a:lstStyle/>
        <a:p>
          <a:pPr algn="l" rtl="0">
            <a:lnSpc>
              <a:spcPts val="1200"/>
            </a:lnSpc>
            <a:defRPr sz="1000"/>
          </a:pPr>
          <a:r>
            <a:rPr lang="en-US" sz="1100" b="0" i="0" u="none" strike="noStrike" baseline="0">
              <a:solidFill>
                <a:srgbClr val="FFFFFF"/>
              </a:solidFill>
              <a:latin typeface="Calibri" pitchFamily="2" charset="0"/>
              <a:cs typeface="Calibri" pitchFamily="2" charset="0"/>
            </a:rPr>
            <a:t>The MTCDE from electricity any given year is highly corelated with the percentage of electricity that CVPS/GMP is getting from the ISO/NE and  NPCC grid. The formula used for the NPCC grid should be updated if possible. </a:t>
          </a:r>
        </a:p>
      </xdr:txBody>
    </xdr:sp>
    <xdr:clientData/>
  </xdr:twoCellAnchor>
  <xdr:twoCellAnchor>
    <xdr:from>
      <xdr:col>17</xdr:col>
      <xdr:colOff>1229526</xdr:colOff>
      <xdr:row>21</xdr:row>
      <xdr:rowOff>9971</xdr:rowOff>
    </xdr:from>
    <xdr:to>
      <xdr:col>20</xdr:col>
      <xdr:colOff>35608</xdr:colOff>
      <xdr:row>24</xdr:row>
      <xdr:rowOff>94953</xdr:rowOff>
    </xdr:to>
    <xdr:sp macro="" textlink="">
      <xdr:nvSpPr>
        <xdr:cNvPr id="3772284" name="TextBox 3">
          <a:extLst>
            <a:ext uri="{FF2B5EF4-FFF2-40B4-BE49-F238E27FC236}">
              <a16:creationId xmlns:a16="http://schemas.microsoft.com/office/drawing/2014/main" id="{8480C1ED-6F61-3940-8C07-37A8FF368F96}"/>
            </a:ext>
          </a:extLst>
        </xdr:cNvPr>
        <xdr:cNvSpPr txBox="1">
          <a:spLocks noChangeArrowheads="1"/>
        </xdr:cNvSpPr>
      </xdr:nvSpPr>
      <xdr:spPr bwMode="auto">
        <a:xfrm>
          <a:off x="17383451" y="3736887"/>
          <a:ext cx="1274867" cy="547879"/>
        </a:xfrm>
        <a:prstGeom prst="rect">
          <a:avLst/>
        </a:prstGeom>
        <a:noFill/>
        <a:ln w="9525">
          <a:solidFill>
            <a:srgbClr val="4A7EBB"/>
          </a:solidFill>
          <a:miter lim="800000"/>
          <a:headEnd/>
          <a:tailEnd/>
        </a:ln>
        <a:effectLst>
          <a:outerShdw blurRad="40000" dist="23000" dir="5400000" rotWithShape="0">
            <a:srgbClr val="808080">
              <a:alpha val="34998"/>
            </a:srgbClr>
          </a:outerShdw>
        </a:effectLst>
      </xdr:spPr>
      <xdr:txBody>
        <a:bodyPr vertOverflow="clip" wrap="square" lIns="27432" tIns="22860" rIns="0" bIns="0" anchor="t" upright="1"/>
        <a:lstStyle/>
        <a:p>
          <a:pPr algn="l" rtl="0">
            <a:defRPr sz="1000"/>
          </a:pPr>
          <a:r>
            <a:rPr lang="en-US" sz="1100" b="0" i="0" u="none" strike="noStrike" baseline="0">
              <a:solidFill>
                <a:schemeClr val="tx1"/>
              </a:solidFill>
              <a:latin typeface="Calibri" pitchFamily="2" charset="0"/>
              <a:cs typeface="Calibri" pitchFamily="2" charset="0"/>
            </a:rPr>
            <a:t>*Previously known as C entral Vermont Public Service. CVPS merged with Green Mountain Power in 2012.</a:t>
          </a:r>
        </a:p>
      </xdr:txBody>
    </xdr:sp>
    <xdr:clientData/>
  </xdr:twoCellAnchor>
  <xdr:oneCellAnchor>
    <xdr:from>
      <xdr:col>17</xdr:col>
      <xdr:colOff>1139439</xdr:colOff>
      <xdr:row>5</xdr:row>
      <xdr:rowOff>23740</xdr:rowOff>
    </xdr:from>
    <xdr:ext cx="1388692" cy="1412430"/>
    <xdr:sp macro="" textlink="">
      <xdr:nvSpPr>
        <xdr:cNvPr id="5" name="TextBox 4">
          <a:extLst>
            <a:ext uri="{FF2B5EF4-FFF2-40B4-BE49-F238E27FC236}">
              <a16:creationId xmlns:a16="http://schemas.microsoft.com/office/drawing/2014/main" id="{C2565E2D-6867-044E-BFC7-580FB5B7FEAA}"/>
            </a:ext>
          </a:extLst>
        </xdr:cNvPr>
        <xdr:cNvSpPr txBox="1"/>
      </xdr:nvSpPr>
      <xdr:spPr>
        <a:xfrm>
          <a:off x="17293364" y="1020749"/>
          <a:ext cx="1388692" cy="14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FY18/19 total kWh from GMP excludes kWh from renters who reimburse College</a:t>
          </a:r>
          <a:r>
            <a:rPr lang="en-US" sz="1100" baseline="0"/>
            <a:t> for electricity billed to College for their units. Previous years used an estimated 300,000 kWh based on a survey of which units reimbursed.</a:t>
          </a:r>
          <a:endParaRPr lang="en-US" sz="1100"/>
        </a:p>
      </xdr:txBody>
    </xdr:sp>
    <xdr:clientData/>
  </xdr:oneCellAnchor>
  <xdr:twoCellAnchor>
    <xdr:from>
      <xdr:col>18</xdr:col>
      <xdr:colOff>11870</xdr:colOff>
      <xdr:row>25</xdr:row>
      <xdr:rowOff>47477</xdr:rowOff>
    </xdr:from>
    <xdr:to>
      <xdr:col>20</xdr:col>
      <xdr:colOff>106823</xdr:colOff>
      <xdr:row>30</xdr:row>
      <xdr:rowOff>94954</xdr:rowOff>
    </xdr:to>
    <xdr:sp macro="" textlink="">
      <xdr:nvSpPr>
        <xdr:cNvPr id="6" name="TextBox 5">
          <a:extLst>
            <a:ext uri="{FF2B5EF4-FFF2-40B4-BE49-F238E27FC236}">
              <a16:creationId xmlns:a16="http://schemas.microsoft.com/office/drawing/2014/main" id="{56E61869-E786-1042-B719-110F806D9D12}"/>
            </a:ext>
          </a:extLst>
        </xdr:cNvPr>
        <xdr:cNvSpPr txBox="1"/>
      </xdr:nvSpPr>
      <xdr:spPr>
        <a:xfrm>
          <a:off x="17518879" y="4403458"/>
          <a:ext cx="1210654" cy="8783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all 3 chp turbines were off line for a portion of August 2016</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13</xdr:col>
      <xdr:colOff>208280</xdr:colOff>
      <xdr:row>6</xdr:row>
      <xdr:rowOff>101600</xdr:rowOff>
    </xdr:from>
    <xdr:to>
      <xdr:col>16</xdr:col>
      <xdr:colOff>627380</xdr:colOff>
      <xdr:row>14</xdr:row>
      <xdr:rowOff>53340</xdr:rowOff>
    </xdr:to>
    <xdr:sp macro="" textlink="">
      <xdr:nvSpPr>
        <xdr:cNvPr id="48682" name="TextBox 1">
          <a:extLst>
            <a:ext uri="{FF2B5EF4-FFF2-40B4-BE49-F238E27FC236}">
              <a16:creationId xmlns:a16="http://schemas.microsoft.com/office/drawing/2014/main" id="{DC38F417-9252-5246-8DDC-91946D873DEE}"/>
            </a:ext>
          </a:extLst>
        </xdr:cNvPr>
        <xdr:cNvSpPr txBox="1">
          <a:spLocks noChangeArrowheads="1"/>
        </xdr:cNvSpPr>
      </xdr:nvSpPr>
      <xdr:spPr bwMode="auto">
        <a:xfrm>
          <a:off x="12745720" y="1148080"/>
          <a:ext cx="3040380" cy="1211580"/>
        </a:xfrm>
        <a:prstGeom prst="rect">
          <a:avLst/>
        </a:prstGeom>
        <a:gradFill rotWithShape="1">
          <a:gsLst>
            <a:gs pos="0">
              <a:srgbClr val="9BC1FF"/>
            </a:gs>
            <a:gs pos="100000">
              <a:srgbClr val="3F80CD"/>
            </a:gs>
          </a:gsLst>
          <a:lin ang="5400000"/>
        </a:gradFill>
        <a:ln w="9525">
          <a:solidFill>
            <a:srgbClr val="4A7EBB"/>
          </a:solidFill>
          <a:miter lim="800000"/>
          <a:headEnd/>
          <a:tailEnd/>
        </a:ln>
        <a:effectLst>
          <a:outerShdw blurRad="40000" dist="23000" dir="5400000" rotWithShape="0">
            <a:srgbClr val="808080">
              <a:alpha val="34998"/>
            </a:srgbClr>
          </a:outerShdw>
        </a:effectLst>
      </xdr:spPr>
      <xdr:txBody>
        <a:bodyPr vertOverflow="clip" wrap="square" lIns="27432" tIns="22860" rIns="0" bIns="0" anchor="t" upright="1"/>
        <a:lstStyle/>
        <a:p>
          <a:pPr algn="l" rtl="0">
            <a:defRPr sz="1000"/>
          </a:pPr>
          <a:r>
            <a:rPr lang="en-US" sz="1100" b="0" i="0" u="none" strike="noStrike" baseline="0">
              <a:solidFill>
                <a:srgbClr val="FFFFFF"/>
              </a:solidFill>
              <a:latin typeface="Calibri" pitchFamily="2" charset="0"/>
              <a:cs typeface="Calibri" pitchFamily="2" charset="0"/>
            </a:rPr>
            <a:t>The biomass facility came online partway through FY 08/09, and then was online for all of FY09/10 and 10/11. The plant operators continued to learn to operate the facility and keep it running smoothly, likely explaining the increased use of biomass in FY10/11. </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13</xdr:col>
      <xdr:colOff>596900</xdr:colOff>
      <xdr:row>26</xdr:row>
      <xdr:rowOff>63500</xdr:rowOff>
    </xdr:from>
    <xdr:to>
      <xdr:col>17</xdr:col>
      <xdr:colOff>12700</xdr:colOff>
      <xdr:row>42</xdr:row>
      <xdr:rowOff>139700</xdr:rowOff>
    </xdr:to>
    <xdr:sp macro="" textlink="">
      <xdr:nvSpPr>
        <xdr:cNvPr id="4076996" name="TextBox 1">
          <a:extLst>
            <a:ext uri="{FF2B5EF4-FFF2-40B4-BE49-F238E27FC236}">
              <a16:creationId xmlns:a16="http://schemas.microsoft.com/office/drawing/2014/main" id="{85C76FD8-3930-794F-8886-3CD559266692}"/>
            </a:ext>
          </a:extLst>
        </xdr:cNvPr>
        <xdr:cNvSpPr txBox="1">
          <a:spLocks noChangeArrowheads="1"/>
        </xdr:cNvSpPr>
      </xdr:nvSpPr>
      <xdr:spPr bwMode="auto">
        <a:xfrm>
          <a:off x="13474700" y="4572000"/>
          <a:ext cx="3060700" cy="2692400"/>
        </a:xfrm>
        <a:prstGeom prst="rect">
          <a:avLst/>
        </a:prstGeom>
        <a:gradFill rotWithShape="1">
          <a:gsLst>
            <a:gs pos="0">
              <a:srgbClr val="9BC1FF"/>
            </a:gs>
            <a:gs pos="100000">
              <a:srgbClr val="3F80CD"/>
            </a:gs>
          </a:gsLst>
          <a:lin ang="5400000"/>
        </a:gradFill>
        <a:ln w="9525">
          <a:solidFill>
            <a:srgbClr val="4A7EBB"/>
          </a:solidFill>
          <a:miter lim="800000"/>
          <a:headEnd/>
          <a:tailEnd/>
        </a:ln>
        <a:effectLst>
          <a:outerShdw blurRad="40000" dist="23000" dir="5400000" rotWithShape="0">
            <a:srgbClr val="808080">
              <a:alpha val="34998"/>
            </a:srgbClr>
          </a:outerShdw>
        </a:effectLst>
      </xdr:spPr>
      <xdr:txBody>
        <a:bodyPr vertOverflow="clip" wrap="square" lIns="27432" tIns="22860" rIns="0" bIns="0" anchor="t" upright="1"/>
        <a:lstStyle/>
        <a:p>
          <a:pPr algn="l" rtl="0">
            <a:defRPr sz="1000"/>
          </a:pPr>
          <a:r>
            <a:rPr lang="en-US" sz="1100" b="0" i="0" u="none" strike="noStrike" baseline="0">
              <a:solidFill>
                <a:srgbClr val="FFFFFF"/>
              </a:solidFill>
              <a:latin typeface="Calibri" pitchFamily="2" charset="0"/>
              <a:cs typeface="Calibri" pitchFamily="2" charset="0"/>
            </a:rPr>
            <a:t>The  change in on-campus solar production occuring around FY07/08 is due to  the solar PV panels added during the  renovation of the Franklin Environmental Center at Hillcrest  completed in 2008."CVPS kWh from CH</a:t>
          </a:r>
          <a:r>
            <a:rPr lang="en-US" sz="1100" b="0" i="0" u="none" strike="noStrike" baseline="-25000">
              <a:solidFill>
                <a:srgbClr val="FFFFFF"/>
              </a:solidFill>
              <a:latin typeface="Calibri" pitchFamily="2" charset="0"/>
              <a:cs typeface="Calibri" pitchFamily="2" charset="0"/>
            </a:rPr>
            <a:t>4</a:t>
          </a:r>
          <a:r>
            <a:rPr lang="en-US" sz="1100" b="0" i="0" u="none" strike="noStrike" baseline="0">
              <a:solidFill>
                <a:srgbClr val="FFFFFF"/>
              </a:solidFill>
              <a:latin typeface="Calibri" pitchFamily="2" charset="0"/>
              <a:cs typeface="Calibri" pitchFamily="2" charset="0"/>
            </a:rPr>
            <a:t> dig." refers to Cow Power electricity purchased for the President's house and for Weybridge House. The variation in amount purchase is likely due ot usage changes from year to year, but the cause of those changes is not known. The amount of electricity co-generated on campus changes year to year based on how much steam is produced. TThere is not a consistant directional trend in total electricity usage over the past 5 years. </a:t>
          </a:r>
        </a:p>
      </xdr:txBody>
    </xdr:sp>
    <xdr:clientData/>
  </xdr:twoCellAnchor>
  <xdr:twoCellAnchor>
    <xdr:from>
      <xdr:col>12</xdr:col>
      <xdr:colOff>609600</xdr:colOff>
      <xdr:row>145</xdr:row>
      <xdr:rowOff>12700</xdr:rowOff>
    </xdr:from>
    <xdr:to>
      <xdr:col>15</xdr:col>
      <xdr:colOff>330200</xdr:colOff>
      <xdr:row>151</xdr:row>
      <xdr:rowOff>63500</xdr:rowOff>
    </xdr:to>
    <xdr:sp macro="" textlink="">
      <xdr:nvSpPr>
        <xdr:cNvPr id="4076997" name="TextBox 2">
          <a:extLst>
            <a:ext uri="{FF2B5EF4-FFF2-40B4-BE49-F238E27FC236}">
              <a16:creationId xmlns:a16="http://schemas.microsoft.com/office/drawing/2014/main" id="{106CC93D-D92D-8B41-856E-247EA0410CA7}"/>
            </a:ext>
          </a:extLst>
        </xdr:cNvPr>
        <xdr:cNvSpPr txBox="1">
          <a:spLocks noChangeArrowheads="1"/>
        </xdr:cNvSpPr>
      </xdr:nvSpPr>
      <xdr:spPr bwMode="auto">
        <a:xfrm>
          <a:off x="11506200" y="24917400"/>
          <a:ext cx="3048000" cy="1143000"/>
        </a:xfrm>
        <a:prstGeom prst="rect">
          <a:avLst/>
        </a:prstGeom>
        <a:gradFill rotWithShape="1">
          <a:gsLst>
            <a:gs pos="0">
              <a:srgbClr val="9BC1FF"/>
            </a:gs>
            <a:gs pos="100000">
              <a:srgbClr val="3F80CD"/>
            </a:gs>
          </a:gsLst>
          <a:lin ang="5400000"/>
        </a:gradFill>
        <a:ln w="9525">
          <a:solidFill>
            <a:srgbClr val="4A7EBB"/>
          </a:solidFill>
          <a:miter lim="800000"/>
          <a:headEnd/>
          <a:tailEnd/>
        </a:ln>
        <a:effectLst>
          <a:outerShdw blurRad="40000" dist="23000" dir="5400000" rotWithShape="0">
            <a:srgbClr val="808080">
              <a:alpha val="34998"/>
            </a:srgbClr>
          </a:outerShdw>
        </a:effectLst>
      </xdr:spPr>
      <xdr:txBody>
        <a:bodyPr vertOverflow="clip" wrap="square" lIns="27432" tIns="22860" rIns="0" bIns="0" anchor="t" upright="1"/>
        <a:lstStyle/>
        <a:p>
          <a:pPr algn="l" rtl="0">
            <a:defRPr sz="1000"/>
          </a:pPr>
          <a:r>
            <a:rPr lang="en-US" sz="1100" b="0" i="0" u="none" strike="noStrike" baseline="0">
              <a:solidFill>
                <a:srgbClr val="FFFFFF"/>
              </a:solidFill>
              <a:latin typeface="Calibri" pitchFamily="2" charset="0"/>
              <a:cs typeface="Calibri" pitchFamily="2" charset="0"/>
            </a:rPr>
            <a:t>The MTCDE from electricity any given year is highly corelated with the percentage of electricity that CVPS/GMP is getting from the ISO/NE and  NPCC grid. The formula used for the NPCC grid should be updated if possible. </a:t>
          </a:r>
        </a:p>
      </xdr:txBody>
    </xdr:sp>
    <xdr:clientData/>
  </xdr:twoCellAnchor>
  <xdr:twoCellAnchor>
    <xdr:from>
      <xdr:col>13</xdr:col>
      <xdr:colOff>571500</xdr:colOff>
      <xdr:row>20</xdr:row>
      <xdr:rowOff>152400</xdr:rowOff>
    </xdr:from>
    <xdr:to>
      <xdr:col>16</xdr:col>
      <xdr:colOff>317500</xdr:colOff>
      <xdr:row>25</xdr:row>
      <xdr:rowOff>63500</xdr:rowOff>
    </xdr:to>
    <xdr:sp macro="" textlink="">
      <xdr:nvSpPr>
        <xdr:cNvPr id="4076998" name="TextBox 3">
          <a:extLst>
            <a:ext uri="{FF2B5EF4-FFF2-40B4-BE49-F238E27FC236}">
              <a16:creationId xmlns:a16="http://schemas.microsoft.com/office/drawing/2014/main" id="{7AC5FF2D-4866-CC4A-8428-853BEF63B484}"/>
            </a:ext>
          </a:extLst>
        </xdr:cNvPr>
        <xdr:cNvSpPr txBox="1">
          <a:spLocks noChangeArrowheads="1"/>
        </xdr:cNvSpPr>
      </xdr:nvSpPr>
      <xdr:spPr bwMode="auto">
        <a:xfrm>
          <a:off x="13449300" y="3708400"/>
          <a:ext cx="2717800" cy="698500"/>
        </a:xfrm>
        <a:prstGeom prst="rect">
          <a:avLst/>
        </a:prstGeom>
        <a:gradFill rotWithShape="1">
          <a:gsLst>
            <a:gs pos="0">
              <a:srgbClr val="9BC1FF"/>
            </a:gs>
            <a:gs pos="100000">
              <a:srgbClr val="3F80CD"/>
            </a:gs>
          </a:gsLst>
          <a:lin ang="5400000"/>
        </a:gradFill>
        <a:ln w="9525">
          <a:solidFill>
            <a:srgbClr val="4A7EBB"/>
          </a:solidFill>
          <a:miter lim="800000"/>
          <a:headEnd/>
          <a:tailEnd/>
        </a:ln>
        <a:effectLst>
          <a:outerShdw blurRad="40000" dist="23000" dir="5400000" rotWithShape="0">
            <a:srgbClr val="808080">
              <a:alpha val="34998"/>
            </a:srgbClr>
          </a:outerShdw>
        </a:effectLst>
      </xdr:spPr>
      <xdr:txBody>
        <a:bodyPr vertOverflow="clip" wrap="square" lIns="27432" tIns="22860" rIns="0" bIns="0" anchor="t" upright="1"/>
        <a:lstStyle/>
        <a:p>
          <a:pPr algn="l" rtl="0">
            <a:defRPr sz="1000"/>
          </a:pPr>
          <a:r>
            <a:rPr lang="en-US" sz="1100" b="0" i="0" u="none" strike="noStrike" baseline="0">
              <a:solidFill>
                <a:srgbClr val="FFFFFF"/>
              </a:solidFill>
              <a:latin typeface="Calibri" pitchFamily="2" charset="0"/>
              <a:cs typeface="Calibri" pitchFamily="2" charset="0"/>
            </a:rPr>
            <a:t>*Previously known as C entral Vermont Public Service. CVPS merged with Green Mountain Power in 2012.</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127000</xdr:colOff>
      <xdr:row>4</xdr:row>
      <xdr:rowOff>0</xdr:rowOff>
    </xdr:from>
    <xdr:to>
      <xdr:col>5</xdr:col>
      <xdr:colOff>190500</xdr:colOff>
      <xdr:row>18</xdr:row>
      <xdr:rowOff>88900</xdr:rowOff>
    </xdr:to>
    <xdr:pic>
      <xdr:nvPicPr>
        <xdr:cNvPr id="4436072" name="Picture 1">
          <a:extLst>
            <a:ext uri="{FF2B5EF4-FFF2-40B4-BE49-F238E27FC236}">
              <a16:creationId xmlns:a16="http://schemas.microsoft.com/office/drawing/2014/main" id="{F796293C-EB56-E14A-861A-2A7D8FE777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0" y="825500"/>
          <a:ext cx="4953000" cy="2400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63500</xdr:colOff>
      <xdr:row>21</xdr:row>
      <xdr:rowOff>88900</xdr:rowOff>
    </xdr:from>
    <xdr:to>
      <xdr:col>1</xdr:col>
      <xdr:colOff>393700</xdr:colOff>
      <xdr:row>33</xdr:row>
      <xdr:rowOff>88900</xdr:rowOff>
    </xdr:to>
    <xdr:pic>
      <xdr:nvPicPr>
        <xdr:cNvPr id="4436073" name="Picture 2">
          <a:extLst>
            <a:ext uri="{FF2B5EF4-FFF2-40B4-BE49-F238E27FC236}">
              <a16:creationId xmlns:a16="http://schemas.microsoft.com/office/drawing/2014/main" id="{AD657240-EA0D-9C40-8023-FF775E3A5D1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3500" y="3708400"/>
          <a:ext cx="2451100" cy="1981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355600</xdr:colOff>
      <xdr:row>6</xdr:row>
      <xdr:rowOff>38100</xdr:rowOff>
    </xdr:from>
    <xdr:to>
      <xdr:col>14</xdr:col>
      <xdr:colOff>2057400</xdr:colOff>
      <xdr:row>9</xdr:row>
      <xdr:rowOff>152400</xdr:rowOff>
    </xdr:to>
    <xdr:sp macro="" textlink="">
      <xdr:nvSpPr>
        <xdr:cNvPr id="8948" name="TextBox 1">
          <a:extLst>
            <a:ext uri="{FF2B5EF4-FFF2-40B4-BE49-F238E27FC236}">
              <a16:creationId xmlns:a16="http://schemas.microsoft.com/office/drawing/2014/main" id="{8E370F44-2417-8249-8F4D-04763E9C8702}"/>
            </a:ext>
          </a:extLst>
        </xdr:cNvPr>
        <xdr:cNvSpPr txBox="1">
          <a:spLocks noChangeArrowheads="1"/>
        </xdr:cNvSpPr>
      </xdr:nvSpPr>
      <xdr:spPr bwMode="auto">
        <a:xfrm>
          <a:off x="10528300" y="1193800"/>
          <a:ext cx="3048000" cy="812800"/>
        </a:xfrm>
        <a:prstGeom prst="rect">
          <a:avLst/>
        </a:prstGeom>
        <a:gradFill rotWithShape="1">
          <a:gsLst>
            <a:gs pos="0">
              <a:srgbClr val="9BC1FF"/>
            </a:gs>
            <a:gs pos="100000">
              <a:srgbClr val="3F80CD"/>
            </a:gs>
          </a:gsLst>
          <a:lin ang="5400000"/>
        </a:gradFill>
        <a:ln w="9525">
          <a:solidFill>
            <a:srgbClr val="4A7EBB"/>
          </a:solidFill>
          <a:miter lim="800000"/>
          <a:headEnd/>
          <a:tailEnd/>
        </a:ln>
        <a:effectLst>
          <a:outerShdw blurRad="40000" dist="23000" dir="5400000" rotWithShape="0">
            <a:srgbClr val="808080">
              <a:alpha val="34998"/>
            </a:srgbClr>
          </a:outerShdw>
        </a:effectLst>
      </xdr:spPr>
      <xdr:txBody>
        <a:bodyPr vertOverflow="clip" wrap="square" lIns="27432" tIns="22860" rIns="0" bIns="0" anchor="t" upright="1"/>
        <a:lstStyle/>
        <a:p>
          <a:pPr algn="l" rtl="0">
            <a:defRPr sz="1000"/>
          </a:pPr>
          <a:r>
            <a:rPr lang="en-US" sz="1100" b="0" i="0" u="none" strike="noStrike" baseline="0">
              <a:solidFill>
                <a:srgbClr val="FFFFFF"/>
              </a:solidFill>
              <a:latin typeface="Calibri" pitchFamily="2" charset="0"/>
              <a:cs typeface="Calibri" pitchFamily="2" charset="0"/>
            </a:rPr>
            <a:t>Decrease in wastegoing to landfills  likely due to an increased diversion rate thanks to increased recycling and composting efforts in recent years. </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203200</xdr:colOff>
      <xdr:row>5</xdr:row>
      <xdr:rowOff>25400</xdr:rowOff>
    </xdr:from>
    <xdr:to>
      <xdr:col>20</xdr:col>
      <xdr:colOff>368300</xdr:colOff>
      <xdr:row>7</xdr:row>
      <xdr:rowOff>38100</xdr:rowOff>
    </xdr:to>
    <xdr:sp macro="" textlink="">
      <xdr:nvSpPr>
        <xdr:cNvPr id="9770" name="TextBox 2">
          <a:extLst>
            <a:ext uri="{FF2B5EF4-FFF2-40B4-BE49-F238E27FC236}">
              <a16:creationId xmlns:a16="http://schemas.microsoft.com/office/drawing/2014/main" id="{AD9AECD7-BAAC-0C46-A610-3F3F647FD0A7}"/>
            </a:ext>
          </a:extLst>
        </xdr:cNvPr>
        <xdr:cNvSpPr txBox="1">
          <a:spLocks noChangeArrowheads="1"/>
        </xdr:cNvSpPr>
      </xdr:nvSpPr>
      <xdr:spPr bwMode="auto">
        <a:xfrm>
          <a:off x="16611600" y="1016000"/>
          <a:ext cx="3035300" cy="381000"/>
        </a:xfrm>
        <a:prstGeom prst="rect">
          <a:avLst/>
        </a:prstGeom>
        <a:gradFill rotWithShape="1">
          <a:gsLst>
            <a:gs pos="0">
              <a:srgbClr val="9BC1FF"/>
            </a:gs>
            <a:gs pos="100000">
              <a:srgbClr val="3F80CD"/>
            </a:gs>
          </a:gsLst>
          <a:lin ang="5400000"/>
        </a:gradFill>
        <a:ln w="9525">
          <a:solidFill>
            <a:srgbClr val="4A7EBB"/>
          </a:solidFill>
          <a:miter lim="800000"/>
          <a:headEnd/>
          <a:tailEnd/>
        </a:ln>
        <a:effectLst>
          <a:outerShdw blurRad="40000" dist="23000" dir="5400000" rotWithShape="0">
            <a:srgbClr val="808080">
              <a:alpha val="34998"/>
            </a:srgbClr>
          </a:outerShdw>
        </a:effectLst>
      </xdr:spPr>
      <xdr:txBody>
        <a:bodyPr vertOverflow="clip" wrap="square" lIns="27432" tIns="22860" rIns="0" bIns="0" anchor="t" upright="1"/>
        <a:lstStyle/>
        <a:p>
          <a:pPr algn="l" rtl="0">
            <a:defRPr sz="1000"/>
          </a:pPr>
          <a:r>
            <a:rPr lang="en-US" sz="1100" b="0" i="0" u="none" strike="noStrike" baseline="0">
              <a:solidFill>
                <a:srgbClr val="FFFFFF"/>
              </a:solidFill>
              <a:latin typeface="Calibri" pitchFamily="2" charset="0"/>
              <a:cs typeface="Calibri" pitchFamily="2" charset="0"/>
            </a:rPr>
            <a:t>Offsets are purchased for the Snow Bowl</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76200</xdr:colOff>
      <xdr:row>4</xdr:row>
      <xdr:rowOff>101600</xdr:rowOff>
    </xdr:from>
    <xdr:to>
      <xdr:col>5</xdr:col>
      <xdr:colOff>203200</xdr:colOff>
      <xdr:row>19</xdr:row>
      <xdr:rowOff>25400</xdr:rowOff>
    </xdr:to>
    <xdr:pic>
      <xdr:nvPicPr>
        <xdr:cNvPr id="4437096" name="Picture 1">
          <a:extLst>
            <a:ext uri="{FF2B5EF4-FFF2-40B4-BE49-F238E27FC236}">
              <a16:creationId xmlns:a16="http://schemas.microsoft.com/office/drawing/2014/main" id="{68C6BF8C-0530-9741-8E61-FA069CFA6B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0" y="927100"/>
          <a:ext cx="4927600" cy="2400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63500</xdr:colOff>
      <xdr:row>23</xdr:row>
      <xdr:rowOff>88900</xdr:rowOff>
    </xdr:from>
    <xdr:to>
      <xdr:col>1</xdr:col>
      <xdr:colOff>635000</xdr:colOff>
      <xdr:row>35</xdr:row>
      <xdr:rowOff>88900</xdr:rowOff>
    </xdr:to>
    <xdr:pic>
      <xdr:nvPicPr>
        <xdr:cNvPr id="4437097" name="Picture 2">
          <a:extLst>
            <a:ext uri="{FF2B5EF4-FFF2-40B4-BE49-F238E27FC236}">
              <a16:creationId xmlns:a16="http://schemas.microsoft.com/office/drawing/2014/main" id="{57474CBD-9411-764D-8451-ACB001CABB2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3500" y="4038600"/>
          <a:ext cx="2476500" cy="1981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6</xdr:col>
      <xdr:colOff>520700</xdr:colOff>
      <xdr:row>6</xdr:row>
      <xdr:rowOff>12700</xdr:rowOff>
    </xdr:from>
    <xdr:to>
      <xdr:col>10</xdr:col>
      <xdr:colOff>254000</xdr:colOff>
      <xdr:row>12</xdr:row>
      <xdr:rowOff>101600</xdr:rowOff>
    </xdr:to>
    <xdr:sp macro="" textlink="">
      <xdr:nvSpPr>
        <xdr:cNvPr id="4353056" name="TextBox 1">
          <a:extLst>
            <a:ext uri="{FF2B5EF4-FFF2-40B4-BE49-F238E27FC236}">
              <a16:creationId xmlns:a16="http://schemas.microsoft.com/office/drawing/2014/main" id="{02C4796D-231A-5645-A7FC-FA9DCB363E0B}"/>
            </a:ext>
          </a:extLst>
        </xdr:cNvPr>
        <xdr:cNvSpPr txBox="1">
          <a:spLocks noChangeArrowheads="1"/>
        </xdr:cNvSpPr>
      </xdr:nvSpPr>
      <xdr:spPr bwMode="auto">
        <a:xfrm>
          <a:off x="6692900" y="1206500"/>
          <a:ext cx="3238500" cy="1079500"/>
        </a:xfrm>
        <a:prstGeom prst="rect">
          <a:avLst/>
        </a:prstGeom>
        <a:gradFill rotWithShape="1">
          <a:gsLst>
            <a:gs pos="0">
              <a:srgbClr val="9BC1FF"/>
            </a:gs>
            <a:gs pos="100000">
              <a:srgbClr val="3F80CD"/>
            </a:gs>
          </a:gsLst>
          <a:lin ang="5400000"/>
        </a:gradFill>
        <a:ln w="9525">
          <a:solidFill>
            <a:srgbClr val="4A7EBB"/>
          </a:solidFill>
          <a:miter lim="800000"/>
          <a:headEnd/>
          <a:tailEnd/>
        </a:ln>
        <a:effectLst>
          <a:outerShdw blurRad="40000" dist="23000" dir="5400000" rotWithShape="0">
            <a:srgbClr val="808080">
              <a:alpha val="34998"/>
            </a:srgbClr>
          </a:outerShdw>
        </a:effectLst>
      </xdr:spPr>
      <xdr:txBody>
        <a:bodyPr vertOverflow="clip" wrap="square" lIns="27432" tIns="22860" rIns="0" bIns="0" anchor="t" upright="1"/>
        <a:lstStyle/>
        <a:p>
          <a:pPr algn="l" rtl="0">
            <a:defRPr sz="1000"/>
          </a:pPr>
          <a:r>
            <a:rPr lang="en-US" sz="1100" b="0" i="0" u="none" strike="noStrike" baseline="0">
              <a:solidFill>
                <a:srgbClr val="FFFFFF"/>
              </a:solidFill>
              <a:latin typeface="Calibri" pitchFamily="2" charset="0"/>
              <a:cs typeface="Calibri" pitchFamily="2" charset="0"/>
            </a:rPr>
            <a:t>The method used to calculate emissions from emplyee commuting was revised for FY09/10. The estimation is now based on survey data rather than on information about the town that each employee lives in. </a:t>
          </a:r>
        </a:p>
      </xdr:txBody>
    </xdr:sp>
    <xdr:clientData/>
  </xdr:twoCellAnchor>
  <xdr:oneCellAnchor>
    <xdr:from>
      <xdr:col>6</xdr:col>
      <xdr:colOff>352425</xdr:colOff>
      <xdr:row>17</xdr:row>
      <xdr:rowOff>120650</xdr:rowOff>
    </xdr:from>
    <xdr:ext cx="1995123" cy="953466"/>
    <xdr:sp macro="" textlink="">
      <xdr:nvSpPr>
        <xdr:cNvPr id="3" name="TextBox 2">
          <a:extLst>
            <a:ext uri="{FF2B5EF4-FFF2-40B4-BE49-F238E27FC236}">
              <a16:creationId xmlns:a16="http://schemas.microsoft.com/office/drawing/2014/main" id="{98F57DDA-B808-3046-9609-A42FDFC150F2}"/>
            </a:ext>
          </a:extLst>
        </xdr:cNvPr>
        <xdr:cNvSpPr txBox="1"/>
      </xdr:nvSpPr>
      <xdr:spPr>
        <a:xfrm>
          <a:off x="5686425" y="3073400"/>
          <a:ext cx="1938443" cy="953466"/>
        </a:xfrm>
        <a:prstGeom prst="rect">
          <a:avLst/>
        </a:prstGeom>
        <a:solidFill>
          <a:schemeClr val="tx2">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rtl="0">
            <a:lnSpc>
              <a:spcPts val="1200"/>
            </a:lnSpc>
            <a:defRPr sz="1000"/>
          </a:pPr>
          <a:r>
            <a:rPr lang="en-US" sz="1100" b="0" i="0" u="none" strike="noStrike" baseline="0">
              <a:solidFill>
                <a:srgbClr val="000000"/>
              </a:solidFill>
              <a:latin typeface="Calibri"/>
            </a:rPr>
            <a:t>We have commuting data from 09/10 and 10/11, was that because we actually surveyed faculty and staff members?  Yes</a:t>
          </a:r>
        </a:p>
      </xdr:txBody>
    </xdr:sp>
    <xdr:clientData/>
  </xdr:oneCellAnchor>
</xdr:wsDr>
</file>

<file path=xl/drawings/drawing14.xml><?xml version="1.0" encoding="utf-8"?>
<xdr:wsDr xmlns:xdr="http://schemas.openxmlformats.org/drawingml/2006/spreadsheetDrawing" xmlns:a="http://schemas.openxmlformats.org/drawingml/2006/main">
  <xdr:twoCellAnchor editAs="oneCell">
    <xdr:from>
      <xdr:col>0</xdr:col>
      <xdr:colOff>76200</xdr:colOff>
      <xdr:row>4</xdr:row>
      <xdr:rowOff>101600</xdr:rowOff>
    </xdr:from>
    <xdr:to>
      <xdr:col>5</xdr:col>
      <xdr:colOff>203200</xdr:colOff>
      <xdr:row>19</xdr:row>
      <xdr:rowOff>25400</xdr:rowOff>
    </xdr:to>
    <xdr:pic>
      <xdr:nvPicPr>
        <xdr:cNvPr id="4439144" name="Picture 1">
          <a:extLst>
            <a:ext uri="{FF2B5EF4-FFF2-40B4-BE49-F238E27FC236}">
              <a16:creationId xmlns:a16="http://schemas.microsoft.com/office/drawing/2014/main" id="{8552AA4D-65DE-F046-ABFF-E16D48B7E1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0" y="927100"/>
          <a:ext cx="4927600" cy="2400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63500</xdr:colOff>
      <xdr:row>23</xdr:row>
      <xdr:rowOff>88900</xdr:rowOff>
    </xdr:from>
    <xdr:to>
      <xdr:col>1</xdr:col>
      <xdr:colOff>635000</xdr:colOff>
      <xdr:row>35</xdr:row>
      <xdr:rowOff>88900</xdr:rowOff>
    </xdr:to>
    <xdr:pic>
      <xdr:nvPicPr>
        <xdr:cNvPr id="4439145" name="Picture 2">
          <a:extLst>
            <a:ext uri="{FF2B5EF4-FFF2-40B4-BE49-F238E27FC236}">
              <a16:creationId xmlns:a16="http://schemas.microsoft.com/office/drawing/2014/main" id="{1B09B68A-7B19-4A46-93CD-98FB6E9F609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3500" y="4038600"/>
          <a:ext cx="2476500" cy="1981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hyperlink" Target="http://www.ipcc.ch/"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hyperlink" Target="https://www.eia.gov/totalenergy/data/monthly/pdf/sec13_4.pdf" TargetMode="External"/><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21.xml.rels><?xml version="1.0" encoding="UTF-8" standalone="yes"?>
<Relationships xmlns="http://schemas.openxmlformats.org/package/2006/relationships"><Relationship Id="rId8" Type="http://schemas.openxmlformats.org/officeDocument/2006/relationships/hyperlink" Target="https://fpr.vermont.gov/sites/fpr/files/Forest_and_Forestry/Forest_Based_Business/Library/2018%20HARVEST_RPT_FINAL.pdf" TargetMode="External"/><Relationship Id="rId3" Type="http://schemas.openxmlformats.org/officeDocument/2006/relationships/hyperlink" Target="https://www.epa.gov/sites/production/files/2015-07/documents/emission-factors_2014.pdf" TargetMode="External"/><Relationship Id="rId7" Type="http://schemas.openxmlformats.org/officeDocument/2006/relationships/hyperlink" Target="https://www.epa.gov/energy/greenhouse-gases-equivalencies-calculator-calculations-and-references" TargetMode="External"/><Relationship Id="rId2" Type="http://schemas.openxmlformats.org/officeDocument/2006/relationships/hyperlink" Target="https://www.eia.gov/tools/faqs/faq.php?id=82&amp;t=11" TargetMode="External"/><Relationship Id="rId1" Type="http://schemas.openxmlformats.org/officeDocument/2006/relationships/hyperlink" Target="https://www.researchgate.net/publication/242094365_A_reassessment_of_carbon_content_in_wood_variation_within_and_between_41_North_American_species" TargetMode="External"/><Relationship Id="rId6" Type="http://schemas.openxmlformats.org/officeDocument/2006/relationships/hyperlink" Target="https://www.epa.gov/sites/production/files/2015-07/documents/emission-factors_2014.pdf" TargetMode="External"/><Relationship Id="rId5" Type="http://schemas.openxmlformats.org/officeDocument/2006/relationships/hyperlink" Target="https://www.epa.gov/sites/production/files/2015-07/documents/emission-factors_2014.pdf" TargetMode="External"/><Relationship Id="rId10" Type="http://schemas.openxmlformats.org/officeDocument/2006/relationships/hyperlink" Target="https://fpr.vermont.gov/sites/fpr/files/Forest_and_Forestry/Forest_Based_Business/Library/2018%20HARVEST_RPT_FINAL.pdf" TargetMode="External"/><Relationship Id="rId4" Type="http://schemas.openxmlformats.org/officeDocument/2006/relationships/hyperlink" Target="https://www.epa.gov/sites/production/files/2015-07/documents/emission-factors_2014.pdf" TargetMode="External"/><Relationship Id="rId9" Type="http://schemas.openxmlformats.org/officeDocument/2006/relationships/hyperlink" Target="https://www.fs.fed.us/nrs/pubs/ru/ru_fs119.pdf" TargetMode="Externa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4.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31.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32.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42"/>
  </sheetPr>
  <dimension ref="A1:IV74"/>
  <sheetViews>
    <sheetView topLeftCell="A5" zoomScale="125" zoomScaleNormal="125" zoomScaleSheetLayoutView="75" workbookViewId="0">
      <selection sqref="A1:I3"/>
    </sheetView>
  </sheetViews>
  <sheetFormatPr baseColWidth="10" defaultColWidth="8.83203125" defaultRowHeight="13"/>
  <cols>
    <col min="2" max="2" width="8.83203125" customWidth="1"/>
    <col min="3" max="3" width="16.5" customWidth="1"/>
    <col min="4" max="4" width="16.33203125" customWidth="1"/>
    <col min="7" max="7" width="23.83203125" customWidth="1"/>
    <col min="9" max="9" width="9.5" customWidth="1"/>
  </cols>
  <sheetData>
    <row r="1" spans="1:13" ht="12.75" customHeight="1">
      <c r="A1" s="809" t="s">
        <v>944</v>
      </c>
      <c r="B1" s="810"/>
      <c r="C1" s="810"/>
      <c r="D1" s="810"/>
      <c r="E1" s="810"/>
      <c r="F1" s="810"/>
      <c r="G1" s="810"/>
      <c r="H1" s="810"/>
      <c r="I1" s="810"/>
    </row>
    <row r="2" spans="1:13" ht="12.75" customHeight="1">
      <c r="A2" s="811"/>
      <c r="B2" s="812"/>
      <c r="C2" s="812"/>
      <c r="D2" s="812"/>
      <c r="E2" s="812"/>
      <c r="F2" s="812"/>
      <c r="G2" s="812"/>
      <c r="H2" s="812"/>
      <c r="I2" s="812"/>
    </row>
    <row r="3" spans="1:13" ht="38" customHeight="1">
      <c r="A3" s="811"/>
      <c r="B3" s="812"/>
      <c r="C3" s="812"/>
      <c r="D3" s="812"/>
      <c r="E3" s="812"/>
      <c r="F3" s="812"/>
      <c r="G3" s="812"/>
      <c r="H3" s="812"/>
      <c r="I3" s="812"/>
    </row>
    <row r="4" spans="1:13" ht="26" customHeight="1">
      <c r="A4" s="813" t="s">
        <v>943</v>
      </c>
      <c r="B4" s="814"/>
      <c r="C4" s="814"/>
      <c r="D4" s="814"/>
      <c r="E4" s="814"/>
      <c r="F4" s="814"/>
      <c r="G4" s="814"/>
      <c r="H4" s="814"/>
      <c r="I4" s="814"/>
    </row>
    <row r="5" spans="1:13" ht="12.75" customHeight="1">
      <c r="A5" s="814"/>
      <c r="B5" s="814"/>
      <c r="C5" s="814"/>
      <c r="D5" s="814"/>
      <c r="E5" s="814"/>
      <c r="F5" s="814"/>
      <c r="G5" s="814"/>
      <c r="H5" s="814"/>
      <c r="I5" s="814"/>
    </row>
    <row r="6" spans="1:13" ht="12.75" customHeight="1">
      <c r="A6" s="814"/>
      <c r="B6" s="814"/>
      <c r="C6" s="814"/>
      <c r="D6" s="814"/>
      <c r="E6" s="814"/>
      <c r="F6" s="814"/>
      <c r="G6" s="814"/>
      <c r="H6" s="814"/>
      <c r="I6" s="814"/>
    </row>
    <row r="7" spans="1:13" ht="51" customHeight="1">
      <c r="A7" s="814"/>
      <c r="B7" s="814"/>
      <c r="C7" s="814"/>
      <c r="D7" s="814"/>
      <c r="E7" s="814"/>
      <c r="F7" s="814"/>
      <c r="G7" s="814"/>
      <c r="H7" s="814"/>
      <c r="I7" s="814"/>
    </row>
    <row r="8" spans="1:13" ht="20" customHeight="1">
      <c r="A8" s="815"/>
      <c r="B8" s="816"/>
      <c r="C8" s="816"/>
      <c r="D8" s="816"/>
      <c r="E8" s="816"/>
      <c r="F8" s="816"/>
      <c r="G8" s="816"/>
      <c r="H8" s="816"/>
      <c r="I8" s="816"/>
    </row>
    <row r="9" spans="1:13" ht="54.75" customHeight="1">
      <c r="A9" s="200" t="s">
        <v>184</v>
      </c>
      <c r="B9" s="200"/>
      <c r="C9" s="200"/>
      <c r="D9" s="200"/>
      <c r="E9" s="200"/>
      <c r="F9" s="200"/>
      <c r="G9" s="200"/>
      <c r="H9" s="200"/>
      <c r="I9" s="200"/>
      <c r="M9" s="37"/>
    </row>
    <row r="10" spans="1:13" ht="6" customHeight="1">
      <c r="A10" s="196"/>
      <c r="B10" s="196"/>
      <c r="C10" s="196"/>
      <c r="D10" s="196"/>
      <c r="E10" s="196"/>
      <c r="F10" s="196"/>
      <c r="G10" s="196"/>
      <c r="H10" s="196"/>
      <c r="I10" s="196"/>
    </row>
    <row r="11" spans="1:13" ht="13.5" customHeight="1">
      <c r="A11" s="808" t="s">
        <v>939</v>
      </c>
      <c r="B11" s="808"/>
      <c r="C11" s="808"/>
      <c r="D11" s="808"/>
      <c r="E11" s="808"/>
      <c r="F11" s="808"/>
      <c r="G11" s="808"/>
      <c r="H11" s="808" t="s">
        <v>202</v>
      </c>
      <c r="I11" s="808"/>
    </row>
    <row r="12" spans="1:13" ht="12.75" customHeight="1">
      <c r="A12" s="808"/>
      <c r="B12" s="808"/>
      <c r="C12" s="808"/>
      <c r="D12" s="808"/>
      <c r="E12" s="808"/>
      <c r="F12" s="808"/>
      <c r="G12" s="808"/>
      <c r="H12" s="808"/>
      <c r="I12" s="808"/>
    </row>
    <row r="13" spans="1:13" ht="13.5" customHeight="1">
      <c r="A13" s="808"/>
      <c r="B13" s="808"/>
      <c r="C13" s="808"/>
      <c r="D13" s="808"/>
      <c r="E13" s="808"/>
      <c r="F13" s="808"/>
      <c r="G13" s="808"/>
      <c r="H13" s="808"/>
      <c r="I13" s="808"/>
    </row>
    <row r="14" spans="1:13" ht="18">
      <c r="A14" s="202"/>
      <c r="B14" s="202"/>
      <c r="C14" s="523" t="s">
        <v>940</v>
      </c>
      <c r="D14" s="523" t="s">
        <v>941</v>
      </c>
      <c r="E14" s="523" t="s">
        <v>942</v>
      </c>
      <c r="F14" s="202"/>
      <c r="G14" s="202"/>
      <c r="H14" s="202"/>
      <c r="I14" s="202"/>
    </row>
    <row r="15" spans="1:13" ht="12.75" customHeight="1">
      <c r="A15" s="808" t="s">
        <v>1012</v>
      </c>
      <c r="B15" s="808"/>
      <c r="C15" s="808"/>
      <c r="D15" s="808"/>
      <c r="E15" s="808"/>
      <c r="F15" s="808"/>
      <c r="G15" s="808"/>
      <c r="H15" s="817" t="s">
        <v>1013</v>
      </c>
      <c r="I15" s="818"/>
    </row>
    <row r="16" spans="1:13" ht="12.75" customHeight="1">
      <c r="A16" s="808"/>
      <c r="B16" s="808"/>
      <c r="C16" s="808"/>
      <c r="D16" s="808"/>
      <c r="E16" s="808"/>
      <c r="F16" s="808"/>
      <c r="G16" s="808"/>
      <c r="H16" s="819"/>
      <c r="I16" s="820"/>
    </row>
    <row r="17" spans="1:9" ht="13.5" customHeight="1">
      <c r="A17" s="808"/>
      <c r="B17" s="808"/>
      <c r="C17" s="808"/>
      <c r="D17" s="808"/>
      <c r="E17" s="808"/>
      <c r="F17" s="808"/>
      <c r="G17" s="808"/>
      <c r="H17" s="821"/>
      <c r="I17" s="822"/>
    </row>
    <row r="18" spans="1:9" ht="18">
      <c r="A18" s="202"/>
      <c r="B18" s="202"/>
      <c r="C18" s="202"/>
      <c r="D18" s="202"/>
      <c r="E18" s="202"/>
      <c r="F18" s="202"/>
      <c r="G18" s="202"/>
      <c r="H18" s="202"/>
      <c r="I18" s="202"/>
    </row>
    <row r="19" spans="1:9">
      <c r="A19" s="808" t="s">
        <v>1014</v>
      </c>
      <c r="B19" s="808"/>
      <c r="C19" s="808"/>
      <c r="D19" s="808"/>
      <c r="E19" s="808"/>
      <c r="F19" s="808"/>
      <c r="G19" s="808"/>
      <c r="H19" s="808" t="s">
        <v>1013</v>
      </c>
      <c r="I19" s="808"/>
    </row>
    <row r="20" spans="1:9">
      <c r="A20" s="808"/>
      <c r="B20" s="808"/>
      <c r="C20" s="808"/>
      <c r="D20" s="808"/>
      <c r="E20" s="808"/>
      <c r="F20" s="808"/>
      <c r="G20" s="808"/>
      <c r="H20" s="808"/>
      <c r="I20" s="808"/>
    </row>
    <row r="21" spans="1:9">
      <c r="A21" s="808"/>
      <c r="B21" s="808"/>
      <c r="C21" s="808"/>
      <c r="D21" s="808"/>
      <c r="E21" s="808"/>
      <c r="F21" s="808"/>
      <c r="G21" s="808"/>
      <c r="H21" s="808"/>
      <c r="I21" s="808"/>
    </row>
    <row r="22" spans="1:9" ht="18">
      <c r="A22" s="202"/>
      <c r="B22" s="202"/>
      <c r="C22" s="202"/>
      <c r="D22" s="202"/>
      <c r="E22" s="202"/>
      <c r="F22" s="202"/>
      <c r="G22" s="202"/>
      <c r="H22" s="202"/>
      <c r="I22" s="202"/>
    </row>
    <row r="23" spans="1:9">
      <c r="A23" s="808" t="s">
        <v>976</v>
      </c>
      <c r="B23" s="808"/>
      <c r="C23" s="808"/>
      <c r="D23" s="808"/>
      <c r="E23" s="808"/>
      <c r="F23" s="808"/>
      <c r="G23" s="808"/>
      <c r="H23" s="808" t="s">
        <v>1013</v>
      </c>
      <c r="I23" s="808"/>
    </row>
    <row r="24" spans="1:9">
      <c r="A24" s="808"/>
      <c r="B24" s="808"/>
      <c r="C24" s="808"/>
      <c r="D24" s="808"/>
      <c r="E24" s="808"/>
      <c r="F24" s="808"/>
      <c r="G24" s="808"/>
      <c r="H24" s="808"/>
      <c r="I24" s="808"/>
    </row>
    <row r="25" spans="1:9">
      <c r="A25" s="808"/>
      <c r="B25" s="808"/>
      <c r="C25" s="808"/>
      <c r="D25" s="808"/>
      <c r="E25" s="808"/>
      <c r="F25" s="808"/>
      <c r="G25" s="808"/>
      <c r="H25" s="808"/>
      <c r="I25" s="808"/>
    </row>
    <row r="26" spans="1:9" ht="18">
      <c r="A26" s="202"/>
      <c r="B26" s="202"/>
      <c r="C26" s="202"/>
      <c r="D26" s="202"/>
      <c r="E26" s="202"/>
      <c r="F26" s="202"/>
      <c r="G26" s="202"/>
      <c r="H26" s="202"/>
      <c r="I26" s="202"/>
    </row>
    <row r="27" spans="1:9">
      <c r="A27" s="808" t="s">
        <v>977</v>
      </c>
      <c r="B27" s="808"/>
      <c r="C27" s="808"/>
      <c r="D27" s="808"/>
      <c r="E27" s="808"/>
      <c r="F27" s="808"/>
      <c r="G27" s="808"/>
      <c r="H27" s="808" t="s">
        <v>1013</v>
      </c>
      <c r="I27" s="808"/>
    </row>
    <row r="28" spans="1:9">
      <c r="A28" s="808"/>
      <c r="B28" s="808"/>
      <c r="C28" s="808"/>
      <c r="D28" s="808"/>
      <c r="E28" s="808"/>
      <c r="F28" s="808"/>
      <c r="G28" s="808"/>
      <c r="H28" s="808"/>
      <c r="I28" s="808"/>
    </row>
    <row r="29" spans="1:9">
      <c r="A29" s="808"/>
      <c r="B29" s="808"/>
      <c r="C29" s="808"/>
      <c r="D29" s="808"/>
      <c r="E29" s="808"/>
      <c r="F29" s="808"/>
      <c r="G29" s="808"/>
      <c r="H29" s="808"/>
      <c r="I29" s="808"/>
    </row>
    <row r="30" spans="1:9" ht="18">
      <c r="A30" s="202"/>
      <c r="B30" s="202"/>
      <c r="C30" s="202"/>
      <c r="D30" s="202"/>
      <c r="E30" s="202"/>
      <c r="F30" s="202"/>
      <c r="G30" s="202"/>
      <c r="H30" s="202"/>
      <c r="I30" s="202"/>
    </row>
    <row r="31" spans="1:9">
      <c r="A31" s="808" t="s">
        <v>925</v>
      </c>
      <c r="B31" s="808"/>
      <c r="C31" s="808"/>
      <c r="D31" s="808"/>
      <c r="E31" s="808"/>
      <c r="F31" s="808"/>
      <c r="G31" s="808"/>
      <c r="H31" s="808" t="s">
        <v>1013</v>
      </c>
      <c r="I31" s="808"/>
    </row>
    <row r="32" spans="1:9">
      <c r="A32" s="808"/>
      <c r="B32" s="808"/>
      <c r="C32" s="808"/>
      <c r="D32" s="808"/>
      <c r="E32" s="808"/>
      <c r="F32" s="808"/>
      <c r="G32" s="808"/>
      <c r="H32" s="808"/>
      <c r="I32" s="808"/>
    </row>
    <row r="33" spans="1:9">
      <c r="A33" s="808"/>
      <c r="B33" s="808"/>
      <c r="C33" s="808"/>
      <c r="D33" s="808"/>
      <c r="E33" s="808"/>
      <c r="F33" s="808"/>
      <c r="G33" s="808"/>
      <c r="H33" s="808"/>
      <c r="I33" s="808"/>
    </row>
    <row r="34" spans="1:9">
      <c r="A34" s="522"/>
      <c r="B34" s="522"/>
      <c r="C34" s="522"/>
      <c r="D34" s="522"/>
      <c r="E34" s="522"/>
      <c r="F34" s="522"/>
      <c r="G34" s="522"/>
      <c r="H34" s="522"/>
      <c r="I34" s="522"/>
    </row>
    <row r="35" spans="1:9">
      <c r="A35" s="522"/>
      <c r="B35" s="522"/>
      <c r="C35" s="522"/>
      <c r="D35" s="522" t="s">
        <v>288</v>
      </c>
      <c r="E35" s="522"/>
      <c r="F35" s="522"/>
      <c r="G35" s="522"/>
      <c r="H35" s="522" t="s">
        <v>201</v>
      </c>
      <c r="I35" s="522"/>
    </row>
    <row r="36" spans="1:9" ht="18">
      <c r="A36" s="202"/>
      <c r="B36" s="202"/>
      <c r="C36" s="202"/>
      <c r="D36" s="202"/>
      <c r="E36" s="202"/>
      <c r="F36" s="202"/>
      <c r="G36" s="202"/>
      <c r="H36" s="202"/>
      <c r="I36" s="202"/>
    </row>
    <row r="37" spans="1:9">
      <c r="A37" s="808" t="s">
        <v>926</v>
      </c>
      <c r="B37" s="808"/>
      <c r="C37" s="808"/>
      <c r="D37" s="808"/>
      <c r="E37" s="808"/>
      <c r="F37" s="808"/>
      <c r="G37" s="808"/>
      <c r="H37" s="808" t="s">
        <v>1013</v>
      </c>
      <c r="I37" s="808"/>
    </row>
    <row r="38" spans="1:9">
      <c r="A38" s="808"/>
      <c r="B38" s="808"/>
      <c r="C38" s="808"/>
      <c r="D38" s="808"/>
      <c r="E38" s="808"/>
      <c r="F38" s="808"/>
      <c r="G38" s="808"/>
      <c r="H38" s="808"/>
      <c r="I38" s="808"/>
    </row>
    <row r="39" spans="1:9">
      <c r="A39" s="808"/>
      <c r="B39" s="808"/>
      <c r="C39" s="808"/>
      <c r="D39" s="808"/>
      <c r="E39" s="808"/>
      <c r="F39" s="808"/>
      <c r="G39" s="808"/>
      <c r="H39" s="808"/>
      <c r="I39" s="808"/>
    </row>
    <row r="40" spans="1:9" ht="18">
      <c r="A40" s="202"/>
      <c r="B40" s="202"/>
      <c r="C40" s="202"/>
      <c r="D40" s="202"/>
      <c r="E40" s="202"/>
      <c r="F40" s="202"/>
      <c r="G40" s="202"/>
      <c r="H40" s="202"/>
      <c r="I40" s="202"/>
    </row>
    <row r="41" spans="1:9">
      <c r="A41" s="808" t="s">
        <v>927</v>
      </c>
      <c r="B41" s="808"/>
      <c r="C41" s="808"/>
      <c r="D41" s="808"/>
      <c r="E41" s="808"/>
      <c r="F41" s="808"/>
      <c r="G41" s="808"/>
      <c r="H41" s="808" t="s">
        <v>1013</v>
      </c>
      <c r="I41" s="808"/>
    </row>
    <row r="42" spans="1:9">
      <c r="A42" s="808"/>
      <c r="B42" s="808"/>
      <c r="C42" s="808"/>
      <c r="D42" s="808"/>
      <c r="E42" s="808"/>
      <c r="F42" s="808"/>
      <c r="G42" s="808"/>
      <c r="H42" s="808"/>
      <c r="I42" s="808"/>
    </row>
    <row r="43" spans="1:9">
      <c r="A43" s="808"/>
      <c r="B43" s="808"/>
      <c r="C43" s="808"/>
      <c r="D43" s="808"/>
      <c r="E43" s="808"/>
      <c r="F43" s="808"/>
      <c r="G43" s="808"/>
      <c r="H43" s="808"/>
      <c r="I43" s="808"/>
    </row>
    <row r="44" spans="1:9">
      <c r="A44" s="24"/>
      <c r="B44" s="24"/>
      <c r="C44" s="24"/>
      <c r="D44" s="24"/>
      <c r="E44" s="24"/>
      <c r="F44" s="24"/>
      <c r="G44" s="24"/>
      <c r="H44" s="24"/>
      <c r="I44" s="24"/>
    </row>
    <row r="45" spans="1:9">
      <c r="A45" s="808" t="s">
        <v>979</v>
      </c>
      <c r="B45" s="808"/>
      <c r="C45" s="808"/>
      <c r="D45" s="808"/>
      <c r="E45" s="808"/>
      <c r="F45" s="808"/>
      <c r="G45" s="808"/>
      <c r="H45" s="808" t="s">
        <v>1013</v>
      </c>
      <c r="I45" s="808"/>
    </row>
    <row r="46" spans="1:9">
      <c r="A46" s="808"/>
      <c r="B46" s="808"/>
      <c r="C46" s="808"/>
      <c r="D46" s="808"/>
      <c r="E46" s="808"/>
      <c r="F46" s="808"/>
      <c r="G46" s="808"/>
      <c r="H46" s="808"/>
      <c r="I46" s="808"/>
    </row>
    <row r="47" spans="1:9">
      <c r="A47" s="808"/>
      <c r="B47" s="808"/>
      <c r="C47" s="808"/>
      <c r="D47" s="808"/>
      <c r="E47" s="808"/>
      <c r="F47" s="808"/>
      <c r="G47" s="808"/>
      <c r="H47" s="808"/>
      <c r="I47" s="808"/>
    </row>
    <row r="48" spans="1:9">
      <c r="A48" s="24"/>
      <c r="B48" s="24"/>
      <c r="C48" s="24"/>
      <c r="D48" s="24"/>
      <c r="E48" s="24"/>
      <c r="F48" s="24"/>
      <c r="G48" s="24"/>
      <c r="H48" s="24"/>
      <c r="I48" s="24"/>
    </row>
    <row r="50" spans="1:256">
      <c r="A50" s="808" t="s">
        <v>982</v>
      </c>
      <c r="B50" s="808"/>
      <c r="C50" s="808"/>
      <c r="D50" s="808"/>
      <c r="E50" s="808"/>
      <c r="F50" s="808"/>
      <c r="G50" s="808"/>
      <c r="H50" s="808" t="s">
        <v>1013</v>
      </c>
      <c r="I50" s="808"/>
      <c r="J50" s="807"/>
      <c r="K50" s="807"/>
      <c r="L50" s="807"/>
      <c r="M50" s="807"/>
      <c r="N50" s="807"/>
      <c r="O50" s="807"/>
      <c r="P50" s="807"/>
      <c r="Q50" s="807" t="s">
        <v>201</v>
      </c>
      <c r="R50" s="807"/>
      <c r="S50" s="807" t="s">
        <v>366</v>
      </c>
      <c r="T50" s="807"/>
      <c r="U50" s="807"/>
      <c r="V50" s="807"/>
      <c r="W50" s="807"/>
      <c r="X50" s="807"/>
      <c r="Y50" s="807"/>
      <c r="Z50" s="807" t="s">
        <v>201</v>
      </c>
      <c r="AA50" s="807"/>
      <c r="AB50" s="807" t="s">
        <v>366</v>
      </c>
      <c r="AC50" s="807"/>
      <c r="AD50" s="807"/>
      <c r="AE50" s="807"/>
      <c r="AF50" s="807"/>
      <c r="AG50" s="807"/>
      <c r="AH50" s="807"/>
      <c r="AI50" s="807" t="s">
        <v>201</v>
      </c>
      <c r="AJ50" s="807"/>
      <c r="AK50" s="807" t="s">
        <v>366</v>
      </c>
      <c r="AL50" s="807"/>
      <c r="AM50" s="807"/>
      <c r="AN50" s="807"/>
      <c r="AO50" s="807"/>
      <c r="AP50" s="807"/>
      <c r="AQ50" s="807"/>
      <c r="AR50" s="807" t="s">
        <v>201</v>
      </c>
      <c r="AS50" s="807"/>
      <c r="AT50" s="807" t="s">
        <v>366</v>
      </c>
      <c r="AU50" s="807"/>
      <c r="AV50" s="807"/>
      <c r="AW50" s="807"/>
      <c r="AX50" s="807"/>
      <c r="AY50" s="807"/>
      <c r="AZ50" s="807"/>
      <c r="BA50" s="807" t="s">
        <v>201</v>
      </c>
      <c r="BB50" s="807"/>
      <c r="BC50" s="807" t="s">
        <v>366</v>
      </c>
      <c r="BD50" s="807"/>
      <c r="BE50" s="807"/>
      <c r="BF50" s="807"/>
      <c r="BG50" s="807"/>
      <c r="BH50" s="807"/>
      <c r="BI50" s="807"/>
      <c r="BJ50" s="807" t="s">
        <v>201</v>
      </c>
      <c r="BK50" s="807"/>
      <c r="BL50" s="807" t="s">
        <v>366</v>
      </c>
      <c r="BM50" s="807"/>
      <c r="BN50" s="807"/>
      <c r="BO50" s="807"/>
      <c r="BP50" s="807"/>
      <c r="BQ50" s="807"/>
      <c r="BR50" s="807"/>
      <c r="BS50" s="807" t="s">
        <v>201</v>
      </c>
      <c r="BT50" s="807"/>
      <c r="BU50" s="807" t="s">
        <v>366</v>
      </c>
      <c r="BV50" s="807"/>
      <c r="BW50" s="807"/>
      <c r="BX50" s="807"/>
      <c r="BY50" s="807"/>
      <c r="BZ50" s="807"/>
      <c r="CA50" s="807"/>
      <c r="CB50" s="807" t="s">
        <v>201</v>
      </c>
      <c r="CC50" s="807"/>
      <c r="CD50" s="807" t="s">
        <v>366</v>
      </c>
      <c r="CE50" s="807"/>
      <c r="CF50" s="807"/>
      <c r="CG50" s="807"/>
      <c r="CH50" s="807"/>
      <c r="CI50" s="807"/>
      <c r="CJ50" s="807"/>
      <c r="CK50" s="807" t="s">
        <v>201</v>
      </c>
      <c r="CL50" s="807"/>
      <c r="CM50" s="807" t="s">
        <v>366</v>
      </c>
      <c r="CN50" s="807"/>
      <c r="CO50" s="807"/>
      <c r="CP50" s="807"/>
      <c r="CQ50" s="807"/>
      <c r="CR50" s="807"/>
      <c r="CS50" s="807"/>
      <c r="CT50" s="807" t="s">
        <v>201</v>
      </c>
      <c r="CU50" s="807"/>
      <c r="CV50" s="807" t="s">
        <v>366</v>
      </c>
      <c r="CW50" s="807"/>
      <c r="CX50" s="807"/>
      <c r="CY50" s="807"/>
      <c r="CZ50" s="807"/>
      <c r="DA50" s="807"/>
      <c r="DB50" s="807"/>
      <c r="DC50" s="807" t="s">
        <v>201</v>
      </c>
      <c r="DD50" s="807"/>
      <c r="DE50" s="807" t="s">
        <v>366</v>
      </c>
      <c r="DF50" s="807"/>
      <c r="DG50" s="807"/>
      <c r="DH50" s="807"/>
      <c r="DI50" s="807"/>
      <c r="DJ50" s="807"/>
      <c r="DK50" s="807"/>
      <c r="DL50" s="807" t="s">
        <v>201</v>
      </c>
      <c r="DM50" s="807"/>
      <c r="DN50" s="807" t="s">
        <v>366</v>
      </c>
      <c r="DO50" s="807"/>
      <c r="DP50" s="807"/>
      <c r="DQ50" s="807"/>
      <c r="DR50" s="807"/>
      <c r="DS50" s="807"/>
      <c r="DT50" s="807"/>
      <c r="DU50" s="807" t="s">
        <v>201</v>
      </c>
      <c r="DV50" s="807"/>
      <c r="DW50" s="807" t="s">
        <v>366</v>
      </c>
      <c r="DX50" s="807"/>
      <c r="DY50" s="807"/>
      <c r="DZ50" s="807"/>
      <c r="EA50" s="807"/>
      <c r="EB50" s="807"/>
      <c r="EC50" s="807"/>
      <c r="ED50" s="807" t="s">
        <v>201</v>
      </c>
      <c r="EE50" s="807"/>
      <c r="EF50" s="807" t="s">
        <v>366</v>
      </c>
      <c r="EG50" s="807"/>
      <c r="EH50" s="807"/>
      <c r="EI50" s="807"/>
      <c r="EJ50" s="807"/>
      <c r="EK50" s="807"/>
      <c r="EL50" s="807"/>
      <c r="EM50" s="807" t="s">
        <v>201</v>
      </c>
      <c r="EN50" s="807"/>
      <c r="EO50" s="807" t="s">
        <v>366</v>
      </c>
      <c r="EP50" s="807"/>
      <c r="EQ50" s="807"/>
      <c r="ER50" s="807"/>
      <c r="ES50" s="807"/>
      <c r="ET50" s="807"/>
      <c r="EU50" s="807"/>
      <c r="EV50" s="807" t="s">
        <v>201</v>
      </c>
      <c r="EW50" s="807"/>
      <c r="EX50" s="807" t="s">
        <v>366</v>
      </c>
      <c r="EY50" s="807"/>
      <c r="EZ50" s="807"/>
      <c r="FA50" s="807"/>
      <c r="FB50" s="807"/>
      <c r="FC50" s="807"/>
      <c r="FD50" s="807"/>
      <c r="FE50" s="807" t="s">
        <v>201</v>
      </c>
      <c r="FF50" s="807"/>
      <c r="FG50" s="807" t="s">
        <v>366</v>
      </c>
      <c r="FH50" s="807"/>
      <c r="FI50" s="807"/>
      <c r="FJ50" s="807"/>
      <c r="FK50" s="807"/>
      <c r="FL50" s="807"/>
      <c r="FM50" s="807"/>
      <c r="FN50" s="807" t="s">
        <v>201</v>
      </c>
      <c r="FO50" s="807"/>
      <c r="FP50" s="807" t="s">
        <v>366</v>
      </c>
      <c r="FQ50" s="807"/>
      <c r="FR50" s="807"/>
      <c r="FS50" s="807"/>
      <c r="FT50" s="807"/>
      <c r="FU50" s="807"/>
      <c r="FV50" s="807"/>
      <c r="FW50" s="807" t="s">
        <v>201</v>
      </c>
      <c r="FX50" s="807"/>
      <c r="FY50" s="807" t="s">
        <v>366</v>
      </c>
      <c r="FZ50" s="807"/>
      <c r="GA50" s="807"/>
      <c r="GB50" s="807"/>
      <c r="GC50" s="807"/>
      <c r="GD50" s="807"/>
      <c r="GE50" s="807"/>
      <c r="GF50" s="807" t="s">
        <v>201</v>
      </c>
      <c r="GG50" s="807"/>
      <c r="GH50" s="807" t="s">
        <v>366</v>
      </c>
      <c r="GI50" s="807"/>
      <c r="GJ50" s="807"/>
      <c r="GK50" s="807"/>
      <c r="GL50" s="807"/>
      <c r="GM50" s="807"/>
      <c r="GN50" s="807"/>
      <c r="GO50" s="807" t="s">
        <v>201</v>
      </c>
      <c r="GP50" s="807"/>
      <c r="GQ50" s="807" t="s">
        <v>366</v>
      </c>
      <c r="GR50" s="807"/>
      <c r="GS50" s="807"/>
      <c r="GT50" s="807"/>
      <c r="GU50" s="807"/>
      <c r="GV50" s="807"/>
      <c r="GW50" s="807"/>
      <c r="GX50" s="807" t="s">
        <v>201</v>
      </c>
      <c r="GY50" s="807"/>
      <c r="GZ50" s="807" t="s">
        <v>366</v>
      </c>
      <c r="HA50" s="807"/>
      <c r="HB50" s="807"/>
      <c r="HC50" s="807"/>
      <c r="HD50" s="807"/>
      <c r="HE50" s="807"/>
      <c r="HF50" s="807"/>
      <c r="HG50" s="807" t="s">
        <v>201</v>
      </c>
      <c r="HH50" s="807"/>
      <c r="HI50" s="807" t="s">
        <v>366</v>
      </c>
      <c r="HJ50" s="807"/>
      <c r="HK50" s="807"/>
      <c r="HL50" s="807"/>
      <c r="HM50" s="807"/>
      <c r="HN50" s="807"/>
      <c r="HO50" s="807"/>
      <c r="HP50" s="807" t="s">
        <v>201</v>
      </c>
      <c r="HQ50" s="807"/>
      <c r="HR50" s="807" t="s">
        <v>366</v>
      </c>
      <c r="HS50" s="807"/>
      <c r="HT50" s="807"/>
      <c r="HU50" s="807"/>
      <c r="HV50" s="807"/>
      <c r="HW50" s="807"/>
      <c r="HX50" s="807"/>
      <c r="HY50" s="807" t="s">
        <v>201</v>
      </c>
      <c r="HZ50" s="807"/>
      <c r="IA50" s="807" t="s">
        <v>366</v>
      </c>
      <c r="IB50" s="807"/>
      <c r="IC50" s="807"/>
      <c r="ID50" s="807"/>
      <c r="IE50" s="807"/>
      <c r="IF50" s="807"/>
      <c r="IG50" s="807"/>
      <c r="IH50" s="807" t="s">
        <v>201</v>
      </c>
      <c r="II50" s="807"/>
      <c r="IJ50" s="807" t="s">
        <v>366</v>
      </c>
      <c r="IK50" s="807"/>
      <c r="IL50" s="807"/>
      <c r="IM50" s="807"/>
      <c r="IN50" s="807"/>
      <c r="IO50" s="807"/>
      <c r="IP50" s="807"/>
      <c r="IQ50" s="807" t="s">
        <v>201</v>
      </c>
      <c r="IR50" s="807"/>
      <c r="IS50" s="807" t="s">
        <v>366</v>
      </c>
      <c r="IT50" s="807"/>
      <c r="IU50" s="807"/>
      <c r="IV50" s="807"/>
    </row>
    <row r="51" spans="1:256">
      <c r="A51" s="808"/>
      <c r="B51" s="808"/>
      <c r="C51" s="808"/>
      <c r="D51" s="808"/>
      <c r="E51" s="808"/>
      <c r="F51" s="808"/>
      <c r="G51" s="808"/>
      <c r="H51" s="808"/>
      <c r="I51" s="808"/>
      <c r="J51" s="807"/>
      <c r="K51" s="807"/>
      <c r="L51" s="807"/>
      <c r="M51" s="807"/>
      <c r="N51" s="807"/>
      <c r="O51" s="807"/>
      <c r="P51" s="807"/>
      <c r="Q51" s="807"/>
      <c r="R51" s="807"/>
      <c r="S51" s="807"/>
      <c r="T51" s="807"/>
      <c r="U51" s="807"/>
      <c r="V51" s="807"/>
      <c r="W51" s="807"/>
      <c r="X51" s="807"/>
      <c r="Y51" s="807"/>
      <c r="Z51" s="807"/>
      <c r="AA51" s="807"/>
      <c r="AB51" s="807"/>
      <c r="AC51" s="807"/>
      <c r="AD51" s="807"/>
      <c r="AE51" s="807"/>
      <c r="AF51" s="807"/>
      <c r="AG51" s="807"/>
      <c r="AH51" s="807"/>
      <c r="AI51" s="807"/>
      <c r="AJ51" s="807"/>
      <c r="AK51" s="807"/>
      <c r="AL51" s="807"/>
      <c r="AM51" s="807"/>
      <c r="AN51" s="807"/>
      <c r="AO51" s="807"/>
      <c r="AP51" s="807"/>
      <c r="AQ51" s="807"/>
      <c r="AR51" s="807"/>
      <c r="AS51" s="807"/>
      <c r="AT51" s="807"/>
      <c r="AU51" s="807"/>
      <c r="AV51" s="807"/>
      <c r="AW51" s="807"/>
      <c r="AX51" s="807"/>
      <c r="AY51" s="807"/>
      <c r="AZ51" s="807"/>
      <c r="BA51" s="807"/>
      <c r="BB51" s="807"/>
      <c r="BC51" s="807"/>
      <c r="BD51" s="807"/>
      <c r="BE51" s="807"/>
      <c r="BF51" s="807"/>
      <c r="BG51" s="807"/>
      <c r="BH51" s="807"/>
      <c r="BI51" s="807"/>
      <c r="BJ51" s="807"/>
      <c r="BK51" s="807"/>
      <c r="BL51" s="807"/>
      <c r="BM51" s="807"/>
      <c r="BN51" s="807"/>
      <c r="BO51" s="807"/>
      <c r="BP51" s="807"/>
      <c r="BQ51" s="807"/>
      <c r="BR51" s="807"/>
      <c r="BS51" s="807"/>
      <c r="BT51" s="807"/>
      <c r="BU51" s="807"/>
      <c r="BV51" s="807"/>
      <c r="BW51" s="807"/>
      <c r="BX51" s="807"/>
      <c r="BY51" s="807"/>
      <c r="BZ51" s="807"/>
      <c r="CA51" s="807"/>
      <c r="CB51" s="807"/>
      <c r="CC51" s="807"/>
      <c r="CD51" s="807"/>
      <c r="CE51" s="807"/>
      <c r="CF51" s="807"/>
      <c r="CG51" s="807"/>
      <c r="CH51" s="807"/>
      <c r="CI51" s="807"/>
      <c r="CJ51" s="807"/>
      <c r="CK51" s="807"/>
      <c r="CL51" s="807"/>
      <c r="CM51" s="807"/>
      <c r="CN51" s="807"/>
      <c r="CO51" s="807"/>
      <c r="CP51" s="807"/>
      <c r="CQ51" s="807"/>
      <c r="CR51" s="807"/>
      <c r="CS51" s="807"/>
      <c r="CT51" s="807"/>
      <c r="CU51" s="807"/>
      <c r="CV51" s="807"/>
      <c r="CW51" s="807"/>
      <c r="CX51" s="807"/>
      <c r="CY51" s="807"/>
      <c r="CZ51" s="807"/>
      <c r="DA51" s="807"/>
      <c r="DB51" s="807"/>
      <c r="DC51" s="807"/>
      <c r="DD51" s="807"/>
      <c r="DE51" s="807"/>
      <c r="DF51" s="807"/>
      <c r="DG51" s="807"/>
      <c r="DH51" s="807"/>
      <c r="DI51" s="807"/>
      <c r="DJ51" s="807"/>
      <c r="DK51" s="807"/>
      <c r="DL51" s="807"/>
      <c r="DM51" s="807"/>
      <c r="DN51" s="807"/>
      <c r="DO51" s="807"/>
      <c r="DP51" s="807"/>
      <c r="DQ51" s="807"/>
      <c r="DR51" s="807"/>
      <c r="DS51" s="807"/>
      <c r="DT51" s="807"/>
      <c r="DU51" s="807"/>
      <c r="DV51" s="807"/>
      <c r="DW51" s="807"/>
      <c r="DX51" s="807"/>
      <c r="DY51" s="807"/>
      <c r="DZ51" s="807"/>
      <c r="EA51" s="807"/>
      <c r="EB51" s="807"/>
      <c r="EC51" s="807"/>
      <c r="ED51" s="807"/>
      <c r="EE51" s="807"/>
      <c r="EF51" s="807"/>
      <c r="EG51" s="807"/>
      <c r="EH51" s="807"/>
      <c r="EI51" s="807"/>
      <c r="EJ51" s="807"/>
      <c r="EK51" s="807"/>
      <c r="EL51" s="807"/>
      <c r="EM51" s="807"/>
      <c r="EN51" s="807"/>
      <c r="EO51" s="807"/>
      <c r="EP51" s="807"/>
      <c r="EQ51" s="807"/>
      <c r="ER51" s="807"/>
      <c r="ES51" s="807"/>
      <c r="ET51" s="807"/>
      <c r="EU51" s="807"/>
      <c r="EV51" s="807"/>
      <c r="EW51" s="807"/>
      <c r="EX51" s="807"/>
      <c r="EY51" s="807"/>
      <c r="EZ51" s="807"/>
      <c r="FA51" s="807"/>
      <c r="FB51" s="807"/>
      <c r="FC51" s="807"/>
      <c r="FD51" s="807"/>
      <c r="FE51" s="807"/>
      <c r="FF51" s="807"/>
      <c r="FG51" s="807"/>
      <c r="FH51" s="807"/>
      <c r="FI51" s="807"/>
      <c r="FJ51" s="807"/>
      <c r="FK51" s="807"/>
      <c r="FL51" s="807"/>
      <c r="FM51" s="807"/>
      <c r="FN51" s="807"/>
      <c r="FO51" s="807"/>
      <c r="FP51" s="807"/>
      <c r="FQ51" s="807"/>
      <c r="FR51" s="807"/>
      <c r="FS51" s="807"/>
      <c r="FT51" s="807"/>
      <c r="FU51" s="807"/>
      <c r="FV51" s="807"/>
      <c r="FW51" s="807"/>
      <c r="FX51" s="807"/>
      <c r="FY51" s="807"/>
      <c r="FZ51" s="807"/>
      <c r="GA51" s="807"/>
      <c r="GB51" s="807"/>
      <c r="GC51" s="807"/>
      <c r="GD51" s="807"/>
      <c r="GE51" s="807"/>
      <c r="GF51" s="807"/>
      <c r="GG51" s="807"/>
      <c r="GH51" s="807"/>
      <c r="GI51" s="807"/>
      <c r="GJ51" s="807"/>
      <c r="GK51" s="807"/>
      <c r="GL51" s="807"/>
      <c r="GM51" s="807"/>
      <c r="GN51" s="807"/>
      <c r="GO51" s="807"/>
      <c r="GP51" s="807"/>
      <c r="GQ51" s="807"/>
      <c r="GR51" s="807"/>
      <c r="GS51" s="807"/>
      <c r="GT51" s="807"/>
      <c r="GU51" s="807"/>
      <c r="GV51" s="807"/>
      <c r="GW51" s="807"/>
      <c r="GX51" s="807"/>
      <c r="GY51" s="807"/>
      <c r="GZ51" s="807"/>
      <c r="HA51" s="807"/>
      <c r="HB51" s="807"/>
      <c r="HC51" s="807"/>
      <c r="HD51" s="807"/>
      <c r="HE51" s="807"/>
      <c r="HF51" s="807"/>
      <c r="HG51" s="807"/>
      <c r="HH51" s="807"/>
      <c r="HI51" s="807"/>
      <c r="HJ51" s="807"/>
      <c r="HK51" s="807"/>
      <c r="HL51" s="807"/>
      <c r="HM51" s="807"/>
      <c r="HN51" s="807"/>
      <c r="HO51" s="807"/>
      <c r="HP51" s="807"/>
      <c r="HQ51" s="807"/>
      <c r="HR51" s="807"/>
      <c r="HS51" s="807"/>
      <c r="HT51" s="807"/>
      <c r="HU51" s="807"/>
      <c r="HV51" s="807"/>
      <c r="HW51" s="807"/>
      <c r="HX51" s="807"/>
      <c r="HY51" s="807"/>
      <c r="HZ51" s="807"/>
      <c r="IA51" s="807"/>
      <c r="IB51" s="807"/>
      <c r="IC51" s="807"/>
      <c r="ID51" s="807"/>
      <c r="IE51" s="807"/>
      <c r="IF51" s="807"/>
      <c r="IG51" s="807"/>
      <c r="IH51" s="807"/>
      <c r="II51" s="807"/>
      <c r="IJ51" s="807"/>
      <c r="IK51" s="807"/>
      <c r="IL51" s="807"/>
      <c r="IM51" s="807"/>
      <c r="IN51" s="807"/>
      <c r="IO51" s="807"/>
      <c r="IP51" s="807"/>
      <c r="IQ51" s="807"/>
      <c r="IR51" s="807"/>
      <c r="IS51" s="807"/>
      <c r="IT51" s="807"/>
      <c r="IU51" s="807"/>
      <c r="IV51" s="807"/>
    </row>
    <row r="52" spans="1:256">
      <c r="A52" s="808"/>
      <c r="B52" s="808"/>
      <c r="C52" s="808"/>
      <c r="D52" s="808"/>
      <c r="E52" s="808"/>
      <c r="F52" s="808"/>
      <c r="G52" s="808"/>
      <c r="H52" s="808"/>
      <c r="I52" s="808"/>
      <c r="J52" s="807"/>
      <c r="K52" s="807"/>
      <c r="L52" s="807"/>
      <c r="M52" s="807"/>
      <c r="N52" s="807"/>
      <c r="O52" s="807"/>
      <c r="P52" s="807"/>
      <c r="Q52" s="807"/>
      <c r="R52" s="807"/>
      <c r="S52" s="807"/>
      <c r="T52" s="807"/>
      <c r="U52" s="807"/>
      <c r="V52" s="807"/>
      <c r="W52" s="807"/>
      <c r="X52" s="807"/>
      <c r="Y52" s="807"/>
      <c r="Z52" s="807"/>
      <c r="AA52" s="807"/>
      <c r="AB52" s="807"/>
      <c r="AC52" s="807"/>
      <c r="AD52" s="807"/>
      <c r="AE52" s="807"/>
      <c r="AF52" s="807"/>
      <c r="AG52" s="807"/>
      <c r="AH52" s="807"/>
      <c r="AI52" s="807"/>
      <c r="AJ52" s="807"/>
      <c r="AK52" s="807"/>
      <c r="AL52" s="807"/>
      <c r="AM52" s="807"/>
      <c r="AN52" s="807"/>
      <c r="AO52" s="807"/>
      <c r="AP52" s="807"/>
      <c r="AQ52" s="807"/>
      <c r="AR52" s="807"/>
      <c r="AS52" s="807"/>
      <c r="AT52" s="807"/>
      <c r="AU52" s="807"/>
      <c r="AV52" s="807"/>
      <c r="AW52" s="807"/>
      <c r="AX52" s="807"/>
      <c r="AY52" s="807"/>
      <c r="AZ52" s="807"/>
      <c r="BA52" s="807"/>
      <c r="BB52" s="807"/>
      <c r="BC52" s="807"/>
      <c r="BD52" s="807"/>
      <c r="BE52" s="807"/>
      <c r="BF52" s="807"/>
      <c r="BG52" s="807"/>
      <c r="BH52" s="807"/>
      <c r="BI52" s="807"/>
      <c r="BJ52" s="807"/>
      <c r="BK52" s="807"/>
      <c r="BL52" s="807"/>
      <c r="BM52" s="807"/>
      <c r="BN52" s="807"/>
      <c r="BO52" s="807"/>
      <c r="BP52" s="807"/>
      <c r="BQ52" s="807"/>
      <c r="BR52" s="807"/>
      <c r="BS52" s="807"/>
      <c r="BT52" s="807"/>
      <c r="BU52" s="807"/>
      <c r="BV52" s="807"/>
      <c r="BW52" s="807"/>
      <c r="BX52" s="807"/>
      <c r="BY52" s="807"/>
      <c r="BZ52" s="807"/>
      <c r="CA52" s="807"/>
      <c r="CB52" s="807"/>
      <c r="CC52" s="807"/>
      <c r="CD52" s="807"/>
      <c r="CE52" s="807"/>
      <c r="CF52" s="807"/>
      <c r="CG52" s="807"/>
      <c r="CH52" s="807"/>
      <c r="CI52" s="807"/>
      <c r="CJ52" s="807"/>
      <c r="CK52" s="807"/>
      <c r="CL52" s="807"/>
      <c r="CM52" s="807"/>
      <c r="CN52" s="807"/>
      <c r="CO52" s="807"/>
      <c r="CP52" s="807"/>
      <c r="CQ52" s="807"/>
      <c r="CR52" s="807"/>
      <c r="CS52" s="807"/>
      <c r="CT52" s="807"/>
      <c r="CU52" s="807"/>
      <c r="CV52" s="807"/>
      <c r="CW52" s="807"/>
      <c r="CX52" s="807"/>
      <c r="CY52" s="807"/>
      <c r="CZ52" s="807"/>
      <c r="DA52" s="807"/>
      <c r="DB52" s="807"/>
      <c r="DC52" s="807"/>
      <c r="DD52" s="807"/>
      <c r="DE52" s="807"/>
      <c r="DF52" s="807"/>
      <c r="DG52" s="807"/>
      <c r="DH52" s="807"/>
      <c r="DI52" s="807"/>
      <c r="DJ52" s="807"/>
      <c r="DK52" s="807"/>
      <c r="DL52" s="807"/>
      <c r="DM52" s="807"/>
      <c r="DN52" s="807"/>
      <c r="DO52" s="807"/>
      <c r="DP52" s="807"/>
      <c r="DQ52" s="807"/>
      <c r="DR52" s="807"/>
      <c r="DS52" s="807"/>
      <c r="DT52" s="807"/>
      <c r="DU52" s="807"/>
      <c r="DV52" s="807"/>
      <c r="DW52" s="807"/>
      <c r="DX52" s="807"/>
      <c r="DY52" s="807"/>
      <c r="DZ52" s="807"/>
      <c r="EA52" s="807"/>
      <c r="EB52" s="807"/>
      <c r="EC52" s="807"/>
      <c r="ED52" s="807"/>
      <c r="EE52" s="807"/>
      <c r="EF52" s="807"/>
      <c r="EG52" s="807"/>
      <c r="EH52" s="807"/>
      <c r="EI52" s="807"/>
      <c r="EJ52" s="807"/>
      <c r="EK52" s="807"/>
      <c r="EL52" s="807"/>
      <c r="EM52" s="807"/>
      <c r="EN52" s="807"/>
      <c r="EO52" s="807"/>
      <c r="EP52" s="807"/>
      <c r="EQ52" s="807"/>
      <c r="ER52" s="807"/>
      <c r="ES52" s="807"/>
      <c r="ET52" s="807"/>
      <c r="EU52" s="807"/>
      <c r="EV52" s="807"/>
      <c r="EW52" s="807"/>
      <c r="EX52" s="807"/>
      <c r="EY52" s="807"/>
      <c r="EZ52" s="807"/>
      <c r="FA52" s="807"/>
      <c r="FB52" s="807"/>
      <c r="FC52" s="807"/>
      <c r="FD52" s="807"/>
      <c r="FE52" s="807"/>
      <c r="FF52" s="807"/>
      <c r="FG52" s="807"/>
      <c r="FH52" s="807"/>
      <c r="FI52" s="807"/>
      <c r="FJ52" s="807"/>
      <c r="FK52" s="807"/>
      <c r="FL52" s="807"/>
      <c r="FM52" s="807"/>
      <c r="FN52" s="807"/>
      <c r="FO52" s="807"/>
      <c r="FP52" s="807"/>
      <c r="FQ52" s="807"/>
      <c r="FR52" s="807"/>
      <c r="FS52" s="807"/>
      <c r="FT52" s="807"/>
      <c r="FU52" s="807"/>
      <c r="FV52" s="807"/>
      <c r="FW52" s="807"/>
      <c r="FX52" s="807"/>
      <c r="FY52" s="807"/>
      <c r="FZ52" s="807"/>
      <c r="GA52" s="807"/>
      <c r="GB52" s="807"/>
      <c r="GC52" s="807"/>
      <c r="GD52" s="807"/>
      <c r="GE52" s="807"/>
      <c r="GF52" s="807"/>
      <c r="GG52" s="807"/>
      <c r="GH52" s="807"/>
      <c r="GI52" s="807"/>
      <c r="GJ52" s="807"/>
      <c r="GK52" s="807"/>
      <c r="GL52" s="807"/>
      <c r="GM52" s="807"/>
      <c r="GN52" s="807"/>
      <c r="GO52" s="807"/>
      <c r="GP52" s="807"/>
      <c r="GQ52" s="807"/>
      <c r="GR52" s="807"/>
      <c r="GS52" s="807"/>
      <c r="GT52" s="807"/>
      <c r="GU52" s="807"/>
      <c r="GV52" s="807"/>
      <c r="GW52" s="807"/>
      <c r="GX52" s="807"/>
      <c r="GY52" s="807"/>
      <c r="GZ52" s="807"/>
      <c r="HA52" s="807"/>
      <c r="HB52" s="807"/>
      <c r="HC52" s="807"/>
      <c r="HD52" s="807"/>
      <c r="HE52" s="807"/>
      <c r="HF52" s="807"/>
      <c r="HG52" s="807"/>
      <c r="HH52" s="807"/>
      <c r="HI52" s="807"/>
      <c r="HJ52" s="807"/>
      <c r="HK52" s="807"/>
      <c r="HL52" s="807"/>
      <c r="HM52" s="807"/>
      <c r="HN52" s="807"/>
      <c r="HO52" s="807"/>
      <c r="HP52" s="807"/>
      <c r="HQ52" s="807"/>
      <c r="HR52" s="807"/>
      <c r="HS52" s="807"/>
      <c r="HT52" s="807"/>
      <c r="HU52" s="807"/>
      <c r="HV52" s="807"/>
      <c r="HW52" s="807"/>
      <c r="HX52" s="807"/>
      <c r="HY52" s="807"/>
      <c r="HZ52" s="807"/>
      <c r="IA52" s="807"/>
      <c r="IB52" s="807"/>
      <c r="IC52" s="807"/>
      <c r="ID52" s="807"/>
      <c r="IE52" s="807"/>
      <c r="IF52" s="807"/>
      <c r="IG52" s="807"/>
      <c r="IH52" s="807"/>
      <c r="II52" s="807"/>
      <c r="IJ52" s="807"/>
      <c r="IK52" s="807"/>
      <c r="IL52" s="807"/>
      <c r="IM52" s="807"/>
      <c r="IN52" s="807"/>
      <c r="IO52" s="807"/>
      <c r="IP52" s="807"/>
      <c r="IQ52" s="807"/>
      <c r="IR52" s="807"/>
      <c r="IS52" s="807"/>
      <c r="IT52" s="807"/>
      <c r="IU52" s="807"/>
      <c r="IV52" s="807"/>
    </row>
    <row r="53" spans="1:256">
      <c r="A53" s="24"/>
      <c r="B53" s="24"/>
      <c r="C53" s="24"/>
      <c r="D53" s="24"/>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24"/>
      <c r="AF53" s="24"/>
      <c r="AG53" s="24"/>
      <c r="AH53" s="24"/>
      <c r="AI53" s="24"/>
      <c r="AJ53" s="24"/>
      <c r="AK53" s="24"/>
      <c r="AL53" s="24"/>
      <c r="AM53" s="24"/>
      <c r="AN53" s="24"/>
      <c r="AO53" s="24"/>
      <c r="AP53" s="24"/>
      <c r="AQ53" s="24"/>
      <c r="AR53" s="24"/>
      <c r="AS53" s="24"/>
      <c r="AT53" s="24"/>
      <c r="AU53" s="24"/>
      <c r="AV53" s="24"/>
      <c r="AW53" s="24"/>
      <c r="AX53" s="24"/>
      <c r="AY53" s="24"/>
      <c r="AZ53" s="24"/>
      <c r="BA53" s="24"/>
      <c r="BB53" s="24"/>
      <c r="BC53" s="24"/>
      <c r="BD53" s="24"/>
      <c r="BE53" s="24"/>
      <c r="BF53" s="24"/>
      <c r="BG53" s="24"/>
      <c r="BH53" s="24"/>
      <c r="BI53" s="24"/>
      <c r="BJ53" s="24"/>
      <c r="BK53" s="24"/>
      <c r="BL53" s="24"/>
      <c r="BM53" s="24"/>
      <c r="BN53" s="24"/>
      <c r="BO53" s="24"/>
      <c r="BP53" s="24"/>
      <c r="BQ53" s="24"/>
      <c r="BR53" s="24"/>
      <c r="BS53" s="24"/>
      <c r="BT53" s="24"/>
      <c r="BU53" s="24"/>
      <c r="BV53" s="24"/>
      <c r="BW53" s="24"/>
      <c r="BX53" s="24"/>
      <c r="BY53" s="24"/>
      <c r="BZ53" s="24"/>
      <c r="CA53" s="24"/>
      <c r="CB53" s="24"/>
      <c r="CC53" s="24"/>
      <c r="CD53" s="24"/>
      <c r="CE53" s="24"/>
      <c r="CF53" s="24"/>
      <c r="CG53" s="24"/>
      <c r="CH53" s="24"/>
      <c r="CI53" s="24"/>
      <c r="CJ53" s="24"/>
      <c r="CK53" s="24"/>
      <c r="CL53" s="24"/>
      <c r="CM53" s="24"/>
      <c r="CN53" s="24"/>
      <c r="CO53" s="24"/>
      <c r="CP53" s="24"/>
      <c r="CQ53" s="24"/>
      <c r="CR53" s="24"/>
      <c r="CS53" s="24"/>
      <c r="CT53" s="24"/>
      <c r="CU53" s="24"/>
      <c r="CV53" s="24"/>
      <c r="CW53" s="24"/>
      <c r="CX53" s="24"/>
      <c r="CY53" s="24"/>
      <c r="CZ53" s="24"/>
      <c r="DA53" s="24"/>
      <c r="DB53" s="24"/>
      <c r="DC53" s="24"/>
      <c r="DD53" s="24"/>
      <c r="DE53" s="24"/>
      <c r="DF53" s="24"/>
      <c r="DG53" s="24"/>
      <c r="DH53" s="24"/>
      <c r="DI53" s="24"/>
      <c r="DJ53" s="24"/>
      <c r="DK53" s="24"/>
      <c r="DL53" s="24"/>
      <c r="DM53" s="24"/>
      <c r="DN53" s="24"/>
      <c r="DO53" s="24"/>
      <c r="DP53" s="24"/>
      <c r="DQ53" s="24"/>
      <c r="DR53" s="24"/>
      <c r="DS53" s="24"/>
      <c r="DT53" s="24"/>
      <c r="DU53" s="24"/>
      <c r="DV53" s="24"/>
      <c r="DW53" s="24"/>
      <c r="DX53" s="24"/>
      <c r="DY53" s="24"/>
      <c r="DZ53" s="24"/>
      <c r="EA53" s="24"/>
      <c r="EB53" s="24"/>
      <c r="EC53" s="24"/>
      <c r="ED53" s="24"/>
      <c r="EE53" s="24"/>
      <c r="EF53" s="24"/>
      <c r="EG53" s="24"/>
      <c r="EH53" s="24"/>
      <c r="EI53" s="24"/>
      <c r="EJ53" s="24"/>
      <c r="EK53" s="24"/>
      <c r="EL53" s="24"/>
      <c r="EM53" s="24"/>
      <c r="EN53" s="24"/>
      <c r="EO53" s="24"/>
      <c r="EP53" s="24"/>
      <c r="EQ53" s="24"/>
      <c r="ER53" s="24"/>
      <c r="ES53" s="24"/>
      <c r="ET53" s="24"/>
      <c r="EU53" s="24"/>
      <c r="EV53" s="24"/>
      <c r="EW53" s="24"/>
      <c r="EX53" s="24"/>
      <c r="EY53" s="24"/>
      <c r="EZ53" s="24"/>
      <c r="FA53" s="24"/>
      <c r="FB53" s="24"/>
      <c r="FC53" s="24"/>
      <c r="FD53" s="24"/>
      <c r="FE53" s="24"/>
      <c r="FF53" s="24"/>
      <c r="FG53" s="24"/>
      <c r="FH53" s="24"/>
      <c r="FI53" s="24"/>
      <c r="FJ53" s="24"/>
      <c r="FK53" s="24"/>
      <c r="FL53" s="24"/>
      <c r="FM53" s="24"/>
      <c r="FN53" s="24"/>
      <c r="FO53" s="24"/>
      <c r="FP53" s="24"/>
      <c r="FQ53" s="24"/>
      <c r="FR53" s="24"/>
      <c r="FS53" s="24"/>
      <c r="FT53" s="24"/>
      <c r="FU53" s="24"/>
      <c r="FV53" s="24"/>
      <c r="FW53" s="24"/>
      <c r="FX53" s="24"/>
      <c r="FY53" s="24"/>
      <c r="FZ53" s="24"/>
      <c r="GA53" s="24"/>
      <c r="GB53" s="24"/>
      <c r="GC53" s="24"/>
      <c r="GD53" s="24"/>
      <c r="GE53" s="24"/>
      <c r="GF53" s="24"/>
      <c r="GG53" s="24"/>
      <c r="GH53" s="24"/>
      <c r="GI53" s="24"/>
      <c r="GJ53" s="24"/>
      <c r="GK53" s="24"/>
      <c r="GL53" s="24"/>
      <c r="GM53" s="24"/>
      <c r="GN53" s="24"/>
      <c r="GO53" s="24"/>
      <c r="GP53" s="24"/>
      <c r="GQ53" s="24"/>
      <c r="GR53" s="24"/>
      <c r="GS53" s="24"/>
      <c r="GT53" s="24"/>
      <c r="GU53" s="24"/>
      <c r="GV53" s="24"/>
      <c r="GW53" s="24"/>
      <c r="GX53" s="24"/>
      <c r="GY53" s="24"/>
      <c r="GZ53" s="24"/>
      <c r="HA53" s="24"/>
      <c r="HB53" s="24"/>
      <c r="HC53" s="24"/>
      <c r="HD53" s="24"/>
      <c r="HE53" s="24"/>
      <c r="HF53" s="24"/>
      <c r="HG53" s="24"/>
      <c r="HH53" s="24"/>
      <c r="HI53" s="24"/>
      <c r="HJ53" s="24"/>
      <c r="HK53" s="24"/>
      <c r="HL53" s="24"/>
      <c r="HM53" s="24"/>
      <c r="HN53" s="24"/>
      <c r="HO53" s="24"/>
      <c r="HP53" s="24"/>
      <c r="HQ53" s="24"/>
      <c r="HR53" s="24"/>
      <c r="HS53" s="24"/>
      <c r="HT53" s="24"/>
      <c r="HU53" s="24"/>
      <c r="HV53" s="24"/>
      <c r="HW53" s="24"/>
      <c r="HX53" s="24"/>
      <c r="HY53" s="24"/>
      <c r="HZ53" s="24"/>
      <c r="IA53" s="24"/>
      <c r="IB53" s="24"/>
      <c r="IC53" s="24"/>
      <c r="ID53" s="24"/>
      <c r="IE53" s="24"/>
      <c r="IF53" s="24"/>
      <c r="IG53" s="24"/>
      <c r="IH53" s="24"/>
      <c r="II53" s="24"/>
      <c r="IJ53" s="24"/>
      <c r="IK53" s="24"/>
      <c r="IL53" s="24"/>
      <c r="IM53" s="24"/>
      <c r="IN53" s="24"/>
      <c r="IO53" s="24"/>
      <c r="IP53" s="24"/>
      <c r="IQ53" s="24"/>
      <c r="IR53" s="24"/>
      <c r="IS53" s="24"/>
      <c r="IT53" s="24"/>
      <c r="IU53" s="24"/>
      <c r="IV53" s="24"/>
    </row>
    <row r="72" spans="6:9" ht="12.75" customHeight="1">
      <c r="F72" s="190"/>
      <c r="G72" s="2"/>
      <c r="H72" s="2"/>
      <c r="I72" s="2"/>
    </row>
    <row r="73" spans="6:9">
      <c r="F73" s="2"/>
      <c r="G73" s="2"/>
      <c r="H73" s="2"/>
      <c r="I73" s="2"/>
    </row>
    <row r="74" spans="6:9">
      <c r="F74" s="2"/>
      <c r="G74" s="2"/>
      <c r="H74" s="2"/>
      <c r="I74" s="2"/>
    </row>
  </sheetData>
  <mergeCells count="78">
    <mergeCell ref="A1:I3"/>
    <mergeCell ref="A4:I7"/>
    <mergeCell ref="A11:G13"/>
    <mergeCell ref="H11:I13"/>
    <mergeCell ref="A8:I8"/>
    <mergeCell ref="H15:I17"/>
    <mergeCell ref="H19:I21"/>
    <mergeCell ref="A19:G21"/>
    <mergeCell ref="A23:G25"/>
    <mergeCell ref="H23:I25"/>
    <mergeCell ref="A15:G17"/>
    <mergeCell ref="H41:I43"/>
    <mergeCell ref="A41:G43"/>
    <mergeCell ref="H27:I29"/>
    <mergeCell ref="A27:G29"/>
    <mergeCell ref="H31:I33"/>
    <mergeCell ref="A31:G33"/>
    <mergeCell ref="A37:G39"/>
    <mergeCell ref="H37:I39"/>
    <mergeCell ref="A50:G52"/>
    <mergeCell ref="H50:I52"/>
    <mergeCell ref="J50:P52"/>
    <mergeCell ref="A45:G47"/>
    <mergeCell ref="H45:I47"/>
    <mergeCell ref="Q50:R52"/>
    <mergeCell ref="S50:Y52"/>
    <mergeCell ref="Z50:AA52"/>
    <mergeCell ref="AB50:AH52"/>
    <mergeCell ref="AI50:AJ52"/>
    <mergeCell ref="AK50:AQ52"/>
    <mergeCell ref="AR50:AS52"/>
    <mergeCell ref="AT50:AZ52"/>
    <mergeCell ref="BA50:BB52"/>
    <mergeCell ref="BC50:BI52"/>
    <mergeCell ref="BJ50:BK52"/>
    <mergeCell ref="BL50:BR52"/>
    <mergeCell ref="BS50:BT52"/>
    <mergeCell ref="BU50:CA52"/>
    <mergeCell ref="CB50:CC52"/>
    <mergeCell ref="CD50:CJ52"/>
    <mergeCell ref="CK50:CL52"/>
    <mergeCell ref="CM50:CS52"/>
    <mergeCell ref="CT50:CU52"/>
    <mergeCell ref="CV50:DB52"/>
    <mergeCell ref="DC50:DD52"/>
    <mergeCell ref="DE50:DK52"/>
    <mergeCell ref="DL50:DM52"/>
    <mergeCell ref="DN50:DT52"/>
    <mergeCell ref="DU50:DV52"/>
    <mergeCell ref="DW50:EC52"/>
    <mergeCell ref="ED50:EE52"/>
    <mergeCell ref="EF50:EL52"/>
    <mergeCell ref="EM50:EN52"/>
    <mergeCell ref="EO50:EU52"/>
    <mergeCell ref="EV50:EW52"/>
    <mergeCell ref="EX50:FD52"/>
    <mergeCell ref="FE50:FF52"/>
    <mergeCell ref="FG50:FM52"/>
    <mergeCell ref="FN50:FO52"/>
    <mergeCell ref="FP50:FV52"/>
    <mergeCell ref="FW50:FX52"/>
    <mergeCell ref="FY50:GE52"/>
    <mergeCell ref="GF50:GG52"/>
    <mergeCell ref="GH50:GN52"/>
    <mergeCell ref="GO50:GP52"/>
    <mergeCell ref="GQ50:GW52"/>
    <mergeCell ref="GX50:GY52"/>
    <mergeCell ref="GZ50:HF52"/>
    <mergeCell ref="HG50:HH52"/>
    <mergeCell ref="HI50:HO52"/>
    <mergeCell ref="HP50:HQ52"/>
    <mergeCell ref="HR50:HX52"/>
    <mergeCell ref="HY50:HZ52"/>
    <mergeCell ref="IA50:IG52"/>
    <mergeCell ref="IH50:II52"/>
    <mergeCell ref="IJ50:IP52"/>
    <mergeCell ref="IQ50:IR52"/>
    <mergeCell ref="IS50:IV52"/>
  </mergeCells>
  <phoneticPr fontId="3" type="noConversion"/>
  <hyperlinks>
    <hyperlink ref="I11:I13" location="Symbols!A1" display="symbols"/>
    <hyperlink ref="I19:I21" location="'S1 Mob (sources)'!A1" display="sources"/>
    <hyperlink ref="I23:I25" location="'S2 El (sources)'!A1" display="sources"/>
    <hyperlink ref="I27:I29" location="'S3 Travel (sources)'!A1" display="sources"/>
    <hyperlink ref="I31:I33" location="'S3 LF CH4 (sources)'!A1" display="sources"/>
    <hyperlink ref="I37:I39" location="'Offsets (sources)'!A1" display="sources"/>
    <hyperlink ref="I41:I43" location="'EmpCom (sources)'!A1" display="sources"/>
    <hyperlink ref="I50:I52" location="'EmpCom (sources)'!A1" display="sources"/>
    <hyperlink ref="R50:R52" location="'EmpCom (sources)'!A1" display="sources"/>
    <hyperlink ref="AA50:AA52" location="'EmpCom (sources)'!A1" display="sources"/>
    <hyperlink ref="AJ50:AJ52" location="'EmpCom (sources)'!A1" display="sources"/>
    <hyperlink ref="AS50:AS52" location="'EmpCom (sources)'!A1" display="sources"/>
    <hyperlink ref="BB50:BB52" location="'EmpCom (sources)'!A1" display="sources"/>
    <hyperlink ref="BK50:BK52" location="'EmpCom (sources)'!A1" display="sources"/>
    <hyperlink ref="BT50:BT52" location="'EmpCom (sources)'!A1" display="sources"/>
    <hyperlink ref="CC50:CC52" location="'EmpCom (sources)'!A1" display="sources"/>
    <hyperlink ref="CL50:CL52" location="'EmpCom (sources)'!A1" display="sources"/>
    <hyperlink ref="CU50:CU52" location="'EmpCom (sources)'!A1" display="sources"/>
    <hyperlink ref="DD50:DD52" location="'EmpCom (sources)'!A1" display="sources"/>
    <hyperlink ref="DM50:DM52" location="'EmpCom (sources)'!A1" display="sources"/>
    <hyperlink ref="DV50:DV52" location="'EmpCom (sources)'!A1" display="sources"/>
    <hyperlink ref="EE50:EE52" location="'EmpCom (sources)'!A1" display="sources"/>
    <hyperlink ref="EN50:EN52" location="'EmpCom (sources)'!A1" display="sources"/>
    <hyperlink ref="EW50:EW52" location="'EmpCom (sources)'!A1" display="sources"/>
    <hyperlink ref="FF50:FF52" location="'EmpCom (sources)'!A1" display="sources"/>
    <hyperlink ref="FO50:FO52" location="'EmpCom (sources)'!A1" display="sources"/>
    <hyperlink ref="FX50:FX52" location="'EmpCom (sources)'!A1" display="sources"/>
    <hyperlink ref="GG50:GG52" location="'EmpCom (sources)'!A1" display="sources"/>
    <hyperlink ref="GP50:GP52" location="'EmpCom (sources)'!A1" display="sources"/>
    <hyperlink ref="GY50:GY52" location="'EmpCom (sources)'!A1" display="sources"/>
    <hyperlink ref="HH50:HH52" location="'EmpCom (sources)'!A1" display="sources"/>
    <hyperlink ref="HQ50:HQ52" location="'EmpCom (sources)'!A1" display="sources"/>
    <hyperlink ref="HZ50:HZ52" location="'EmpCom (sources)'!A1" display="sources"/>
    <hyperlink ref="II50:II52" location="'EmpCom (sources)'!A1" display="sources"/>
    <hyperlink ref="IR50:IR52" location="'EmpCom (sources)'!A1" display="sources"/>
    <hyperlink ref="IV50:IV52" location="'EmpCom (sources)'!A1" display="sources"/>
    <hyperlink ref="H11:I13" location="'Symbols-Glossary'!A1" display="symbols"/>
    <hyperlink ref="A11:G13" location="Summary!A1" display="Summary data"/>
    <hyperlink ref="A15:G17" location="'Scope1A Stationary'!A1" display="Scope 1, Part A: Direct Emissions from Stationary Combustion"/>
    <hyperlink ref="H15:I17" location="'Scope1A Stationary sources'!A1" display="sources"/>
    <hyperlink ref="C14" location="'Summary Scope 1'!A1" display="Summary Scope 1"/>
    <hyperlink ref="D14" location="'Summary Scope 2'!A1" display="Summary Scope 2"/>
    <hyperlink ref="E14" location="'Summary Scope 3'!A1" display="Summary Scope 3"/>
    <hyperlink ref="A19:G21" location="'Scope1B  Mobile'!A1" display="Scope 1, Part B: Indirect Emissions from Mobile Combustion"/>
    <hyperlink ref="H19:I21" location="'Scope1B Mobile sources'!A1" display="sources"/>
    <hyperlink ref="A23:G25" location="'Scope2 Electricity'!A1" display="Scope 2: Indirect Emissions from Electricity Purchases "/>
    <hyperlink ref="H23:I25" location="'Scope2 Electric sources'!A1" display="sources"/>
    <hyperlink ref="A27:G29" location="'Scope3 Travel'!A1" display="Scope 3, Part A: Indirect Emissions from Outsourced Travel"/>
    <hyperlink ref="H27:I29" location="'Scope3 Travel sources'!A1" display="sources"/>
    <hyperlink ref="H31:I33" location="'Scope3 Landfill Meth sources'!A1" display="sources"/>
    <hyperlink ref="A37:G39" location="Offsets!A1" display="Direct Sequestrations, Renewable Energy Credits, and Offsets"/>
    <hyperlink ref="H37:I39" location="'Offsets (sources)'!A1" display="sources"/>
    <hyperlink ref="A41:G43" location="EmployeeCommute!A1" display="Indirect Emissions from Regular Commuting"/>
    <hyperlink ref="H41:I43" location="'EmployeeCommute sources'!A1" display="sources"/>
    <hyperlink ref="A50:G52" location="'Normalization Factors'!A1" display="Normalization Factors and Results"/>
    <hyperlink ref="H50:I52" location="'Normalization sources'!A1" display="sources"/>
    <hyperlink ref="D35" location="'Renewable Energy'!A1" display="Renewable Energy"/>
    <hyperlink ref="H35" location="'Renewable Energy Sources'!A1" display="sources"/>
    <hyperlink ref="A15" location="'Scope1A Stationary'!A1" display="Scope 1, Part A: Direct Emissions from Stationary Combustion"/>
    <hyperlink ref="B15" location="'Scope1A Stationary'!A1" display="'Scope1A Stationary'!A1"/>
    <hyperlink ref="C15" location="'Scope1A Stationary'!A1" display="'Scope1A Stationary'!A1"/>
    <hyperlink ref="D15" location="'Scope1A Stationary'!A1" display="'Scope1A Stationary'!A1"/>
    <hyperlink ref="E15" location="'Scope1A Stationary'!A1" display="'Scope1A Stationary'!A1"/>
    <hyperlink ref="F15" location="'Scope1A Stationary'!A1" display="'Scope1A Stationary'!A1"/>
    <hyperlink ref="G15" location="'Scope1A Stationary'!A1" display="'Scope1A Stationary'!A1"/>
    <hyperlink ref="A16" location="'Scope1A Stationary'!A1" display="'Scope1A Stationary'!A1"/>
    <hyperlink ref="B16" location="'Scope1A Stationary'!A1" display="'Scope1A Stationary'!A1"/>
    <hyperlink ref="C16" location="'Scope1A Stationary'!A1" display="'Scope1A Stationary'!A1"/>
    <hyperlink ref="D16" location="'Scope1A Stationary'!A1" display="'Scope1A Stationary'!A1"/>
    <hyperlink ref="E16" location="'Scope1A Stationary'!A1" display="'Scope1A Stationary'!A1"/>
    <hyperlink ref="F16" location="'Scope1A Stationary'!A1" display="'Scope1A Stationary'!A1"/>
    <hyperlink ref="G16" location="'Scope1A Stationary'!A1" display="'Scope1A Stationary'!A1"/>
    <hyperlink ref="A17" location="'Scope1A Stationary'!A1" display="'Scope1A Stationary'!A1"/>
    <hyperlink ref="B17" location="'Scope1A Stationary'!A1" display="'Scope1A Stationary'!A1"/>
    <hyperlink ref="C17" location="'Scope1A Stationary'!A1" display="'Scope1A Stationary'!A1"/>
    <hyperlink ref="D17" location="'Scope1A Stationary'!A1" display="'Scope1A Stationary'!A1"/>
    <hyperlink ref="E17" location="'Scope1A Stationary'!A1" display="'Scope1A Stationary'!A1"/>
    <hyperlink ref="F17" location="'Scope1A Stationary'!A1" display="'Scope1A Stationary'!A1"/>
    <hyperlink ref="G17" location="'Scope1A Stationary'!A1" display="'Scope1A Stationary'!A1"/>
    <hyperlink ref="H15" location="'Scope1A Stationary sources'!A1" display="sources"/>
    <hyperlink ref="I15" location="'Scope1A Stationary sources'!A1" display="'Scope1A Stationary sources'!A1"/>
    <hyperlink ref="H16" location="'Scope1A Stationary sources'!A1" display="'Scope1A Stationary sources'!A1"/>
    <hyperlink ref="I16" location="'Scope1A Stationary sources'!A1" display="'Scope1A Stationary sources'!A1"/>
    <hyperlink ref="H17" location="'Scope1A Stationary sources'!A1" display="'Scope1A Stationary sources'!A1"/>
    <hyperlink ref="I17" location="'Scope1A Stationary sources'!A1" display="'Scope1A Stationary sources'!A1"/>
    <hyperlink ref="A19" location="'Scope1B  Mobile'!A1" display="Scope 1, Part B: Indirect Emissions from Mobile Combustion"/>
    <hyperlink ref="B19" location="'Scope1B  Mobile'!A1" display="'Scope1B  Mobile'!A1"/>
    <hyperlink ref="C19" location="'Scope1B  Mobile'!A1" display="'Scope1B  Mobile'!A1"/>
    <hyperlink ref="D19" location="'Scope1B  Mobile'!A1" display="'Scope1B  Mobile'!A1"/>
    <hyperlink ref="E19" location="'Scope1B  Mobile'!A1" display="'Scope1B  Mobile'!A1"/>
    <hyperlink ref="F19" location="'Scope1B  Mobile'!A1" display="'Scope1B  Mobile'!A1"/>
    <hyperlink ref="G19" location="'Scope1B  Mobile'!A1" display="'Scope1B  Mobile'!A1"/>
    <hyperlink ref="A20" location="'Scope1B  Mobile'!A1" display="'Scope1B  Mobile'!A1"/>
    <hyperlink ref="B20" location="'Scope1B  Mobile'!A1" display="'Scope1B  Mobile'!A1"/>
    <hyperlink ref="C20" location="'Scope1B  Mobile'!A1" display="'Scope1B  Mobile'!A1"/>
    <hyperlink ref="D20" location="'Scope1B  Mobile'!A1" display="'Scope1B  Mobile'!A1"/>
    <hyperlink ref="E20" location="'Scope1B  Mobile'!A1" display="'Scope1B  Mobile'!A1"/>
    <hyperlink ref="F20" location="'Scope1B  Mobile'!A1" display="'Scope1B  Mobile'!A1"/>
    <hyperlink ref="G20" location="'Scope1B  Mobile'!A1" display="'Scope1B  Mobile'!A1"/>
    <hyperlink ref="A21" location="'Scope1B  Mobile'!A1" display="'Scope1B  Mobile'!A1"/>
    <hyperlink ref="B21" location="'Scope1B  Mobile'!A1" display="'Scope1B  Mobile'!A1"/>
    <hyperlink ref="C21" location="'Scope1B  Mobile'!A1" display="'Scope1B  Mobile'!A1"/>
    <hyperlink ref="D21" location="'Scope1B  Mobile'!A1" display="'Scope1B  Mobile'!A1"/>
    <hyperlink ref="E21" location="'Scope1B  Mobile'!A1" display="'Scope1B  Mobile'!A1"/>
    <hyperlink ref="F21" location="'Scope1B  Mobile'!A1" display="'Scope1B  Mobile'!A1"/>
    <hyperlink ref="G21" location="'Scope1B  Mobile'!A1" display="'Scope1B  Mobile'!A1"/>
    <hyperlink ref="H19" location="'Scope1B Mobile sources'!A1" display="sources"/>
    <hyperlink ref="I19" location="'Scope1B Mobile sources'!A1" display="'Scope1B Mobile sources'!A1"/>
    <hyperlink ref="H20" location="'Scope1B Mobile sources'!A1" display="'Scope1B Mobile sources'!A1"/>
    <hyperlink ref="I20" location="'Scope1B Mobile sources'!A1" display="'Scope1B Mobile sources'!A1"/>
    <hyperlink ref="H21" location="'Scope1B Mobile sources'!A1" display="'Scope1B Mobile sources'!A1"/>
    <hyperlink ref="I21" location="'Scope1B Mobile sources'!A1" display="'Scope1B Mobile sources'!A1"/>
    <hyperlink ref="A23" location="'Scope2 Electricity'!A1" display="Scope 2: Indirect Emissions from Electricity Purchases "/>
    <hyperlink ref="B23" location="'Scope2 Electricity'!A1" display="'Scope2 Electricity'!A1"/>
    <hyperlink ref="C23" location="'Scope2 Electricity'!A1" display="'Scope2 Electricity'!A1"/>
    <hyperlink ref="D23" location="'Scope2 Electricity'!A1" display="'Scope2 Electricity'!A1"/>
    <hyperlink ref="E23" location="'Scope2 Electricity'!A1" display="'Scope2 Electricity'!A1"/>
    <hyperlink ref="F23" location="'Scope2 Electricity'!A1" display="'Scope2 Electricity'!A1"/>
    <hyperlink ref="G23" location="'Scope2 Electricity'!A1" display="'Scope2 Electricity'!A1"/>
    <hyperlink ref="A24" location="'Scope2 Electricity'!A1" display="'Scope2 Electricity'!A1"/>
    <hyperlink ref="B24" location="'Scope2 Electricity'!A1" display="'Scope2 Electricity'!A1"/>
    <hyperlink ref="C24" location="'Scope2 Electricity'!A1" display="'Scope2 Electricity'!A1"/>
    <hyperlink ref="D24" location="'Scope2 Electricity'!A1" display="'Scope2 Electricity'!A1"/>
    <hyperlink ref="E24" location="'Scope2 Electricity'!A1" display="'Scope2 Electricity'!A1"/>
    <hyperlink ref="F24" location="'Scope2 Electricity'!A1" display="'Scope2 Electricity'!A1"/>
    <hyperlink ref="G24" location="'Scope2 Electricity'!A1" display="'Scope2 Electricity'!A1"/>
    <hyperlink ref="A25" location="'Scope2 Electricity'!A1" display="'Scope2 Electricity'!A1"/>
    <hyperlink ref="B25" location="'Scope2 Electricity'!A1" display="'Scope2 Electricity'!A1"/>
    <hyperlink ref="C25" location="'Scope2 Electricity'!A1" display="'Scope2 Electricity'!A1"/>
    <hyperlink ref="D25" location="'Scope2 Electricity'!A1" display="'Scope2 Electricity'!A1"/>
    <hyperlink ref="E25" location="'Scope2 Electricity'!A1" display="'Scope2 Electricity'!A1"/>
    <hyperlink ref="F25" location="'Scope2 Electricity'!A1" display="'Scope2 Electricity'!A1"/>
    <hyperlink ref="G25" location="'Scope2 Electricity'!A1" display="'Scope2 Electricity'!A1"/>
    <hyperlink ref="H23" location="'Scope2 Electric sources'!A1" display="sources"/>
    <hyperlink ref="I23" location="'Scope2 Electric sources'!A1" display="'Scope2 Electric sources'!A1"/>
    <hyperlink ref="H24" location="'Scope2 Electric sources'!A1" display="'Scope2 Electric sources'!A1"/>
    <hyperlink ref="I24" location="'Scope2 Electric sources'!A1" display="'Scope2 Electric sources'!A1"/>
    <hyperlink ref="H25" location="'Scope2 Electric sources'!A1" display="'Scope2 Electric sources'!A1"/>
    <hyperlink ref="I25" location="'Scope2 Electric sources'!A1" display="'Scope2 Electric sources'!A1"/>
    <hyperlink ref="A27" location="'Scope3 Travel'!A1" display="Scope 3, Part A: Indirect Emissions from Outsourced Travel"/>
    <hyperlink ref="B27" location="'Scope3 Travel'!A1" display="'Scope3 Travel'!A1"/>
    <hyperlink ref="C27" location="'Scope3 Travel'!A1" display="'Scope3 Travel'!A1"/>
    <hyperlink ref="D27" location="'Scope3 Travel'!A1" display="'Scope3 Travel'!A1"/>
    <hyperlink ref="E27" location="'Scope3 Travel'!A1" display="'Scope3 Travel'!A1"/>
    <hyperlink ref="F27" location="'Scope3 Travel'!A1" display="'Scope3 Travel'!A1"/>
    <hyperlink ref="G27" location="'Scope3 Travel'!A1" display="'Scope3 Travel'!A1"/>
    <hyperlink ref="A28" location="'Scope3 Travel'!A1" display="'Scope3 Travel'!A1"/>
    <hyperlink ref="B28" location="'Scope3 Travel'!A1" display="'Scope3 Travel'!A1"/>
    <hyperlink ref="C28" location="'Scope3 Travel'!A1" display="'Scope3 Travel'!A1"/>
    <hyperlink ref="D28" location="'Scope3 Travel'!A1" display="'Scope3 Travel'!A1"/>
    <hyperlink ref="E28" location="'Scope3 Travel'!A1" display="'Scope3 Travel'!A1"/>
    <hyperlink ref="F28" location="'Scope3 Travel'!A1" display="'Scope3 Travel'!A1"/>
    <hyperlink ref="G28" location="'Scope3 Travel'!A1" display="'Scope3 Travel'!A1"/>
    <hyperlink ref="A29" location="'Scope3 Travel'!A1" display="'Scope3 Travel'!A1"/>
    <hyperlink ref="B29" location="'Scope3 Travel'!A1" display="'Scope3 Travel'!A1"/>
    <hyperlink ref="C29" location="'Scope3 Travel'!A1" display="'Scope3 Travel'!A1"/>
    <hyperlink ref="D29" location="'Scope3 Travel'!A1" display="'Scope3 Travel'!A1"/>
    <hyperlink ref="E29" location="'Scope3 Travel'!A1" display="'Scope3 Travel'!A1"/>
    <hyperlink ref="F29" location="'Scope3 Travel'!A1" display="'Scope3 Travel'!A1"/>
    <hyperlink ref="G29" location="'Scope3 Travel'!A1" display="'Scope3 Travel'!A1"/>
    <hyperlink ref="H27" location="'Scope3 Travel sources'!A1" display="sources"/>
    <hyperlink ref="I27" location="'Scope3 Travel sources'!A1" display="'Scope3 Travel sources'!A1"/>
    <hyperlink ref="H28" location="'Scope3 Travel sources'!A1" display="'Scope3 Travel sources'!A1"/>
    <hyperlink ref="I28" location="'Scope3 Travel sources'!A1" display="'Scope3 Travel sources'!A1"/>
    <hyperlink ref="H29" location="'Scope3 Travel sources'!A1" display="'Scope3 Travel sources'!A1"/>
    <hyperlink ref="I29" location="'Scope3 Travel sources'!A1" display="'Scope3 Travel sources'!A1"/>
    <hyperlink ref="G33" location="'Scope3 Landfill Methane'!A1" display="'Scope3 Landfill Methane'!A1"/>
    <hyperlink ref="F33" location="'Scope3 Landfill Methane'!A1" display="'Scope3 Landfill Methane'!A1"/>
    <hyperlink ref="E33" location="'Scope3 Landfill Methane'!A1" display="'Scope3 Landfill Methane'!A1"/>
    <hyperlink ref="D33" location="'Scope3 Landfill Methane'!A1" display="'Scope3 Landfill Methane'!A1"/>
    <hyperlink ref="C33" location="'Scope3 Landfill Methane'!A1" display="'Scope3 Landfill Methane'!A1"/>
    <hyperlink ref="B33" location="'Scope3 Landfill Methane'!A1" display="'Scope3 Landfill Methane'!A1"/>
    <hyperlink ref="A33" location="'Scope3 Landfill Methane'!A1" display="'Scope3 Landfill Methane'!A1"/>
    <hyperlink ref="G32" location="'Scope3 Landfill Methane'!A1" display="'Scope3 Landfill Methane'!A1"/>
    <hyperlink ref="F32" location="'Scope3 Landfill Methane'!A1" display="'Scope3 Landfill Methane'!A1"/>
    <hyperlink ref="E32" location="'Scope3 Landfill Methane'!A1" display="'Scope3 Landfill Methane'!A1"/>
    <hyperlink ref="D32" location="'Scope3 Landfill Methane'!A1" display="'Scope3 Landfill Methane'!A1"/>
    <hyperlink ref="C32" location="'Scope3 Landfill Methane'!A1" display="'Scope3 Landfill Methane'!A1"/>
    <hyperlink ref="B32" location="'Scope3 Landfill Methane'!A1" display="'Scope3 Landfill Methane'!A1"/>
    <hyperlink ref="A32" location="'Scope3 Landfill Methane'!A1" display="'Scope3 Landfill Methane'!A1"/>
    <hyperlink ref="G31" location="'Scope3 Landfill Methane'!A1" display="'Scope3 Landfill Methane'!A1"/>
    <hyperlink ref="F31" location="'Scope3 Landfill Methane'!A1" display="'Scope3 Landfill Methane'!A1"/>
    <hyperlink ref="E31" location="'Scope3 Landfill Methane'!A1" display="'Scope3 Landfill Methane'!A1"/>
    <hyperlink ref="D31" location="'Scope3 Landfill Methane'!A1" display="'Scope3 Landfill Methane'!A1"/>
    <hyperlink ref="C31" location="'Scope3 Landfill Methane'!A1" display="'Scope3 Landfill Methane'!A1"/>
    <hyperlink ref="B31" location="'Scope3 Landfill Methane'!A1" display="'Scope3 Landfill Methane'!A1"/>
    <hyperlink ref="A31" location="'Scope3 Landfill Methane'!A1" display="Scope 3, Part B: Indirect Emissions from Waste Stream"/>
    <hyperlink ref="A31:G33" location="'Scope3 Landfill Methane'!A1" display="Scope 3, Part B: Indirect Emissions from Waste Stream"/>
    <hyperlink ref="H31" location="'Scope3 Landfill Meth sources'!A1" display="sources"/>
    <hyperlink ref="I31" location="'Scope3 Landfill Meth sources'!A1" display="'Scope3 Landfill Meth sources'!A1"/>
    <hyperlink ref="H32" location="'Scope3 Landfill Meth sources'!A1" display="'Scope3 Landfill Meth sources'!A1"/>
    <hyperlink ref="I32" location="'Scope3 Landfill Meth sources'!A1" display="'Scope3 Landfill Meth sources'!A1"/>
    <hyperlink ref="H33" location="'Scope3 Landfill Meth sources'!A1" display="'Scope3 Landfill Meth sources'!A1"/>
    <hyperlink ref="I33" location="'Scope3 Landfill Meth sources'!A1" display="'Scope3 Landfill Meth sources'!A1"/>
    <hyperlink ref="A37" location="Offsets!A1" display="Direct Sequestrations, Renewable Energy Credits, and Offsets"/>
    <hyperlink ref="B37" location="Offsets!A1" display="Offsets!A1"/>
    <hyperlink ref="C37" location="Offsets!A1" display="Offsets!A1"/>
    <hyperlink ref="D37" location="Offsets!A1" display="Offsets!A1"/>
    <hyperlink ref="E37" location="Offsets!A1" display="Offsets!A1"/>
    <hyperlink ref="F37" location="Offsets!A1" display="Offsets!A1"/>
    <hyperlink ref="G37" location="Offsets!A1" display="Offsets!A1"/>
    <hyperlink ref="A38" location="Offsets!A1" display="Offsets!A1"/>
    <hyperlink ref="B38" location="Offsets!A1" display="Offsets!A1"/>
    <hyperlink ref="C38" location="Offsets!A1" display="Offsets!A1"/>
    <hyperlink ref="D38" location="Offsets!A1" display="Offsets!A1"/>
    <hyperlink ref="E38" location="Offsets!A1" display="Offsets!A1"/>
    <hyperlink ref="F38" location="Offsets!A1" display="Offsets!A1"/>
    <hyperlink ref="G38" location="Offsets!A1" display="Offsets!A1"/>
    <hyperlink ref="A39" location="Offsets!A1" display="Offsets!A1"/>
    <hyperlink ref="B39" location="Offsets!A1" display="Offsets!A1"/>
    <hyperlink ref="C39" location="Offsets!A1" display="Offsets!A1"/>
    <hyperlink ref="D39" location="Offsets!A1" display="Offsets!A1"/>
    <hyperlink ref="E39" location="Offsets!A1" display="Offsets!A1"/>
    <hyperlink ref="F39" location="Offsets!A1" display="Offsets!A1"/>
    <hyperlink ref="G39" location="Offsets!A1" display="Offsets!A1"/>
    <hyperlink ref="H37" location="'Offsets (sources)'!A1" display="sources"/>
    <hyperlink ref="I37" location="'Offsets (sources)'!A1" display="'Offsets (sources)'!A1"/>
    <hyperlink ref="H38" location="'Offsets (sources)'!A1" display="'Offsets (sources)'!A1"/>
    <hyperlink ref="I38" location="'Offsets (sources)'!A1" display="'Offsets (sources)'!A1"/>
    <hyperlink ref="H39" location="'Offsets (sources)'!A1" display="'Offsets (sources)'!A1"/>
    <hyperlink ref="I39" location="'Offsets (sources)'!A1" display="'Offsets (sources)'!A1"/>
    <hyperlink ref="A41" location="EmployeeCommute!A1" display="Indirect Emissions from Regular Commuting"/>
    <hyperlink ref="B41" location="EmployeeCommute!A1" display="EmployeeCommute!A1"/>
    <hyperlink ref="C41" location="EmployeeCommute!A1" display="EmployeeCommute!A1"/>
    <hyperlink ref="D41" location="EmployeeCommute!A1" display="EmployeeCommute!A1"/>
    <hyperlink ref="E41" location="EmployeeCommute!A1" display="EmployeeCommute!A1"/>
    <hyperlink ref="F41" location="EmployeeCommute!A1" display="EmployeeCommute!A1"/>
    <hyperlink ref="G41" location="EmployeeCommute!A1" display="EmployeeCommute!A1"/>
    <hyperlink ref="A42" location="EmployeeCommute!A1" display="EmployeeCommute!A1"/>
    <hyperlink ref="B42" location="EmployeeCommute!A1" display="EmployeeCommute!A1"/>
    <hyperlink ref="C42" location="EmployeeCommute!A1" display="EmployeeCommute!A1"/>
    <hyperlink ref="D42" location="EmployeeCommute!A1" display="EmployeeCommute!A1"/>
    <hyperlink ref="E42" location="EmployeeCommute!A1" display="EmployeeCommute!A1"/>
    <hyperlink ref="F42" location="EmployeeCommute!A1" display="EmployeeCommute!A1"/>
    <hyperlink ref="G42" location="EmployeeCommute!A1" display="EmployeeCommute!A1"/>
    <hyperlink ref="A43" location="EmployeeCommute!A1" display="EmployeeCommute!A1"/>
    <hyperlink ref="B43" location="EmployeeCommute!A1" display="EmployeeCommute!A1"/>
    <hyperlink ref="C43" location="EmployeeCommute!A1" display="EmployeeCommute!A1"/>
    <hyperlink ref="D43" location="EmployeeCommute!A1" display="EmployeeCommute!A1"/>
    <hyperlink ref="E43" location="EmployeeCommute!A1" display="EmployeeCommute!A1"/>
    <hyperlink ref="F43" location="EmployeeCommute!A1" display="EmployeeCommute!A1"/>
    <hyperlink ref="G43" location="EmployeeCommute!A1" display="EmployeeCommute!A1"/>
    <hyperlink ref="H41" location="'EmployeeCommute%20sources'!A1" display="sources"/>
    <hyperlink ref="I41" location="'EmployeeCommute sources'!A1" display="'EmployeeCommute sources'!A1"/>
    <hyperlink ref="H42" location="'EmployeeCommute sources'!A1" display="'EmployeeCommute sources'!A1"/>
    <hyperlink ref="I42" location="'EmployeeCommute sources'!A1" display="'EmployeeCommute sources'!A1"/>
    <hyperlink ref="H43" location="'EmployeeCommute sources'!A1" display="'EmployeeCommute sources'!A1"/>
    <hyperlink ref="I43" location="'EmployeeCommute sources'!A1" display="'EmployeeCommute sources'!A1"/>
    <hyperlink ref="I45:I47" location="'EmpCom (sources)'!A1" display="sources"/>
    <hyperlink ref="H45:I47" location="'EmployeeCommute sources'!A1" display="sources"/>
    <hyperlink ref="H45" location="'EmployeeCommuteRevised sources'!A1" display="sources"/>
    <hyperlink ref="I45" location="'EmployeeCommuteRevised sources'!A1" display="'EmployeeCommuteRevised sources'!A1"/>
    <hyperlink ref="H46" location="'EmployeeCommuteRevised sources'!A1" display="'EmployeeCommuteRevised sources'!A1"/>
    <hyperlink ref="I46" location="'EmployeeCommuteRevised sources'!A1" display="'EmployeeCommuteRevised sources'!A1"/>
    <hyperlink ref="H47" location="'EmployeeCommuteRevised sources'!A1" display="'EmployeeCommuteRevised sources'!A1"/>
    <hyperlink ref="I47" location="'EmployeeCommuteRevised sources'!A1" display="'EmployeeCommuteRevised sources'!A1"/>
    <hyperlink ref="G47" location="EmployeeCommuteRevised!A1" display="Indirect Emissions from Regular Commuting, revised FY09/10 and later"/>
    <hyperlink ref="F47" location="EmployeeCommuteRevised!A1" display="Indirect Emissions from Regular Commuting, revised FY09/10 and later"/>
    <hyperlink ref="E47" location="EmployeeCommuteRevised!A1" display="Indirect Emissions from Regular Commuting, revised FY09/10 and later"/>
    <hyperlink ref="D47" location="EmployeeCommuteRevised!A1" display="Indirect Emissions from Regular Commuting, revised FY09/10 and later"/>
    <hyperlink ref="C47" location="EmployeeCommuteRevised!A1" display="Indirect Emissions from Regular Commuting, revised FY09/10 and later"/>
    <hyperlink ref="B47" location="EmployeeCommuteRevised!A1" display="Indirect Emissions from Regular Commuting, revised FY09/10 and later"/>
    <hyperlink ref="A47" location="EmployeeCommuteRevised!A1" display="Indirect Emissions from Regular Commuting, revised FY09/10 and later"/>
    <hyperlink ref="G46" location="EmployeeCommuteRevised!A1" display="Indirect Emissions from Regular Commuting, revised FY09/10 and later"/>
    <hyperlink ref="F46" location="EmployeeCommuteRevised!A1" display="Indirect Emissions from Regular Commuting, revised FY09/10 and later"/>
    <hyperlink ref="E46" location="EmployeeCommuteRevised!A1" display="Indirect Emissions from Regular Commuting, revised FY09/10 and later"/>
    <hyperlink ref="D46" location="EmployeeCommuteRevised!A1" display="Indirect Emissions from Regular Commuting, revised FY09/10 and later"/>
    <hyperlink ref="C46" location="EmployeeCommuteRevised!A1" display="Indirect Emissions from Regular Commuting, revised FY09/10 and later"/>
    <hyperlink ref="B46" location="EmployeeCommuteRevised!A1" display="Indirect Emissions from Regular Commuting, revised FY09/10 and later"/>
    <hyperlink ref="A46" location="EmployeeCommuteRevised!A1" display="Indirect Emissions from Regular Commuting, revised FY09/10 and later"/>
    <hyperlink ref="G45" location="EmployeeCommuteRevised!A1" display="Indirect Emissions from Regular Commuting, revised FY09/10 and later"/>
    <hyperlink ref="F45" location="EmployeeCommuteRevised!A1" display="Indirect Emissions from Regular Commuting, revised FY09/10 and later"/>
    <hyperlink ref="E45" location="EmployeeCommuteRevised!A1" display="Indirect Emissions from Regular Commuting, revised FY09/10 and later"/>
    <hyperlink ref="D45" location="EmployeeCommuteRevised!A1" display="Indirect Emissions from Regular Commuting, revised FY09/10 and later"/>
    <hyperlink ref="C45" location="EmployeeCommuteRevised!A1" display="Indirect Emissions from Regular Commuting, revised FY09/10 and later"/>
    <hyperlink ref="B45" location="EmployeeCommuteRevised!A1" display="Indirect Emissions from Regular Commuting, revised FY09/10 and later"/>
    <hyperlink ref="A45" location="EmployeeCommuteRevised!A1" display="Indirect Emissions from Regular Commuting, revised FY09/10 and later"/>
    <hyperlink ref="A45:G47" location="EmployeeCommute!A1" display="Indirect Emissions from Regular Commuting"/>
    <hyperlink ref="A50" location="'Normalization Factors'!A1" display="Normalization Factors and Results"/>
    <hyperlink ref="B50" location="'Normalization Factors'!A1" display="'Normalization Factors'!A1"/>
    <hyperlink ref="C50" location="'Normalization Factors'!A1" display="'Normalization Factors'!A1"/>
    <hyperlink ref="D50" location="'Normalization Factors'!A1" display="'Normalization Factors'!A1"/>
    <hyperlink ref="E50" location="'Normalization Factors'!A1" display="'Normalization Factors'!A1"/>
    <hyperlink ref="F50" location="'Normalization Factors'!A1" display="'Normalization Factors'!A1"/>
    <hyperlink ref="G50" location="'Normalization Factors'!A1" display="'Normalization Factors'!A1"/>
    <hyperlink ref="A51" location="'Normalization Factors'!A1" display="'Normalization Factors'!A1"/>
    <hyperlink ref="B51" location="'Normalization Factors'!A1" display="'Normalization Factors'!A1"/>
    <hyperlink ref="C51" location="'Normalization Factors'!A1" display="'Normalization Factors'!A1"/>
    <hyperlink ref="D51" location="'Normalization Factors'!A1" display="'Normalization Factors'!A1"/>
    <hyperlink ref="E51" location="'Normalization Factors'!A1" display="'Normalization Factors'!A1"/>
    <hyperlink ref="F51" location="'Normalization Factors'!A1" display="'Normalization Factors'!A1"/>
    <hyperlink ref="G51" location="'Normalization Factors'!A1" display="'Normalization Factors'!A1"/>
    <hyperlink ref="A52" location="'Normalization Factors'!A1" display="'Normalization Factors'!A1"/>
    <hyperlink ref="B52" location="'Normalization Factors'!A1" display="'Normalization Factors'!A1"/>
    <hyperlink ref="C52" location="'Normalization Factors'!A1" display="'Normalization Factors'!A1"/>
    <hyperlink ref="D52" location="'Normalization Factors'!A1" display="'Normalization Factors'!A1"/>
    <hyperlink ref="E52" location="'Normalization Factors'!A1" display="'Normalization Factors'!A1"/>
    <hyperlink ref="F52" location="'Normalization Factors'!A1" display="'Normalization Factors'!A1"/>
    <hyperlink ref="G52" location="'Normalization Factors'!A1" display="'Normalization Factors'!A1"/>
    <hyperlink ref="H50" location="'Normalization sources'!A1" display="sources"/>
    <hyperlink ref="I50" location="'Normalization sources'!A1" display="'Normalization sources'!A1"/>
    <hyperlink ref="H51" location="'Normalization sources'!A1" display="'Normalization sources'!A1"/>
    <hyperlink ref="I51" location="'Normalization sources'!A1" display="'Normalization sources'!A1"/>
    <hyperlink ref="H52" location="'Normalization sources'!A1" display="'Normalization sources'!A1"/>
    <hyperlink ref="I52" location="'Normalization sources'!A1" display="'Normalization sources'!A1"/>
  </hyperlinks>
  <pageMargins left="0.5" right="0.5" top="0.5" bottom="0.5" header="0.5" footer="0.5"/>
  <pageSetup orientation="portrait" horizontalDpi="4294967293" verticalDpi="4294967293"/>
  <headerFooter alignWithMargins="0"/>
  <cellWatches>
    <cellWatch r="K1"/>
  </cellWatche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63"/>
  </sheetPr>
  <dimension ref="A1:I51"/>
  <sheetViews>
    <sheetView workbookViewId="0">
      <selection activeCell="A40" sqref="A40:I40"/>
    </sheetView>
  </sheetViews>
  <sheetFormatPr baseColWidth="10" defaultColWidth="8.83203125" defaultRowHeight="13"/>
  <sheetData>
    <row r="1" spans="1:8" ht="3" customHeight="1"/>
    <row r="2" spans="1:8" ht="16">
      <c r="A2" s="827" t="s">
        <v>323</v>
      </c>
      <c r="B2" s="828"/>
      <c r="C2" s="828"/>
      <c r="D2" s="828"/>
      <c r="E2" s="828"/>
      <c r="F2" s="828"/>
      <c r="G2" s="828"/>
      <c r="H2" s="828"/>
    </row>
    <row r="3" spans="1:8" ht="12.75" customHeight="1">
      <c r="A3" s="825" t="s">
        <v>638</v>
      </c>
      <c r="B3" s="826" t="s">
        <v>510</v>
      </c>
      <c r="C3" s="826"/>
      <c r="D3" s="826"/>
      <c r="E3" s="826"/>
      <c r="F3" s="826"/>
      <c r="G3" s="826"/>
      <c r="H3" s="826"/>
    </row>
    <row r="4" spans="1:8">
      <c r="A4" s="825"/>
      <c r="B4" s="826"/>
      <c r="C4" s="826"/>
      <c r="D4" s="826"/>
      <c r="E4" s="826"/>
      <c r="F4" s="826"/>
      <c r="G4" s="826"/>
      <c r="H4" s="826"/>
    </row>
    <row r="5" spans="1:8">
      <c r="A5" s="825"/>
      <c r="B5" s="826"/>
      <c r="C5" s="826"/>
      <c r="D5" s="826"/>
      <c r="E5" s="826"/>
      <c r="F5" s="826"/>
      <c r="G5" s="826"/>
      <c r="H5" s="826"/>
    </row>
    <row r="6" spans="1:8">
      <c r="A6" s="825" t="s">
        <v>702</v>
      </c>
      <c r="B6" s="826" t="s">
        <v>337</v>
      </c>
      <c r="C6" s="826"/>
      <c r="D6" s="826"/>
      <c r="E6" s="826"/>
      <c r="F6" s="826"/>
      <c r="G6" s="826"/>
      <c r="H6" s="826"/>
    </row>
    <row r="7" spans="1:8">
      <c r="A7" s="825"/>
      <c r="B7" s="826"/>
      <c r="C7" s="826"/>
      <c r="D7" s="826"/>
      <c r="E7" s="826"/>
      <c r="F7" s="826"/>
      <c r="G7" s="826"/>
      <c r="H7" s="826"/>
    </row>
    <row r="8" spans="1:8">
      <c r="A8" s="825"/>
      <c r="B8" s="826"/>
      <c r="C8" s="826"/>
      <c r="D8" s="826"/>
      <c r="E8" s="826"/>
      <c r="F8" s="826"/>
      <c r="G8" s="826"/>
      <c r="H8" s="826"/>
    </row>
    <row r="9" spans="1:8" ht="12.75" customHeight="1">
      <c r="A9" s="825" t="s">
        <v>507</v>
      </c>
      <c r="B9" s="826" t="s">
        <v>272</v>
      </c>
      <c r="C9" s="826"/>
      <c r="D9" s="826"/>
      <c r="E9" s="826"/>
      <c r="F9" s="826"/>
      <c r="G9" s="826"/>
      <c r="H9" s="826"/>
    </row>
    <row r="10" spans="1:8">
      <c r="A10" s="825"/>
      <c r="B10" s="826"/>
      <c r="C10" s="826"/>
      <c r="D10" s="826"/>
      <c r="E10" s="826"/>
      <c r="F10" s="826"/>
      <c r="G10" s="826"/>
      <c r="H10" s="826"/>
    </row>
    <row r="11" spans="1:8">
      <c r="A11" s="825"/>
      <c r="B11" s="826"/>
      <c r="C11" s="826"/>
      <c r="D11" s="826"/>
      <c r="E11" s="826"/>
      <c r="F11" s="826"/>
      <c r="G11" s="826"/>
      <c r="H11" s="826"/>
    </row>
    <row r="12" spans="1:8">
      <c r="A12" s="825" t="s">
        <v>703</v>
      </c>
      <c r="B12" s="823" t="s">
        <v>514</v>
      </c>
      <c r="C12" s="824"/>
      <c r="D12" s="824"/>
      <c r="E12" s="824"/>
      <c r="F12" s="824"/>
      <c r="G12" s="824"/>
      <c r="H12" s="824"/>
    </row>
    <row r="13" spans="1:8">
      <c r="A13" s="825"/>
      <c r="B13" s="824"/>
      <c r="C13" s="824"/>
      <c r="D13" s="824"/>
      <c r="E13" s="824"/>
      <c r="F13" s="824"/>
      <c r="G13" s="824"/>
      <c r="H13" s="824"/>
    </row>
    <row r="14" spans="1:8">
      <c r="A14" s="825"/>
      <c r="B14" s="824"/>
      <c r="C14" s="824"/>
      <c r="D14" s="824"/>
      <c r="E14" s="824"/>
      <c r="F14" s="824"/>
      <c r="G14" s="824"/>
      <c r="H14" s="824"/>
    </row>
    <row r="15" spans="1:8" ht="12.75" customHeight="1">
      <c r="A15" s="825" t="s">
        <v>704</v>
      </c>
      <c r="B15" s="826" t="s">
        <v>404</v>
      </c>
      <c r="C15" s="826"/>
      <c r="D15" s="826"/>
      <c r="E15" s="826"/>
      <c r="F15" s="826"/>
      <c r="G15" s="826"/>
      <c r="H15" s="826"/>
    </row>
    <row r="16" spans="1:8">
      <c r="A16" s="825"/>
      <c r="B16" s="826"/>
      <c r="C16" s="826"/>
      <c r="D16" s="826"/>
      <c r="E16" s="826"/>
      <c r="F16" s="826"/>
      <c r="G16" s="826"/>
      <c r="H16" s="826"/>
    </row>
    <row r="17" spans="1:9" ht="6.75" customHeight="1">
      <c r="A17" s="825"/>
      <c r="B17" s="826"/>
      <c r="C17" s="826"/>
      <c r="D17" s="826"/>
      <c r="E17" s="826"/>
      <c r="F17" s="826"/>
      <c r="G17" s="826"/>
      <c r="H17" s="826"/>
    </row>
    <row r="18" spans="1:9" ht="12.75" customHeight="1">
      <c r="A18" s="825" t="s">
        <v>705</v>
      </c>
      <c r="B18" s="830" t="s">
        <v>447</v>
      </c>
      <c r="C18" s="830"/>
      <c r="D18" s="830"/>
      <c r="E18" s="830"/>
      <c r="F18" s="830"/>
      <c r="G18" s="830"/>
      <c r="H18" s="830"/>
    </row>
    <row r="19" spans="1:9">
      <c r="A19" s="825"/>
      <c r="B19" s="830"/>
      <c r="C19" s="830"/>
      <c r="D19" s="830"/>
      <c r="E19" s="830"/>
      <c r="F19" s="830"/>
      <c r="G19" s="830"/>
      <c r="H19" s="830"/>
    </row>
    <row r="20" spans="1:9" ht="6.75" customHeight="1">
      <c r="A20" s="825"/>
      <c r="B20" s="830"/>
      <c r="C20" s="830"/>
      <c r="D20" s="830"/>
      <c r="E20" s="830"/>
      <c r="F20" s="830"/>
      <c r="G20" s="830"/>
      <c r="H20" s="830"/>
    </row>
    <row r="21" spans="1:9">
      <c r="A21" s="825" t="s">
        <v>508</v>
      </c>
      <c r="B21" s="829" t="s">
        <v>275</v>
      </c>
      <c r="C21" s="829"/>
      <c r="D21" s="829"/>
      <c r="E21" s="829"/>
      <c r="F21" s="829"/>
      <c r="G21" s="829"/>
      <c r="H21" s="829"/>
    </row>
    <row r="22" spans="1:9">
      <c r="A22" s="825"/>
      <c r="B22" s="829"/>
      <c r="C22" s="829"/>
      <c r="D22" s="829"/>
      <c r="E22" s="829"/>
      <c r="F22" s="829"/>
      <c r="G22" s="829"/>
      <c r="H22" s="829"/>
    </row>
    <row r="23" spans="1:9" ht="9" customHeight="1">
      <c r="A23" s="825"/>
      <c r="B23" s="829"/>
      <c r="C23" s="829"/>
      <c r="D23" s="829"/>
      <c r="E23" s="829"/>
      <c r="F23" s="829"/>
      <c r="G23" s="829"/>
      <c r="H23" s="829"/>
    </row>
    <row r="24" spans="1:9">
      <c r="A24" s="825" t="s">
        <v>509</v>
      </c>
      <c r="B24" s="826" t="s">
        <v>161</v>
      </c>
      <c r="C24" s="826"/>
      <c r="D24" s="826"/>
      <c r="E24" s="826"/>
      <c r="F24" s="826"/>
      <c r="G24" s="826"/>
      <c r="H24" s="826"/>
    </row>
    <row r="25" spans="1:9">
      <c r="A25" s="825"/>
      <c r="B25" s="826"/>
      <c r="C25" s="826"/>
      <c r="D25" s="826"/>
      <c r="E25" s="826"/>
      <c r="F25" s="826"/>
      <c r="G25" s="826"/>
      <c r="H25" s="826"/>
    </row>
    <row r="26" spans="1:9">
      <c r="A26" s="825"/>
      <c r="B26" s="826"/>
      <c r="C26" s="826"/>
      <c r="D26" s="826"/>
      <c r="E26" s="826"/>
      <c r="F26" s="826"/>
      <c r="G26" s="826"/>
      <c r="H26" s="826"/>
    </row>
    <row r="27" spans="1:9" ht="8" customHeight="1"/>
    <row r="28" spans="1:9">
      <c r="A28" s="10" t="s">
        <v>769</v>
      </c>
    </row>
    <row r="29" spans="1:9" ht="77" customHeight="1">
      <c r="A29" s="832" t="s">
        <v>1031</v>
      </c>
      <c r="B29" s="833"/>
      <c r="C29" s="833"/>
      <c r="D29" s="833"/>
      <c r="E29" s="833"/>
      <c r="F29" s="833"/>
      <c r="G29" s="833"/>
      <c r="H29" s="833"/>
      <c r="I29" s="833"/>
    </row>
    <row r="30" spans="1:9" ht="6" customHeight="1">
      <c r="A30" s="12"/>
    </row>
    <row r="31" spans="1:9" ht="33.75" customHeight="1">
      <c r="A31" s="832" t="s">
        <v>745</v>
      </c>
      <c r="B31" s="833"/>
      <c r="C31" s="833"/>
      <c r="D31" s="833"/>
      <c r="E31" s="833"/>
      <c r="F31" s="833"/>
      <c r="G31" s="833"/>
      <c r="H31" s="833"/>
      <c r="I31" s="833"/>
    </row>
    <row r="32" spans="1:9" ht="6" customHeight="1">
      <c r="A32" s="12"/>
    </row>
    <row r="33" spans="1:9" ht="45.75" customHeight="1">
      <c r="A33" s="832" t="s">
        <v>852</v>
      </c>
      <c r="B33" s="833"/>
      <c r="C33" s="833"/>
      <c r="D33" s="833"/>
      <c r="E33" s="833"/>
      <c r="F33" s="833"/>
      <c r="G33" s="833"/>
      <c r="H33" s="833"/>
      <c r="I33" s="833"/>
    </row>
    <row r="34" spans="1:9" ht="6" customHeight="1">
      <c r="A34" s="12"/>
    </row>
    <row r="35" spans="1:9" ht="111" customHeight="1">
      <c r="A35" s="832" t="s">
        <v>850</v>
      </c>
      <c r="B35" s="833"/>
      <c r="C35" s="833"/>
      <c r="D35" s="833"/>
      <c r="E35" s="833"/>
      <c r="F35" s="833"/>
      <c r="G35" s="833"/>
      <c r="H35" s="833"/>
      <c r="I35" s="833"/>
    </row>
    <row r="36" spans="1:9" ht="18" customHeight="1">
      <c r="A36" s="832" t="s">
        <v>691</v>
      </c>
      <c r="B36" s="833"/>
      <c r="C36" s="833"/>
      <c r="D36" s="833"/>
      <c r="E36" s="833"/>
      <c r="F36" s="833"/>
      <c r="G36" s="833"/>
      <c r="H36" s="833"/>
      <c r="I36" s="833"/>
    </row>
    <row r="37" spans="1:9" ht="6" customHeight="1">
      <c r="A37" s="12"/>
    </row>
    <row r="38" spans="1:9" ht="18" customHeight="1">
      <c r="A38" s="832" t="s">
        <v>885</v>
      </c>
      <c r="B38" s="833"/>
      <c r="C38" s="833"/>
      <c r="D38" s="833"/>
      <c r="E38" s="833"/>
      <c r="F38" s="833"/>
      <c r="G38" s="833"/>
      <c r="H38" s="833"/>
      <c r="I38" s="833"/>
    </row>
    <row r="39" spans="1:9" ht="6.75" customHeight="1">
      <c r="A39" s="553"/>
      <c r="B39" s="554"/>
      <c r="C39" s="554"/>
      <c r="D39" s="554"/>
      <c r="E39" s="554"/>
      <c r="F39" s="554"/>
      <c r="G39" s="554"/>
      <c r="H39" s="554"/>
      <c r="I39" s="554"/>
    </row>
    <row r="40" spans="1:9" ht="60.75" customHeight="1">
      <c r="A40" s="832" t="s">
        <v>92</v>
      </c>
      <c r="B40" s="833"/>
      <c r="C40" s="833"/>
      <c r="D40" s="833"/>
      <c r="E40" s="833"/>
      <c r="F40" s="833"/>
      <c r="G40" s="833"/>
      <c r="H40" s="833"/>
      <c r="I40" s="833"/>
    </row>
    <row r="41" spans="1:9" ht="60" customHeight="1">
      <c r="A41" s="834" t="s">
        <v>768</v>
      </c>
      <c r="B41" s="833"/>
      <c r="C41" s="833"/>
      <c r="D41" s="833"/>
      <c r="E41" s="833"/>
      <c r="F41" s="833"/>
      <c r="G41" s="833"/>
      <c r="H41" s="833"/>
      <c r="I41" s="833"/>
    </row>
    <row r="44" spans="1:9" ht="16">
      <c r="A44" s="831" t="s">
        <v>844</v>
      </c>
      <c r="B44" s="831"/>
      <c r="C44" s="169"/>
      <c r="D44" s="170"/>
      <c r="E44" s="2"/>
      <c r="F44" s="2"/>
      <c r="G44" s="2"/>
      <c r="H44" s="2"/>
    </row>
    <row r="45" spans="1:9" ht="14">
      <c r="A45" s="26"/>
      <c r="B45" t="s">
        <v>909</v>
      </c>
      <c r="C45" s="169"/>
      <c r="D45" s="170"/>
      <c r="E45" s="2"/>
      <c r="F45" s="2"/>
      <c r="G45" s="2"/>
      <c r="H45" s="2"/>
    </row>
    <row r="46" spans="1:9" ht="14">
      <c r="B46" s="2" t="s">
        <v>690</v>
      </c>
      <c r="C46" s="169"/>
      <c r="D46" s="170"/>
      <c r="E46" s="2"/>
      <c r="F46" s="2"/>
      <c r="G46" s="2"/>
      <c r="H46" s="2"/>
    </row>
    <row r="47" spans="1:9" ht="14">
      <c r="A47" s="88"/>
      <c r="B47" s="101" t="s">
        <v>846</v>
      </c>
      <c r="C47" s="169"/>
      <c r="D47" s="170"/>
      <c r="E47" s="2"/>
      <c r="F47" s="2"/>
      <c r="G47" s="2"/>
      <c r="H47" s="2"/>
    </row>
    <row r="48" spans="1:9" ht="14">
      <c r="B48" s="101" t="s">
        <v>779</v>
      </c>
      <c r="C48" s="169"/>
      <c r="D48" s="170"/>
      <c r="E48" s="2"/>
      <c r="F48" s="2"/>
      <c r="G48" s="2"/>
      <c r="H48" s="2"/>
    </row>
    <row r="49" spans="1:8" ht="14">
      <c r="A49" s="191"/>
      <c r="B49" t="s">
        <v>660</v>
      </c>
      <c r="C49" s="169"/>
      <c r="D49" s="170"/>
      <c r="E49" s="2"/>
      <c r="F49" s="2"/>
      <c r="G49" s="2"/>
      <c r="H49" s="2"/>
    </row>
    <row r="50" spans="1:8" ht="14">
      <c r="A50" s="497"/>
      <c r="B50" s="101" t="s">
        <v>603</v>
      </c>
      <c r="C50" s="169"/>
      <c r="D50" s="170"/>
      <c r="E50" s="2"/>
      <c r="F50" s="2"/>
      <c r="G50" s="2"/>
      <c r="H50" s="2"/>
    </row>
    <row r="51" spans="1:8" ht="14">
      <c r="A51" s="152"/>
      <c r="B51" s="153" t="s">
        <v>576</v>
      </c>
      <c r="C51" s="169"/>
      <c r="D51" s="170"/>
      <c r="E51" s="2"/>
      <c r="F51" s="2"/>
      <c r="G51" s="2"/>
      <c r="H51" s="2"/>
    </row>
  </sheetData>
  <mergeCells count="26">
    <mergeCell ref="A44:B44"/>
    <mergeCell ref="A36:I36"/>
    <mergeCell ref="A38:I38"/>
    <mergeCell ref="A41:I41"/>
    <mergeCell ref="A29:I29"/>
    <mergeCell ref="A31:I31"/>
    <mergeCell ref="A33:I33"/>
    <mergeCell ref="A35:I35"/>
    <mergeCell ref="A40:I40"/>
    <mergeCell ref="A2:H2"/>
    <mergeCell ref="B21:H23"/>
    <mergeCell ref="A21:A23"/>
    <mergeCell ref="B24:H26"/>
    <mergeCell ref="A24:A26"/>
    <mergeCell ref="B15:H17"/>
    <mergeCell ref="A15:A17"/>
    <mergeCell ref="B18:H20"/>
    <mergeCell ref="A18:A20"/>
    <mergeCell ref="B3:H5"/>
    <mergeCell ref="B12:H14"/>
    <mergeCell ref="A12:A14"/>
    <mergeCell ref="A3:A5"/>
    <mergeCell ref="A9:A11"/>
    <mergeCell ref="B9:H11"/>
    <mergeCell ref="B6:H8"/>
    <mergeCell ref="A6:A8"/>
  </mergeCells>
  <phoneticPr fontId="3" type="noConversion"/>
  <hyperlinks>
    <hyperlink ref="A41" r:id="rId1" display="http://www.ipcc.ch/"/>
  </hyperlinks>
  <pageMargins left="0.5" right="0.5" top="0.5" bottom="0.5"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indexed="18"/>
  </sheetPr>
  <dimension ref="A1:U85"/>
  <sheetViews>
    <sheetView zoomScale="124" zoomScaleNormal="124" workbookViewId="0">
      <selection activeCell="B17" sqref="B17:N17"/>
    </sheetView>
  </sheetViews>
  <sheetFormatPr baseColWidth="10" defaultColWidth="8.83203125" defaultRowHeight="13"/>
  <cols>
    <col min="1" max="1" width="22.6640625" customWidth="1"/>
    <col min="2" max="3" width="10.5" customWidth="1"/>
    <col min="4" max="4" width="10.33203125" customWidth="1"/>
    <col min="5" max="5" width="10.5" customWidth="1"/>
    <col min="6" max="6" width="10.6640625" customWidth="1"/>
    <col min="7" max="7" width="10.5" customWidth="1"/>
    <col min="8" max="8" width="13" customWidth="1"/>
    <col min="9" max="9" width="12.6640625" customWidth="1"/>
    <col min="16" max="16" width="18.1640625" customWidth="1"/>
    <col min="17" max="17" width="9.6640625" customWidth="1"/>
    <col min="18" max="18" width="10.1640625" customWidth="1"/>
    <col min="19" max="19" width="9.6640625" customWidth="1"/>
    <col min="20" max="20" width="15.33203125" customWidth="1"/>
    <col min="21" max="21" width="14.5" customWidth="1"/>
  </cols>
  <sheetData>
    <row r="1" spans="1:16" ht="24" customHeight="1">
      <c r="A1" s="198" t="s">
        <v>446</v>
      </c>
      <c r="B1" s="198"/>
      <c r="C1" s="198"/>
      <c r="D1" s="198"/>
      <c r="E1" s="198"/>
      <c r="F1" s="198"/>
      <c r="G1" s="198"/>
      <c r="H1" s="198"/>
    </row>
    <row r="2" spans="1:16" ht="12" customHeight="1">
      <c r="A2" s="169"/>
      <c r="B2" s="169"/>
      <c r="C2" s="169"/>
      <c r="D2" s="170"/>
      <c r="E2" s="2"/>
      <c r="F2" s="2"/>
      <c r="G2" s="2"/>
      <c r="H2" s="2"/>
    </row>
    <row r="3" spans="1:16" ht="20" customHeight="1">
      <c r="A3" s="835" t="s">
        <v>966</v>
      </c>
      <c r="B3" s="835"/>
      <c r="C3" s="835"/>
      <c r="D3" s="170"/>
      <c r="E3" s="2"/>
      <c r="F3" s="2"/>
      <c r="G3" s="2"/>
      <c r="H3" s="2"/>
    </row>
    <row r="4" spans="1:16" ht="20" customHeight="1">
      <c r="A4" s="537"/>
      <c r="B4" s="6" t="s">
        <v>629</v>
      </c>
      <c r="C4" s="537"/>
      <c r="D4" s="170"/>
      <c r="E4" s="2"/>
      <c r="F4" s="2"/>
      <c r="G4" s="2"/>
      <c r="H4" s="2"/>
    </row>
    <row r="5" spans="1:16" ht="30.75" customHeight="1">
      <c r="A5" s="541" t="s">
        <v>140</v>
      </c>
      <c r="B5" s="594" t="s">
        <v>847</v>
      </c>
      <c r="C5" s="594" t="s">
        <v>848</v>
      </c>
      <c r="D5" s="594" t="s">
        <v>849</v>
      </c>
      <c r="E5" s="594" t="s">
        <v>892</v>
      </c>
      <c r="F5" s="594" t="s">
        <v>135</v>
      </c>
      <c r="G5" s="594" t="s">
        <v>998</v>
      </c>
      <c r="H5" s="594" t="s">
        <v>956</v>
      </c>
      <c r="I5" s="594" t="s">
        <v>1124</v>
      </c>
      <c r="J5" s="594" t="s">
        <v>1135</v>
      </c>
      <c r="K5" s="594" t="s">
        <v>1196</v>
      </c>
      <c r="L5" s="594" t="s">
        <v>1250</v>
      </c>
      <c r="M5" s="594" t="s">
        <v>1266</v>
      </c>
      <c r="N5" s="594" t="s">
        <v>1279</v>
      </c>
    </row>
    <row r="6" spans="1:16" ht="28">
      <c r="A6" s="540" t="s">
        <v>962</v>
      </c>
      <c r="B6" s="506">
        <f>'Normalization Factors'!H64</f>
        <v>7.2249620946175064</v>
      </c>
      <c r="C6" s="506">
        <f>'Normalization Factors'!I64</f>
        <v>7.3500626054208276</v>
      </c>
      <c r="D6" s="506">
        <f>'Normalization Factors'!J64</f>
        <v>6.6689406355264005</v>
      </c>
      <c r="E6" s="506">
        <f>'Normalization Factors'!K64</f>
        <v>4.2057614235994478</v>
      </c>
      <c r="F6" s="506">
        <f>'Normalization Factors'!L64</f>
        <v>3.7175201167984007</v>
      </c>
      <c r="G6" s="506">
        <f>'Normalization Factors'!M64</f>
        <v>3.6444122551654448</v>
      </c>
      <c r="H6" s="506">
        <f>'Normalization Factors'!N64</f>
        <v>2.5153832927763125</v>
      </c>
      <c r="I6" s="506">
        <f>'Normalization Factors'!O64</f>
        <v>2.6676990454115024</v>
      </c>
      <c r="J6" s="506">
        <f>'Normalization Factors'!P64</f>
        <v>2.6785959704460303</v>
      </c>
      <c r="K6" s="506">
        <f>'Normalization Factors'!Q64</f>
        <v>0</v>
      </c>
      <c r="L6" s="506">
        <f>'Normalization Factors'!R64</f>
        <v>0</v>
      </c>
      <c r="M6" s="506">
        <f>'Normalization Factors'!S64</f>
        <v>0</v>
      </c>
      <c r="N6" s="506">
        <f>'Normalization Factors'!T64</f>
        <v>0</v>
      </c>
    </row>
    <row r="7" spans="1:16" ht="28">
      <c r="A7" s="540" t="s">
        <v>139</v>
      </c>
      <c r="B7" s="510">
        <f>'Normalization Factors'!H91</f>
        <v>1.0826205473291432E-2</v>
      </c>
      <c r="C7" s="510">
        <f>'Normalization Factors'!I91</f>
        <v>1.1537351146967316E-2</v>
      </c>
      <c r="D7" s="510">
        <f>'Normalization Factors'!J91</f>
        <v>1.003043636960513E-2</v>
      </c>
      <c r="E7" s="510">
        <f>'Normalization Factors'!K91</f>
        <v>6.3735119676770766E-3</v>
      </c>
      <c r="F7" s="510">
        <f>'Normalization Factors'!L91</f>
        <v>5.5980285137591937E-3</v>
      </c>
      <c r="G7" s="510">
        <f>'Normalization Factors'!M91</f>
        <v>5.5316800552015176E-3</v>
      </c>
      <c r="H7" s="510">
        <f>'Normalization Factors'!N91</f>
        <v>3.8591066173288744E-3</v>
      </c>
      <c r="I7" s="510">
        <f>'Normalization Factors'!O91</f>
        <v>4.0761002474973308E-3</v>
      </c>
      <c r="J7" s="510">
        <f>'Normalization Factors'!P91</f>
        <v>4.0211128995951591E-3</v>
      </c>
      <c r="K7" s="510">
        <f>'Normalization Factors'!Q91</f>
        <v>0</v>
      </c>
      <c r="L7" s="510">
        <f>'Normalization Factors'!R91</f>
        <v>0</v>
      </c>
      <c r="M7" s="510">
        <f>'Normalization Factors'!S91</f>
        <v>0</v>
      </c>
      <c r="N7" s="510">
        <f>'Normalization Factors'!T91</f>
        <v>0</v>
      </c>
    </row>
    <row r="8" spans="1:16" ht="12.75" customHeight="1">
      <c r="A8" s="537"/>
      <c r="B8" s="537"/>
      <c r="C8" s="537"/>
      <c r="D8" s="170"/>
      <c r="E8" s="2"/>
      <c r="F8" s="2"/>
      <c r="G8" s="2"/>
      <c r="H8" s="2"/>
      <c r="I8" s="2"/>
      <c r="J8" s="2"/>
      <c r="K8" s="2"/>
      <c r="L8" s="2"/>
      <c r="M8" s="2"/>
      <c r="N8" s="2"/>
    </row>
    <row r="9" spans="1:16" ht="12.75" customHeight="1">
      <c r="B9" s="679" t="s">
        <v>310</v>
      </c>
      <c r="C9" s="679" t="s">
        <v>339</v>
      </c>
      <c r="D9" s="679" t="s">
        <v>731</v>
      </c>
      <c r="E9" s="679" t="s">
        <v>24</v>
      </c>
      <c r="F9" s="679" t="s">
        <v>103</v>
      </c>
      <c r="G9" s="679" t="s">
        <v>970</v>
      </c>
      <c r="H9" s="679" t="s">
        <v>955</v>
      </c>
      <c r="I9" s="679" t="s">
        <v>1123</v>
      </c>
      <c r="J9" s="679" t="s">
        <v>1154</v>
      </c>
      <c r="K9" s="679" t="s">
        <v>1197</v>
      </c>
      <c r="L9" s="679" t="s">
        <v>1250</v>
      </c>
      <c r="M9" s="679" t="s">
        <v>1266</v>
      </c>
      <c r="N9" s="594" t="s">
        <v>1279</v>
      </c>
    </row>
    <row r="10" spans="1:16" ht="12.75" customHeight="1">
      <c r="A10" s="119" t="s">
        <v>824</v>
      </c>
      <c r="C10" s="2"/>
    </row>
    <row r="11" spans="1:16" ht="12.75" customHeight="1">
      <c r="A11" s="155" t="s">
        <v>823</v>
      </c>
      <c r="C11" s="2"/>
    </row>
    <row r="12" spans="1:16" ht="12.75" customHeight="1">
      <c r="A12" s="131" t="s">
        <v>402</v>
      </c>
      <c r="B12" s="17">
        <f t="shared" ref="B12:G12" si="0">SUM(B45:B50)</f>
        <v>26957.766880000006</v>
      </c>
      <c r="C12" s="17">
        <f t="shared" si="0"/>
        <v>28036.610479999999</v>
      </c>
      <c r="D12" s="17">
        <f t="shared" si="0"/>
        <v>25248.735240000002</v>
      </c>
      <c r="E12" s="17">
        <f t="shared" si="0"/>
        <v>16508.410520000001</v>
      </c>
      <c r="F12" s="17">
        <f t="shared" si="0"/>
        <v>14258.298600000002</v>
      </c>
      <c r="G12" s="17">
        <f t="shared" si="0"/>
        <v>14046.338199999998</v>
      </c>
      <c r="H12" s="17">
        <f t="shared" ref="H12:M12" si="1">SUM(H45:H50)</f>
        <v>9365.63328</v>
      </c>
      <c r="I12" s="17">
        <f t="shared" si="1"/>
        <v>9992.5839199999991</v>
      </c>
      <c r="J12" s="17">
        <f t="shared" si="1"/>
        <v>9803.0066400000014</v>
      </c>
      <c r="K12" s="17">
        <f t="shared" si="1"/>
        <v>8680.1369900000009</v>
      </c>
      <c r="L12" s="17">
        <f t="shared" si="1"/>
        <v>7740.9421000000002</v>
      </c>
      <c r="M12" s="17">
        <f t="shared" si="1"/>
        <v>7588.4539400000003</v>
      </c>
      <c r="N12" s="17">
        <f>SUM(N45:N50)</f>
        <v>7596.8120899999994</v>
      </c>
    </row>
    <row r="13" spans="1:16" ht="12.75" customHeight="1">
      <c r="A13" s="131" t="s">
        <v>311</v>
      </c>
      <c r="B13" s="17">
        <f t="shared" ref="B13:G13" si="2">SUM(B51)</f>
        <v>634.80000000000007</v>
      </c>
      <c r="C13" s="17">
        <f t="shared" si="2"/>
        <v>980.30000000000007</v>
      </c>
      <c r="D13" s="17">
        <f t="shared" si="2"/>
        <v>904.6</v>
      </c>
      <c r="E13" s="17">
        <f t="shared" si="2"/>
        <v>177.20000000000002</v>
      </c>
      <c r="F13" s="17">
        <f t="shared" si="2"/>
        <v>510.59999999999997</v>
      </c>
      <c r="G13" s="17">
        <f t="shared" si="2"/>
        <v>436.20000000000005</v>
      </c>
      <c r="H13" s="17">
        <f t="shared" ref="H13:M13" si="3">SUM(H51)</f>
        <v>858.9</v>
      </c>
      <c r="I13" s="17">
        <f t="shared" si="3"/>
        <v>891.6</v>
      </c>
      <c r="J13" s="17">
        <f t="shared" si="3"/>
        <v>1261.4000000000001</v>
      </c>
      <c r="K13" s="17">
        <f t="shared" si="3"/>
        <v>1356.7</v>
      </c>
      <c r="L13" s="17">
        <f t="shared" si="3"/>
        <v>1619.1999999999998</v>
      </c>
      <c r="M13" s="17">
        <f t="shared" si="3"/>
        <v>1090.5</v>
      </c>
      <c r="N13" s="17">
        <f>SUM(N51)</f>
        <v>469.29999999999995</v>
      </c>
    </row>
    <row r="14" spans="1:16" ht="12.75" customHeight="1">
      <c r="A14" s="131" t="s">
        <v>401</v>
      </c>
      <c r="B14" s="17">
        <f t="shared" ref="B14:G14" si="4">SUM(B52:B53)</f>
        <v>1825.9704354890282</v>
      </c>
      <c r="C14" s="17">
        <f t="shared" si="4"/>
        <v>2221.87057534634</v>
      </c>
      <c r="D14" s="17">
        <f t="shared" si="4"/>
        <v>1866.3748463932488</v>
      </c>
      <c r="E14" s="17">
        <f t="shared" si="4"/>
        <v>1969.5632354873301</v>
      </c>
      <c r="F14" s="17">
        <f t="shared" si="4"/>
        <v>2571.1952848841065</v>
      </c>
      <c r="G14" s="17">
        <f t="shared" si="4"/>
        <v>2854.7769698752813</v>
      </c>
      <c r="H14" s="17">
        <f t="shared" ref="H14:M14" si="5">SUM(H52:H53)</f>
        <v>3167.1695977400714</v>
      </c>
      <c r="I14" s="17">
        <f t="shared" si="5"/>
        <v>3835.4987657500619</v>
      </c>
      <c r="J14" s="17">
        <f t="shared" si="5"/>
        <v>3622.1416700870868</v>
      </c>
      <c r="K14" s="17">
        <f t="shared" si="5"/>
        <v>3429.0906873013073</v>
      </c>
      <c r="L14" s="17">
        <f t="shared" si="5"/>
        <v>4010.0022880859215</v>
      </c>
      <c r="M14" s="17">
        <f t="shared" si="5"/>
        <v>4028.108084555824</v>
      </c>
      <c r="N14" s="17">
        <f>SUM(N52:N53)</f>
        <v>4193.8803582529354</v>
      </c>
      <c r="P14" s="17"/>
    </row>
    <row r="15" spans="1:16" ht="12.75" customHeight="1">
      <c r="A15" s="570" t="s">
        <v>1212</v>
      </c>
      <c r="B15" s="17"/>
      <c r="C15" s="17"/>
      <c r="D15" s="17"/>
      <c r="E15" s="17"/>
      <c r="F15" s="17"/>
      <c r="G15" s="17"/>
      <c r="H15" s="17"/>
      <c r="I15" s="17"/>
      <c r="J15" s="17"/>
      <c r="K15" s="724">
        <v>0</v>
      </c>
      <c r="L15" s="724">
        <f>Offsets!L9</f>
        <v>0</v>
      </c>
      <c r="M15" s="724">
        <f>Offsets!M9</f>
        <v>0</v>
      </c>
      <c r="N15" s="724">
        <f>Offsets!N9</f>
        <v>0</v>
      </c>
      <c r="P15" s="17"/>
    </row>
    <row r="16" spans="1:16" ht="12.75" customHeight="1">
      <c r="A16" s="29" t="s">
        <v>1211</v>
      </c>
      <c r="B16" s="448">
        <f>Offsets!B11</f>
        <v>864.59</v>
      </c>
      <c r="C16" s="448">
        <f>Offsets!C11</f>
        <v>595.12</v>
      </c>
      <c r="D16" s="448">
        <f>Offsets!D11</f>
        <v>660.09</v>
      </c>
      <c r="E16" s="448">
        <f>Offsets!E11</f>
        <v>539.6</v>
      </c>
      <c r="F16" s="448">
        <f>Offsets!F11</f>
        <v>551.48</v>
      </c>
      <c r="G16" s="448">
        <f>Offsets!G11</f>
        <v>551.37</v>
      </c>
      <c r="H16" s="448">
        <f>Offsets!H11</f>
        <v>551.20000000000005</v>
      </c>
      <c r="I16" s="448">
        <f>Offsets!I11</f>
        <v>644.57000000000005</v>
      </c>
      <c r="J16" s="448">
        <f>Offsets!J11</f>
        <v>645.88</v>
      </c>
      <c r="K16" s="448">
        <f>Offsets!K10</f>
        <v>634</v>
      </c>
      <c r="L16" s="448">
        <f>Offsets!L10</f>
        <v>633</v>
      </c>
      <c r="M16" s="448">
        <v>633</v>
      </c>
      <c r="N16" s="448">
        <v>633</v>
      </c>
    </row>
    <row r="17" spans="1:14">
      <c r="A17" s="475" t="s">
        <v>897</v>
      </c>
      <c r="B17" s="547">
        <f>(SUM(B12:B14))-B55</f>
        <v>28553.947315489033</v>
      </c>
      <c r="C17" s="547">
        <f>(SUM(C12:C14))-C55</f>
        <v>30643.66105534634</v>
      </c>
      <c r="D17" s="547">
        <f>(SUM(D12:D14))-D55</f>
        <v>27359.62008639325</v>
      </c>
      <c r="E17" s="547">
        <f>(SUM(E12:E14))-E55</f>
        <v>18115.573755487334</v>
      </c>
      <c r="F17" s="547">
        <f>(SUM(F12:F14))-F16</f>
        <v>16788.613884884111</v>
      </c>
      <c r="G17" s="547">
        <f>(SUM(G12:G14))-G16</f>
        <v>16785.945169875282</v>
      </c>
      <c r="H17" s="547">
        <f>(SUM(H12:H14))-H16</f>
        <v>12840.502877740069</v>
      </c>
      <c r="I17" s="547">
        <f>(SUM(I12:I14))-I16</f>
        <v>14075.112685750062</v>
      </c>
      <c r="J17" s="547">
        <f>(SUM(J12:J14))-J16</f>
        <v>14040.668310087089</v>
      </c>
      <c r="K17" s="547">
        <f>(SUM(K12:K14))-K16-K15</f>
        <v>12831.927677301308</v>
      </c>
      <c r="L17" s="547">
        <f>(SUM(L12:L14))-L16-L15</f>
        <v>12737.144388085922</v>
      </c>
      <c r="M17" s="547">
        <f>(SUM(M12:M14))-M16-M15</f>
        <v>12074.062024555824</v>
      </c>
      <c r="N17" s="547">
        <f>(SUM(N12:N14))-N16-N15</f>
        <v>11626.992448252935</v>
      </c>
    </row>
    <row r="18" spans="1:14">
      <c r="A18" s="90"/>
      <c r="B18" s="435"/>
      <c r="C18" s="435"/>
      <c r="D18" s="435"/>
      <c r="E18" s="435"/>
      <c r="F18" s="435"/>
      <c r="G18" s="435"/>
      <c r="H18" s="435"/>
      <c r="I18" s="435"/>
      <c r="J18" s="435"/>
      <c r="K18" s="435"/>
      <c r="L18" s="435"/>
      <c r="M18" s="435"/>
      <c r="N18" s="435"/>
    </row>
    <row r="19" spans="1:14">
      <c r="A19" s="155" t="s">
        <v>443</v>
      </c>
      <c r="C19" s="2"/>
    </row>
    <row r="20" spans="1:14" ht="12.75" customHeight="1">
      <c r="A20" s="131" t="s">
        <v>402</v>
      </c>
      <c r="B20" s="177">
        <f t="shared" ref="B20:G20" si="6">B12/(SUM(B12:B14))</f>
        <v>0.91635306646624415</v>
      </c>
      <c r="C20" s="177">
        <f t="shared" si="6"/>
        <v>0.89749374120350622</v>
      </c>
      <c r="D20" s="177">
        <f t="shared" si="6"/>
        <v>0.901106227086237</v>
      </c>
      <c r="E20" s="177">
        <f t="shared" si="6"/>
        <v>0.88492397532047262</v>
      </c>
      <c r="F20" s="177">
        <f t="shared" si="6"/>
        <v>0.82227343719455848</v>
      </c>
      <c r="G20" s="177">
        <f t="shared" si="6"/>
        <v>0.81017954985362606</v>
      </c>
      <c r="H20" s="177">
        <f t="shared" ref="H20:M20" si="7">H12/(SUM(H12:H14))</f>
        <v>0.69936089274857827</v>
      </c>
      <c r="I20" s="177">
        <f t="shared" si="7"/>
        <v>0.67885865023936232</v>
      </c>
      <c r="J20" s="177">
        <f t="shared" si="7"/>
        <v>0.66748200006035807</v>
      </c>
      <c r="K20" s="177">
        <f t="shared" si="7"/>
        <v>0.64460000068406564</v>
      </c>
      <c r="L20" s="177">
        <f t="shared" si="7"/>
        <v>0.57897221415932654</v>
      </c>
      <c r="M20" s="177">
        <f t="shared" si="7"/>
        <v>0.59718398519938409</v>
      </c>
      <c r="N20" s="177">
        <f>N12/(SUM(N12:N14))</f>
        <v>0.61964247711119558</v>
      </c>
    </row>
    <row r="21" spans="1:14" ht="12.75" customHeight="1">
      <c r="A21" s="131" t="s">
        <v>311</v>
      </c>
      <c r="B21" s="177">
        <f t="shared" ref="B21:G21" si="8">B13/(SUM(B12:B14))</f>
        <v>2.157823120817683E-2</v>
      </c>
      <c r="C21" s="177">
        <f t="shared" si="8"/>
        <v>3.138086592633637E-2</v>
      </c>
      <c r="D21" s="177">
        <f t="shared" si="8"/>
        <v>3.2284416834108716E-2</v>
      </c>
      <c r="E21" s="177">
        <f t="shared" si="8"/>
        <v>9.4987054166610196E-3</v>
      </c>
      <c r="F21" s="177">
        <f t="shared" si="8"/>
        <v>2.9446207349840568E-2</v>
      </c>
      <c r="G21" s="177">
        <f t="shared" si="8"/>
        <v>2.5159604917255361E-2</v>
      </c>
      <c r="H21" s="177">
        <f t="shared" ref="H21:M21" si="9">H13/(SUM(H12:H14))</f>
        <v>6.4136727632128021E-2</v>
      </c>
      <c r="I21" s="177">
        <f t="shared" si="9"/>
        <v>6.057195790389875E-2</v>
      </c>
      <c r="J21" s="177">
        <f t="shared" si="9"/>
        <v>8.5888118390189686E-2</v>
      </c>
      <c r="K21" s="177">
        <f t="shared" si="9"/>
        <v>0.10075057823805977</v>
      </c>
      <c r="L21" s="177">
        <f t="shared" si="9"/>
        <v>0.12110564800204117</v>
      </c>
      <c r="M21" s="177">
        <f t="shared" si="9"/>
        <v>8.5818421118324439E-2</v>
      </c>
      <c r="N21" s="177">
        <f>N13/(SUM(N12:N14))</f>
        <v>3.8278979532885095E-2</v>
      </c>
    </row>
    <row r="22" spans="1:14" ht="12.75" customHeight="1">
      <c r="A22" s="131" t="s">
        <v>401</v>
      </c>
      <c r="B22" s="177">
        <f t="shared" ref="B22:G22" si="10">B14/(SUM(B12:B14))</f>
        <v>6.2068702325579053E-2</v>
      </c>
      <c r="C22" s="177">
        <f t="shared" si="10"/>
        <v>7.1125392870157442E-2</v>
      </c>
      <c r="D22" s="177">
        <f t="shared" si="10"/>
        <v>6.6609356079654292E-2</v>
      </c>
      <c r="E22" s="177">
        <f t="shared" si="10"/>
        <v>0.10557731926286627</v>
      </c>
      <c r="F22" s="177">
        <f t="shared" si="10"/>
        <v>0.14828035545560084</v>
      </c>
      <c r="G22" s="177">
        <f t="shared" si="10"/>
        <v>0.16466084522911847</v>
      </c>
      <c r="H22" s="177">
        <f t="shared" ref="H22:M22" si="11">H14/(SUM(H12:H14))</f>
        <v>0.2365023796192938</v>
      </c>
      <c r="I22" s="177">
        <f t="shared" si="11"/>
        <v>0.26056939185673883</v>
      </c>
      <c r="J22" s="177">
        <f t="shared" si="11"/>
        <v>0.24662988154945226</v>
      </c>
      <c r="K22" s="177">
        <f t="shared" si="11"/>
        <v>0.25464942107787464</v>
      </c>
      <c r="L22" s="177">
        <f t="shared" si="11"/>
        <v>0.29992213783863225</v>
      </c>
      <c r="M22" s="177">
        <f t="shared" si="11"/>
        <v>0.31699759368229152</v>
      </c>
      <c r="N22" s="177">
        <f>N14/(SUM(N12:N14))</f>
        <v>0.34207854335591936</v>
      </c>
    </row>
    <row r="23" spans="1:14" ht="12.75" customHeight="1">
      <c r="A23" s="475" t="s">
        <v>897</v>
      </c>
      <c r="B23" s="548">
        <f t="shared" ref="B23:G23" si="12">SUM(B20:B22)</f>
        <v>1</v>
      </c>
      <c r="C23" s="548">
        <f t="shared" si="12"/>
        <v>1</v>
      </c>
      <c r="D23" s="548">
        <f t="shared" si="12"/>
        <v>1</v>
      </c>
      <c r="E23" s="548">
        <f t="shared" si="12"/>
        <v>0.99999999999999989</v>
      </c>
      <c r="F23" s="548">
        <f t="shared" si="12"/>
        <v>0.99999999999999989</v>
      </c>
      <c r="G23" s="548">
        <f t="shared" si="12"/>
        <v>0.99999999999999989</v>
      </c>
      <c r="H23" s="548">
        <f t="shared" ref="H23:M23" si="13">SUM(H20:H22)</f>
        <v>1</v>
      </c>
      <c r="I23" s="548">
        <f t="shared" si="13"/>
        <v>1</v>
      </c>
      <c r="J23" s="548">
        <f t="shared" si="13"/>
        <v>1</v>
      </c>
      <c r="K23" s="548">
        <f t="shared" si="13"/>
        <v>1</v>
      </c>
      <c r="L23" s="548">
        <f t="shared" si="13"/>
        <v>1</v>
      </c>
      <c r="M23" s="548">
        <f t="shared" si="13"/>
        <v>1</v>
      </c>
      <c r="N23" s="548">
        <f>SUM(N20:N22)</f>
        <v>1</v>
      </c>
    </row>
    <row r="24" spans="1:14" ht="12.75" customHeight="1">
      <c r="A24" s="63"/>
      <c r="B24" s="514"/>
      <c r="C24" s="514"/>
      <c r="D24" s="514"/>
      <c r="E24" s="514"/>
      <c r="F24" s="514"/>
    </row>
    <row r="25" spans="1:14" ht="12.75" customHeight="1">
      <c r="A25" s="119" t="s">
        <v>717</v>
      </c>
      <c r="B25" s="2"/>
      <c r="C25" s="2"/>
    </row>
    <row r="26" spans="1:14" ht="12.75" customHeight="1">
      <c r="A26" s="155" t="s">
        <v>823</v>
      </c>
      <c r="B26" s="2"/>
      <c r="C26" s="2"/>
    </row>
    <row r="27" spans="1:14" ht="12.75" customHeight="1">
      <c r="A27" s="131" t="s">
        <v>84</v>
      </c>
      <c r="B27" s="17">
        <f t="shared" ref="B27:G27" si="14">SUM(B45:B47)</f>
        <v>26591.666880000004</v>
      </c>
      <c r="C27" s="17">
        <f t="shared" si="14"/>
        <v>27644.110479999999</v>
      </c>
      <c r="D27" s="17">
        <f t="shared" si="14"/>
        <v>24822.13524</v>
      </c>
      <c r="E27" s="17">
        <f t="shared" si="14"/>
        <v>16170.01052</v>
      </c>
      <c r="F27" s="17">
        <f t="shared" si="14"/>
        <v>13847.598600000001</v>
      </c>
      <c r="G27" s="17">
        <f t="shared" si="14"/>
        <v>13689.2382</v>
      </c>
      <c r="H27" s="17">
        <f>SUM(H45:H47)</f>
        <v>8995.5332799999996</v>
      </c>
      <c r="I27" s="17">
        <f>SUM(I45:I47)</f>
        <v>9594.3839200000002</v>
      </c>
      <c r="J27" s="17">
        <f>SUM(J45:J47)</f>
        <v>9403.2066400000003</v>
      </c>
      <c r="K27" s="17">
        <f>SUM(K45:K48)</f>
        <v>8338.2369900000012</v>
      </c>
      <c r="L27" s="17">
        <f>SUM(L45:L48)</f>
        <v>7396.5421000000006</v>
      </c>
      <c r="M27" s="17">
        <f>SUM(M45:M48)</f>
        <v>7251.9539400000003</v>
      </c>
      <c r="N27" s="17">
        <f>SUM(N45:N48)</f>
        <v>7287.4120899999998</v>
      </c>
    </row>
    <row r="28" spans="1:14" ht="12.75" customHeight="1">
      <c r="A28" s="131" t="s">
        <v>85</v>
      </c>
      <c r="B28" s="17">
        <f t="shared" ref="B28:G28" si="15">SUM(B49:B50)</f>
        <v>366.1</v>
      </c>
      <c r="C28" s="17">
        <f t="shared" si="15"/>
        <v>392.5</v>
      </c>
      <c r="D28" s="17">
        <f t="shared" si="15"/>
        <v>426.6</v>
      </c>
      <c r="E28" s="17">
        <f t="shared" si="15"/>
        <v>338.4</v>
      </c>
      <c r="F28" s="17">
        <f t="shared" si="15"/>
        <v>410.7</v>
      </c>
      <c r="G28" s="17">
        <f t="shared" si="15"/>
        <v>357.1</v>
      </c>
      <c r="H28" s="17">
        <f t="shared" ref="H28:M28" si="16">SUM(H49:H50)</f>
        <v>370.1</v>
      </c>
      <c r="I28" s="17">
        <f t="shared" si="16"/>
        <v>398.20000000000005</v>
      </c>
      <c r="J28" s="17">
        <f t="shared" si="16"/>
        <v>399.79999999999995</v>
      </c>
      <c r="K28" s="17">
        <f t="shared" si="16"/>
        <v>341.9</v>
      </c>
      <c r="L28" s="17">
        <f t="shared" si="16"/>
        <v>344.4</v>
      </c>
      <c r="M28" s="17">
        <f t="shared" si="16"/>
        <v>336.5</v>
      </c>
      <c r="N28" s="17">
        <f>SUM(N49:N50)</f>
        <v>309.39999999999998</v>
      </c>
    </row>
    <row r="29" spans="1:14" ht="12.75" customHeight="1">
      <c r="A29" s="131" t="s">
        <v>254</v>
      </c>
      <c r="B29" s="17">
        <f t="shared" ref="B29:E31" si="17">B51</f>
        <v>634.80000000000007</v>
      </c>
      <c r="C29" s="17">
        <f t="shared" si="17"/>
        <v>980.30000000000007</v>
      </c>
      <c r="D29" s="17">
        <f t="shared" si="17"/>
        <v>904.6</v>
      </c>
      <c r="E29" s="17">
        <f t="shared" si="17"/>
        <v>177.20000000000002</v>
      </c>
      <c r="F29" s="17">
        <f t="shared" ref="F29:G31" si="18">F51</f>
        <v>510.59999999999997</v>
      </c>
      <c r="G29" s="17">
        <f t="shared" si="18"/>
        <v>436.20000000000005</v>
      </c>
      <c r="H29" s="17">
        <f t="shared" ref="H29:I31" si="19">H51</f>
        <v>858.9</v>
      </c>
      <c r="I29" s="17">
        <f t="shared" si="19"/>
        <v>891.6</v>
      </c>
      <c r="J29" s="17">
        <f t="shared" ref="J29:K31" si="20">J51</f>
        <v>1261.4000000000001</v>
      </c>
      <c r="K29" s="17">
        <f t="shared" si="20"/>
        <v>1356.7</v>
      </c>
      <c r="L29" s="17">
        <f t="shared" ref="L29:M31" si="21">L51</f>
        <v>1619.1999999999998</v>
      </c>
      <c r="M29" s="17">
        <f t="shared" si="21"/>
        <v>1090.5</v>
      </c>
      <c r="N29" s="17">
        <f>N51</f>
        <v>469.29999999999995</v>
      </c>
    </row>
    <row r="30" spans="1:14" ht="12.75" customHeight="1">
      <c r="A30" s="131" t="s">
        <v>51</v>
      </c>
      <c r="B30" s="17">
        <f t="shared" si="17"/>
        <v>1688.6999999999998</v>
      </c>
      <c r="C30" s="17">
        <f t="shared" si="17"/>
        <v>1937.2</v>
      </c>
      <c r="D30" s="17">
        <f t="shared" si="17"/>
        <v>1667.2</v>
      </c>
      <c r="E30" s="17">
        <f t="shared" si="17"/>
        <v>1820.3</v>
      </c>
      <c r="F30" s="17">
        <f t="shared" si="18"/>
        <v>2366.7000000000003</v>
      </c>
      <c r="G30" s="17">
        <f t="shared" si="18"/>
        <v>2671.6000000000004</v>
      </c>
      <c r="H30" s="17">
        <f t="shared" si="19"/>
        <v>3014.2999999999997</v>
      </c>
      <c r="I30" s="17">
        <f t="shared" si="19"/>
        <v>3693.8999999999996</v>
      </c>
      <c r="J30" s="17">
        <f t="shared" si="20"/>
        <v>3466.9</v>
      </c>
      <c r="K30" s="17">
        <f t="shared" si="20"/>
        <v>3294.5</v>
      </c>
      <c r="L30" s="17">
        <f t="shared" si="21"/>
        <v>3872.3</v>
      </c>
      <c r="M30" s="17">
        <f t="shared" si="21"/>
        <v>3888.4</v>
      </c>
      <c r="N30" s="17">
        <f>N52</f>
        <v>4074.9</v>
      </c>
    </row>
    <row r="31" spans="1:14" ht="12.75" customHeight="1">
      <c r="A31" s="131" t="s">
        <v>107</v>
      </c>
      <c r="B31" s="17">
        <f t="shared" si="17"/>
        <v>137.27043548902842</v>
      </c>
      <c r="C31" s="17">
        <f t="shared" si="17"/>
        <v>284.67057534634006</v>
      </c>
      <c r="D31" s="65">
        <f t="shared" si="17"/>
        <v>199.17484639324874</v>
      </c>
      <c r="E31" s="65">
        <f t="shared" si="17"/>
        <v>149.26323548733001</v>
      </c>
      <c r="F31" s="65">
        <f t="shared" si="18"/>
        <v>204.49528488410624</v>
      </c>
      <c r="G31" s="65">
        <f t="shared" si="18"/>
        <v>183.17696987528103</v>
      </c>
      <c r="H31" s="65">
        <f t="shared" si="19"/>
        <v>152.86959774007164</v>
      </c>
      <c r="I31" s="65">
        <f t="shared" si="19"/>
        <v>141.59876575006246</v>
      </c>
      <c r="J31" s="65">
        <f t="shared" si="20"/>
        <v>155.24167008708687</v>
      </c>
      <c r="K31" s="65">
        <f t="shared" si="20"/>
        <v>134.59068730130716</v>
      </c>
      <c r="L31" s="65">
        <f t="shared" si="21"/>
        <v>137.70228808592125</v>
      </c>
      <c r="M31" s="65">
        <f t="shared" si="21"/>
        <v>139.70808455582386</v>
      </c>
      <c r="N31" s="65">
        <f>N53</f>
        <v>118.98035825293483</v>
      </c>
    </row>
    <row r="32" spans="1:14" ht="12.75" customHeight="1">
      <c r="A32" s="570" t="s">
        <v>1213</v>
      </c>
      <c r="B32" s="17"/>
      <c r="C32" s="17"/>
      <c r="D32" s="65"/>
      <c r="E32" s="65"/>
      <c r="F32" s="65"/>
      <c r="G32" s="65"/>
      <c r="H32" s="65"/>
      <c r="I32" s="65"/>
      <c r="J32" s="65"/>
      <c r="K32" s="724">
        <f>Offsets!K9</f>
        <v>13011.88</v>
      </c>
      <c r="L32" s="724">
        <f>Offsets!L9</f>
        <v>0</v>
      </c>
      <c r="M32" s="724">
        <f>Offsets!M9</f>
        <v>0</v>
      </c>
      <c r="N32" s="724">
        <f>Offsets!N9</f>
        <v>0</v>
      </c>
    </row>
    <row r="33" spans="1:15" ht="12.75" customHeight="1">
      <c r="A33" s="29" t="s">
        <v>1214</v>
      </c>
      <c r="B33" s="448">
        <f>Offsets!B11</f>
        <v>864.59</v>
      </c>
      <c r="C33" s="448">
        <f>Offsets!C11</f>
        <v>595.12</v>
      </c>
      <c r="D33" s="448">
        <f>Offsets!D11</f>
        <v>660.09</v>
      </c>
      <c r="E33" s="448">
        <f>Offsets!E11</f>
        <v>539.6</v>
      </c>
      <c r="F33" s="448">
        <f>Offsets!F11</f>
        <v>551.48</v>
      </c>
      <c r="G33" s="448">
        <f>Offsets!G11</f>
        <v>551.37</v>
      </c>
      <c r="H33" s="448">
        <f>Offsets!H11</f>
        <v>551.20000000000005</v>
      </c>
      <c r="I33" s="448">
        <f>Offsets!I11</f>
        <v>644.57000000000005</v>
      </c>
      <c r="J33" s="448">
        <f>Offsets!J11</f>
        <v>645.88</v>
      </c>
      <c r="K33" s="448">
        <f>Offsets!K10</f>
        <v>634</v>
      </c>
      <c r="L33" s="448">
        <f>Offsets!L10</f>
        <v>633</v>
      </c>
      <c r="M33" s="448">
        <v>633</v>
      </c>
      <c r="N33" s="448">
        <v>633</v>
      </c>
    </row>
    <row r="34" spans="1:15" ht="12.75" customHeight="1">
      <c r="A34" s="475" t="s">
        <v>296</v>
      </c>
      <c r="B34" s="547">
        <f t="shared" ref="B34:G34" si="22">SUM(B27:B31)-B33</f>
        <v>28553.947315489033</v>
      </c>
      <c r="C34" s="547">
        <f t="shared" si="22"/>
        <v>30643.66105534634</v>
      </c>
      <c r="D34" s="547">
        <f t="shared" si="22"/>
        <v>27359.620086393246</v>
      </c>
      <c r="E34" s="547">
        <f t="shared" si="22"/>
        <v>18115.573755487334</v>
      </c>
      <c r="F34" s="547">
        <f t="shared" si="22"/>
        <v>16788.613884884107</v>
      </c>
      <c r="G34" s="547">
        <f t="shared" si="22"/>
        <v>16785.945169875282</v>
      </c>
      <c r="H34" s="547">
        <f>SUM(H27:H31)-H33</f>
        <v>12840.502877740069</v>
      </c>
      <c r="I34" s="547">
        <f>SUM(I27:I31)-I33</f>
        <v>14075.112685750064</v>
      </c>
      <c r="J34" s="547">
        <f>SUM(J27:J31)-J33</f>
        <v>14040.668310087087</v>
      </c>
      <c r="K34" s="547">
        <f>SUM(K27:K31)-K33-K32</f>
        <v>-179.95232269869121</v>
      </c>
      <c r="L34" s="547">
        <f>SUM(L27:L31)-L33-L32</f>
        <v>12737.144388085921</v>
      </c>
      <c r="M34" s="547">
        <f>SUM(M27:M31)-M33-M32</f>
        <v>12074.062024555822</v>
      </c>
      <c r="N34" s="547">
        <f>SUM(N27:N31)-N33-N32</f>
        <v>11626.992448252935</v>
      </c>
    </row>
    <row r="35" spans="1:15">
      <c r="A35" s="155" t="s">
        <v>443</v>
      </c>
      <c r="C35" s="2"/>
    </row>
    <row r="36" spans="1:15" ht="12.75" customHeight="1">
      <c r="A36" s="131" t="s">
        <v>84</v>
      </c>
      <c r="B36" s="177">
        <f t="shared" ref="B36:G36" si="23">B27/(SUM(B27:B31))</f>
        <v>0.90390853205333688</v>
      </c>
      <c r="C36" s="177">
        <f t="shared" si="23"/>
        <v>0.88492923046588812</v>
      </c>
      <c r="D36" s="177">
        <f t="shared" si="23"/>
        <v>0.88588123015783693</v>
      </c>
      <c r="E36" s="177">
        <f t="shared" si="23"/>
        <v>0.8667842354051335</v>
      </c>
      <c r="F36" s="177">
        <f t="shared" si="23"/>
        <v>0.79858844432620857</v>
      </c>
      <c r="G36" s="177">
        <f t="shared" si="23"/>
        <v>0.78958235839110469</v>
      </c>
      <c r="H36" s="177">
        <f t="shared" ref="H36:M36" si="24">H27/(SUM(H27:H31))</f>
        <v>0.67172437755862524</v>
      </c>
      <c r="I36" s="177">
        <f t="shared" si="24"/>
        <v>0.65180643664881444</v>
      </c>
      <c r="J36" s="177">
        <f t="shared" si="24"/>
        <v>0.64025981064193582</v>
      </c>
      <c r="K36" s="177">
        <f t="shared" si="24"/>
        <v>0.61920999353466444</v>
      </c>
      <c r="L36" s="177">
        <f t="shared" si="24"/>
        <v>0.55321333003636286</v>
      </c>
      <c r="M36" s="177">
        <f t="shared" si="24"/>
        <v>0.57070264755030919</v>
      </c>
      <c r="N36" s="177">
        <f>N27/(SUM(N27:N31))</f>
        <v>0.59440591996763148</v>
      </c>
    </row>
    <row r="37" spans="1:15" ht="12.75" customHeight="1">
      <c r="A37" s="131" t="s">
        <v>85</v>
      </c>
      <c r="B37" s="177">
        <f t="shared" ref="B37:G37" si="25">B28/(SUM(B27:B31))</f>
        <v>1.2444534412907273E-2</v>
      </c>
      <c r="C37" s="177">
        <f t="shared" si="25"/>
        <v>1.2564510737618101E-2</v>
      </c>
      <c r="D37" s="177">
        <f t="shared" si="25"/>
        <v>1.5224996928400155E-2</v>
      </c>
      <c r="E37" s="177">
        <f t="shared" si="25"/>
        <v>1.8139739915339098E-2</v>
      </c>
      <c r="F37" s="177">
        <f t="shared" si="25"/>
        <v>2.3684992868350026E-2</v>
      </c>
      <c r="G37" s="177">
        <f t="shared" si="25"/>
        <v>2.0597191462521522E-2</v>
      </c>
      <c r="H37" s="177">
        <f t="shared" ref="H37:M37" si="26">H28/(SUM(H27:H31))</f>
        <v>2.7636515189952946E-2</v>
      </c>
      <c r="I37" s="177">
        <f t="shared" si="26"/>
        <v>2.705221359054787E-2</v>
      </c>
      <c r="J37" s="177">
        <f t="shared" si="26"/>
        <v>2.7222189418422256E-2</v>
      </c>
      <c r="K37" s="177">
        <f t="shared" si="26"/>
        <v>2.539000714940122E-2</v>
      </c>
      <c r="L37" s="177">
        <f t="shared" si="26"/>
        <v>2.5758884122963802E-2</v>
      </c>
      <c r="M37" s="177">
        <f t="shared" si="26"/>
        <v>2.6481337649074899E-2</v>
      </c>
      <c r="N37" s="177">
        <f>N28/(SUM(N27:N31))</f>
        <v>2.5236557143564136E-2</v>
      </c>
      <c r="O37" t="s">
        <v>957</v>
      </c>
    </row>
    <row r="38" spans="1:15" ht="12.75" customHeight="1">
      <c r="A38" s="131" t="s">
        <v>45</v>
      </c>
      <c r="B38" s="177">
        <f t="shared" ref="B38:G38" si="27">B29/(SUM(B27:B31))</f>
        <v>2.157823120817683E-2</v>
      </c>
      <c r="C38" s="177">
        <f t="shared" si="27"/>
        <v>3.138086592633637E-2</v>
      </c>
      <c r="D38" s="177">
        <f t="shared" si="27"/>
        <v>3.2284416834108723E-2</v>
      </c>
      <c r="E38" s="177">
        <f t="shared" si="27"/>
        <v>9.4987054166610196E-3</v>
      </c>
      <c r="F38" s="177">
        <f t="shared" si="27"/>
        <v>2.9446207349840572E-2</v>
      </c>
      <c r="G38" s="177">
        <f t="shared" si="27"/>
        <v>2.5159604917255361E-2</v>
      </c>
      <c r="H38" s="177">
        <f t="shared" ref="H38:M38" si="28">H29/(SUM(H27:H31))</f>
        <v>6.4136727632128021E-2</v>
      </c>
      <c r="I38" s="177">
        <f t="shared" si="28"/>
        <v>6.0571957903898743E-2</v>
      </c>
      <c r="J38" s="177">
        <f t="shared" si="28"/>
        <v>8.5888118390189699E-2</v>
      </c>
      <c r="K38" s="177">
        <f t="shared" si="28"/>
        <v>0.10075057823805977</v>
      </c>
      <c r="L38" s="177">
        <f t="shared" si="28"/>
        <v>0.12110564800204118</v>
      </c>
      <c r="M38" s="177">
        <f t="shared" si="28"/>
        <v>8.5818421118324453E-2</v>
      </c>
      <c r="N38" s="177">
        <f>N29/(SUM(N27:N31))</f>
        <v>3.8278979532885095E-2</v>
      </c>
    </row>
    <row r="39" spans="1:15" ht="12.75" customHeight="1">
      <c r="A39" s="131" t="s">
        <v>51</v>
      </c>
      <c r="B39" s="177">
        <f t="shared" ref="B39:G39" si="29">B30/(SUM(B27:B31))</f>
        <v>5.7402581980542225E-2</v>
      </c>
      <c r="C39" s="177">
        <f t="shared" si="29"/>
        <v>6.2012662932264422E-2</v>
      </c>
      <c r="D39" s="177">
        <f t="shared" si="29"/>
        <v>5.9500972524680583E-2</v>
      </c>
      <c r="E39" s="177">
        <f t="shared" si="29"/>
        <v>9.7576148250271166E-2</v>
      </c>
      <c r="F39" s="177">
        <f t="shared" si="29"/>
        <v>0.13648715028372052</v>
      </c>
      <c r="G39" s="177">
        <f t="shared" si="29"/>
        <v>0.15409537023599132</v>
      </c>
      <c r="H39" s="177">
        <f t="shared" ref="H39:M39" si="30">H30/(SUM(H27:H31))</f>
        <v>0.2250871324968256</v>
      </c>
      <c r="I39" s="177">
        <f t="shared" si="30"/>
        <v>0.25094970311934894</v>
      </c>
      <c r="J39" s="177">
        <f t="shared" si="30"/>
        <v>0.23605955101232651</v>
      </c>
      <c r="K39" s="177">
        <f t="shared" si="30"/>
        <v>0.2446545146349878</v>
      </c>
      <c r="L39" s="177">
        <f t="shared" si="30"/>
        <v>0.2896229006659487</v>
      </c>
      <c r="M39" s="177">
        <f t="shared" si="30"/>
        <v>0.30600307077165778</v>
      </c>
      <c r="N39" s="177">
        <f>N30/(SUM(N27:N31))</f>
        <v>0.33237377732485296</v>
      </c>
    </row>
    <row r="40" spans="1:15" ht="12.75" customHeight="1">
      <c r="A40" s="131" t="s">
        <v>107</v>
      </c>
      <c r="B40" s="177">
        <f t="shared" ref="B40:G40" si="31">B31/(SUM(B27:B31))</f>
        <v>4.6661203450368257E-3</v>
      </c>
      <c r="C40" s="177">
        <f t="shared" si="31"/>
        <v>9.1127299378930254E-3</v>
      </c>
      <c r="D40" s="177">
        <f t="shared" si="31"/>
        <v>7.1083835549737096E-3</v>
      </c>
      <c r="E40" s="177">
        <f t="shared" si="31"/>
        <v>8.0011710125950947E-3</v>
      </c>
      <c r="F40" s="177">
        <f t="shared" si="31"/>
        <v>1.179320517188036E-2</v>
      </c>
      <c r="G40" s="177">
        <f t="shared" si="31"/>
        <v>1.0565474993127136E-2</v>
      </c>
      <c r="H40" s="177">
        <f t="shared" ref="H40:M40" si="32">H31/(SUM(H27:H31))</f>
        <v>1.1415247122468214E-2</v>
      </c>
      <c r="I40" s="177">
        <f t="shared" si="32"/>
        <v>9.6196887373898622E-3</v>
      </c>
      <c r="J40" s="177">
        <f t="shared" si="32"/>
        <v>1.0570330537125803E-2</v>
      </c>
      <c r="K40" s="177">
        <f t="shared" si="32"/>
        <v>9.9949064428868466E-3</v>
      </c>
      <c r="L40" s="177">
        <f t="shared" si="32"/>
        <v>1.0299237172683579E-2</v>
      </c>
      <c r="M40" s="177">
        <f t="shared" si="32"/>
        <v>1.0994522910633813E-2</v>
      </c>
      <c r="N40" s="177">
        <f>N31/(SUM(N27:N31))</f>
        <v>9.7047660310663319E-3</v>
      </c>
    </row>
    <row r="41" spans="1:15" ht="12.75" customHeight="1">
      <c r="A41" s="475" t="s">
        <v>296</v>
      </c>
      <c r="B41" s="548">
        <f t="shared" ref="B41:G41" si="33">SUM(B36:B40)</f>
        <v>1</v>
      </c>
      <c r="C41" s="548">
        <f t="shared" si="33"/>
        <v>1</v>
      </c>
      <c r="D41" s="548">
        <f t="shared" si="33"/>
        <v>1.0000000000000002</v>
      </c>
      <c r="E41" s="548">
        <f t="shared" si="33"/>
        <v>0.99999999999999989</v>
      </c>
      <c r="F41" s="548">
        <f t="shared" si="33"/>
        <v>1</v>
      </c>
      <c r="G41" s="548">
        <f t="shared" si="33"/>
        <v>0.99999999999999989</v>
      </c>
      <c r="H41" s="548">
        <f t="shared" ref="H41:M41" si="34">SUM(H36:H40)</f>
        <v>1</v>
      </c>
      <c r="I41" s="548">
        <f t="shared" si="34"/>
        <v>0.99999999999999989</v>
      </c>
      <c r="J41" s="548">
        <f t="shared" si="34"/>
        <v>1.0000000000000002</v>
      </c>
      <c r="K41" s="548">
        <f t="shared" si="34"/>
        <v>1</v>
      </c>
      <c r="L41" s="548">
        <f t="shared" si="34"/>
        <v>1</v>
      </c>
      <c r="M41" s="548">
        <f t="shared" si="34"/>
        <v>1.0000000000000002</v>
      </c>
      <c r="N41" s="548">
        <f>SUM(N36:N40)</f>
        <v>0.99999999999999989</v>
      </c>
    </row>
    <row r="42" spans="1:15" ht="12.75" customHeight="1">
      <c r="A42" s="63"/>
      <c r="B42" s="514"/>
      <c r="C42" s="514"/>
      <c r="D42" s="514"/>
      <c r="E42" s="514"/>
      <c r="F42" s="514"/>
    </row>
    <row r="43" spans="1:15" ht="12.75" customHeight="1">
      <c r="A43" s="119" t="s">
        <v>898</v>
      </c>
      <c r="B43" s="2"/>
      <c r="C43" s="2"/>
    </row>
    <row r="44" spans="1:15" ht="12.75" customHeight="1">
      <c r="A44" s="155" t="s">
        <v>823</v>
      </c>
      <c r="B44" s="2"/>
      <c r="C44" s="2"/>
    </row>
    <row r="45" spans="1:15" ht="12.75" customHeight="1">
      <c r="A45" s="29" t="s">
        <v>957</v>
      </c>
      <c r="B45" s="445">
        <f>'Scope1A Stationary'!C25</f>
        <v>23876.400000000001</v>
      </c>
      <c r="C45" s="445">
        <f>'Scope1A Stationary'!D25</f>
        <v>25145.3</v>
      </c>
      <c r="D45" s="446">
        <f>'Scope1A Stationary'!E25</f>
        <v>22365.599999999999</v>
      </c>
      <c r="E45" s="446">
        <f>'Scope1A Stationary'!F25</f>
        <v>14040.5</v>
      </c>
      <c r="F45" s="446">
        <f>'Scope1A Stationary'!G25</f>
        <v>11272</v>
      </c>
      <c r="G45" s="446">
        <f>'Scope1A Stationary'!H25</f>
        <v>11404.6</v>
      </c>
      <c r="H45" s="446">
        <f>'Scope1A Stationary'!I25</f>
        <v>6488.9</v>
      </c>
      <c r="I45" s="446">
        <f>'Scope1A Stationary'!J25</f>
        <v>7272</v>
      </c>
      <c r="J45" s="446">
        <f>'Scope1A Stationary'!K25</f>
        <v>7031.8</v>
      </c>
      <c r="K45" s="446">
        <f>'Scope1A Stationary'!L25</f>
        <v>2169.3000000000002</v>
      </c>
      <c r="L45" s="446">
        <f>'Scope1A Stationary'!M25</f>
        <v>1879.6</v>
      </c>
      <c r="M45" s="446">
        <f>'Scope1A Stationary'!N25</f>
        <v>422.8</v>
      </c>
      <c r="N45" s="446">
        <f>'Scope1A Stationary'!O25</f>
        <v>0</v>
      </c>
    </row>
    <row r="46" spans="1:15">
      <c r="A46" s="171" t="s">
        <v>108</v>
      </c>
      <c r="B46" s="445">
        <f>'Scope1A Stationary'!C41</f>
        <v>2003.4</v>
      </c>
      <c r="C46" s="445">
        <f>'Scope1A Stationary'!D41</f>
        <v>1843.6</v>
      </c>
      <c r="D46" s="445">
        <f>'Scope1A Stationary'!E41</f>
        <v>1813.3</v>
      </c>
      <c r="E46" s="445">
        <f>'Scope1A Stationary'!F41</f>
        <v>1538.1</v>
      </c>
      <c r="F46" s="445">
        <f>'Scope1A Stationary'!G41</f>
        <v>1922.7</v>
      </c>
      <c r="G46" s="445">
        <f>'Scope1A Stationary'!H41</f>
        <v>1625.3</v>
      </c>
      <c r="H46" s="445">
        <f>'Scope1A Stationary'!I41</f>
        <v>1895.6</v>
      </c>
      <c r="I46" s="445">
        <f>'Scope1A Stationary'!J41</f>
        <v>1942.4</v>
      </c>
      <c r="J46" s="445">
        <f>'Scope1A Stationary'!K41</f>
        <v>1908.3</v>
      </c>
      <c r="K46" s="445">
        <f>'Scope1A Stationary'!L41</f>
        <v>1992.7</v>
      </c>
      <c r="L46" s="445">
        <f>'Scope1A Stationary'!M41</f>
        <v>1899.7</v>
      </c>
      <c r="M46" s="445">
        <f>'Scope1A Stationary'!N41</f>
        <v>1928.7</v>
      </c>
      <c r="N46" s="445">
        <f>'Scope1A Stationary'!O41</f>
        <v>1688.3</v>
      </c>
    </row>
    <row r="47" spans="1:15" ht="12.75" customHeight="1">
      <c r="A47" s="29" t="s">
        <v>109</v>
      </c>
      <c r="B47" s="445">
        <f>'Scope1A Stationary'!C53</f>
        <v>711.86687999999992</v>
      </c>
      <c r="C47" s="445">
        <f>'Scope1A Stationary'!D53</f>
        <v>655.21048000000008</v>
      </c>
      <c r="D47" s="445">
        <f>'Scope1A Stationary'!E53</f>
        <v>643.23524000000009</v>
      </c>
      <c r="E47" s="445">
        <f>'Scope1A Stationary'!F53</f>
        <v>591.41052000000013</v>
      </c>
      <c r="F47" s="445">
        <f>'Scope1A Stationary'!G53</f>
        <v>652.89859999999999</v>
      </c>
      <c r="G47" s="445">
        <f>'Scope1A Stationary'!H53</f>
        <v>659.33820000000003</v>
      </c>
      <c r="H47" s="445">
        <f>'Scope1A Stationary'!I53</f>
        <v>611.03327999999999</v>
      </c>
      <c r="I47" s="445">
        <f>'Scope1A Stationary'!J53</f>
        <v>379.98392000000001</v>
      </c>
      <c r="J47" s="445">
        <f>'Scope1A Stationary'!K53</f>
        <v>463.10663999999997</v>
      </c>
      <c r="K47" s="445">
        <f>'Scope1A Stationary'!L53</f>
        <v>412.78983999999997</v>
      </c>
      <c r="L47" s="445">
        <f>'Scope1A Stationary'!M53</f>
        <v>598.95803999999998</v>
      </c>
      <c r="M47" s="445">
        <f>'Scope1A Stationary'!N53</f>
        <v>508.59176000000002</v>
      </c>
      <c r="N47" s="445">
        <f>'Scope1A Stationary'!O53</f>
        <v>530.93036000000006</v>
      </c>
    </row>
    <row r="48" spans="1:15" ht="12.75" customHeight="1">
      <c r="A48" s="29" t="s">
        <v>1208</v>
      </c>
      <c r="B48" s="445"/>
      <c r="C48" s="445"/>
      <c r="D48" s="445"/>
      <c r="E48" s="445"/>
      <c r="F48" s="445"/>
      <c r="G48" s="445"/>
      <c r="H48" s="445"/>
      <c r="I48" s="445"/>
      <c r="J48" s="445"/>
      <c r="K48" s="445">
        <f>'Scope1A Stationary'!L65</f>
        <v>3763.44715</v>
      </c>
      <c r="L48" s="445">
        <f>'Scope1A Stationary'!M65</f>
        <v>3018.28406</v>
      </c>
      <c r="M48" s="445">
        <f>'Scope1A Stationary'!N65</f>
        <v>4391.8621800000001</v>
      </c>
      <c r="N48" s="445">
        <f>'Scope1A Stationary'!O65</f>
        <v>5068.1817300000002</v>
      </c>
    </row>
    <row r="49" spans="1:19" ht="12.75" customHeight="1">
      <c r="A49" s="29" t="s">
        <v>294</v>
      </c>
      <c r="B49" s="445">
        <f>'Scope1B  Mobile'!B28</f>
        <v>242.9</v>
      </c>
      <c r="C49" s="445">
        <f>'Scope1B  Mobile'!C28</f>
        <v>253.7</v>
      </c>
      <c r="D49" s="445">
        <f>'Scope1B  Mobile'!D28</f>
        <v>241.9</v>
      </c>
      <c r="E49" s="445">
        <f>'Scope1B  Mobile'!E28</f>
        <v>202.2</v>
      </c>
      <c r="F49" s="445">
        <f>'Scope1B  Mobile'!F28</f>
        <v>229.6</v>
      </c>
      <c r="G49" s="445">
        <f>'Scope1B  Mobile'!G28</f>
        <v>215.8</v>
      </c>
      <c r="H49" s="445">
        <f>'Scope1B  Mobile'!H28</f>
        <v>240.2</v>
      </c>
      <c r="I49" s="445">
        <f>'Scope1B  Mobile'!I28</f>
        <v>266.8</v>
      </c>
      <c r="J49" s="445">
        <f>'Scope1B  Mobile'!J28</f>
        <v>263.7</v>
      </c>
      <c r="K49" s="445">
        <f>'Scope1B  Mobile'!K28</f>
        <v>245</v>
      </c>
      <c r="L49" s="445">
        <f>'Scope1B  Mobile'!L28</f>
        <v>237.9</v>
      </c>
      <c r="M49" s="445">
        <f>'Scope1B  Mobile'!M28</f>
        <v>228.4</v>
      </c>
      <c r="N49" s="445">
        <f>'Scope1B  Mobile'!N28</f>
        <v>205</v>
      </c>
    </row>
    <row r="50" spans="1:19" ht="12.75" customHeight="1">
      <c r="A50" s="29" t="s">
        <v>295</v>
      </c>
      <c r="B50" s="445">
        <f>'Scope1B  Mobile'!B45</f>
        <v>123.2</v>
      </c>
      <c r="C50" s="445">
        <f>'Scope1B  Mobile'!C45</f>
        <v>138.80000000000001</v>
      </c>
      <c r="D50" s="445">
        <f>'Scope1B  Mobile'!D45</f>
        <v>184.7</v>
      </c>
      <c r="E50" s="445">
        <f>'Scope1B  Mobile'!E45</f>
        <v>136.19999999999999</v>
      </c>
      <c r="F50" s="445">
        <f>'Scope1B  Mobile'!F45</f>
        <v>181.1</v>
      </c>
      <c r="G50" s="445">
        <f>'Scope1B  Mobile'!G45</f>
        <v>141.30000000000001</v>
      </c>
      <c r="H50" s="445">
        <f>'Scope1B  Mobile'!H45</f>
        <v>129.9</v>
      </c>
      <c r="I50" s="445">
        <f>'Scope1B  Mobile'!I45</f>
        <v>131.4</v>
      </c>
      <c r="J50" s="445">
        <f>'Scope1B  Mobile'!J45</f>
        <v>136.1</v>
      </c>
      <c r="K50" s="445">
        <f>'Scope1B  Mobile'!K45</f>
        <v>96.9</v>
      </c>
      <c r="L50" s="445">
        <f>'Scope1B  Mobile'!L45</f>
        <v>106.5</v>
      </c>
      <c r="M50" s="445">
        <f>'Scope1B  Mobile'!M45</f>
        <v>108.1</v>
      </c>
      <c r="N50" s="445">
        <f>'Scope1B  Mobile'!N45</f>
        <v>104.4</v>
      </c>
    </row>
    <row r="51" spans="1:19" ht="12.75" customHeight="1">
      <c r="A51" s="29" t="s">
        <v>50</v>
      </c>
      <c r="B51" s="445">
        <f>'Scope2 Electricity'!B167</f>
        <v>634.80000000000007</v>
      </c>
      <c r="C51" s="445">
        <f>'Scope2 Electricity'!C167</f>
        <v>980.30000000000007</v>
      </c>
      <c r="D51" s="445">
        <f>'Scope2 Electricity'!D167</f>
        <v>904.6</v>
      </c>
      <c r="E51" s="445">
        <f>'Scope2 Electricity'!E167</f>
        <v>177.20000000000002</v>
      </c>
      <c r="F51" s="445">
        <f>'Scope2 Electricity'!F167</f>
        <v>510.59999999999997</v>
      </c>
      <c r="G51" s="445">
        <f>'Scope2 Electricity'!G167</f>
        <v>436.20000000000005</v>
      </c>
      <c r="H51" s="445">
        <f>'Scope2 Electricity'!H167</f>
        <v>858.9</v>
      </c>
      <c r="I51" s="445">
        <f>'Scope2 Electricity'!I167</f>
        <v>891.6</v>
      </c>
      <c r="J51" s="445">
        <f>'Scope2 Electricity'!J167</f>
        <v>1261.4000000000001</v>
      </c>
      <c r="K51" s="445">
        <f>'Scope2 Electricity'!K167</f>
        <v>1356.7</v>
      </c>
      <c r="L51" s="445">
        <f>'Scope2 Electricity'!L167</f>
        <v>1619.1999999999998</v>
      </c>
      <c r="M51" s="445">
        <f>'Scope2 Electricity'!M167</f>
        <v>1090.5</v>
      </c>
      <c r="N51" s="445">
        <f>'Scope2 Electricity'!N167</f>
        <v>469.29999999999995</v>
      </c>
    </row>
    <row r="52" spans="1:19" ht="12.75" customHeight="1">
      <c r="A52" s="29" t="s">
        <v>51</v>
      </c>
      <c r="B52" s="445">
        <f>'Scope3 Travel'!B13</f>
        <v>1688.6999999999998</v>
      </c>
      <c r="C52" s="445">
        <f>'Scope3 Travel'!C13</f>
        <v>1937.2</v>
      </c>
      <c r="D52" s="445">
        <f>'Scope3 Travel'!D13</f>
        <v>1667.2</v>
      </c>
      <c r="E52" s="445">
        <f>'Scope3 Travel'!E13</f>
        <v>1820.3</v>
      </c>
      <c r="F52" s="445">
        <f>'Scope3 Travel'!F13</f>
        <v>2366.7000000000003</v>
      </c>
      <c r="G52" s="445">
        <f>'Scope3 Travel'!G13</f>
        <v>2671.6000000000004</v>
      </c>
      <c r="H52" s="445">
        <f>'Scope3 Travel'!H13</f>
        <v>3014.2999999999997</v>
      </c>
      <c r="I52" s="445">
        <f>'Scope3 Travel'!I13</f>
        <v>3693.8999999999996</v>
      </c>
      <c r="J52" s="445">
        <f>'Scope3 Travel'!K13</f>
        <v>3466.9</v>
      </c>
      <c r="K52" s="445">
        <f>'Scope3 Travel'!L13</f>
        <v>3294.5</v>
      </c>
      <c r="L52" s="445">
        <f>'Scope3 Travel'!M13</f>
        <v>3872.3</v>
      </c>
      <c r="M52" s="445">
        <f>'Scope3 Travel'!N13</f>
        <v>3888.4</v>
      </c>
      <c r="N52" s="445">
        <f>'Scope3 Travel'!O13</f>
        <v>4074.9</v>
      </c>
    </row>
    <row r="53" spans="1:19" ht="12.75" customHeight="1">
      <c r="A53" s="29" t="s">
        <v>107</v>
      </c>
      <c r="B53" s="445">
        <f>'Scope3 Landfill Methane'!B38</f>
        <v>137.27043548902842</v>
      </c>
      <c r="C53" s="445">
        <f>'Scope3 Landfill Methane'!C38</f>
        <v>284.67057534634006</v>
      </c>
      <c r="D53" s="446">
        <f>'Scope3 Landfill Methane'!D38</f>
        <v>199.17484639324874</v>
      </c>
      <c r="E53" s="446">
        <f>'Scope3 Landfill Methane'!E38</f>
        <v>149.26323548733001</v>
      </c>
      <c r="F53" s="446">
        <f>'Scope3 Landfill Methane'!F38</f>
        <v>204.49528488410624</v>
      </c>
      <c r="G53" s="446">
        <f>'Scope3 Landfill Methane'!G38</f>
        <v>183.17696987528103</v>
      </c>
      <c r="H53" s="446">
        <f>'Scope3 Landfill Methane'!H38</f>
        <v>152.86959774007164</v>
      </c>
      <c r="I53" s="446">
        <f>'Scope3 Landfill Methane'!I38</f>
        <v>141.59876575006246</v>
      </c>
      <c r="J53" s="446">
        <f>'Scope3 Landfill Methane'!J38</f>
        <v>155.24167008708687</v>
      </c>
      <c r="K53" s="446">
        <f>'Scope3 Landfill Methane'!K38</f>
        <v>134.59068730130716</v>
      </c>
      <c r="L53" s="446">
        <f>'Scope3 Landfill Methane'!L38</f>
        <v>137.70228808592125</v>
      </c>
      <c r="M53" s="446">
        <f>'Scope3 Landfill Methane'!M38</f>
        <v>139.70808455582386</v>
      </c>
      <c r="N53" s="446">
        <f>'Scope3 Landfill Methane'!N38</f>
        <v>118.98035825293483</v>
      </c>
    </row>
    <row r="54" spans="1:19" ht="12.75" customHeight="1">
      <c r="A54" s="29" t="s">
        <v>54</v>
      </c>
      <c r="B54" s="445">
        <f>EmployeeCommute!B7</f>
        <v>4050.3</v>
      </c>
      <c r="C54" s="445">
        <f>EmployeeCommute!C7</f>
        <v>2331.8000000000002</v>
      </c>
      <c r="D54" s="446">
        <f>EmployeeCommute!D7</f>
        <v>3374.4</v>
      </c>
      <c r="E54" s="446">
        <f>EmployeeCommuteRevised!B32</f>
        <v>1526.2</v>
      </c>
      <c r="F54" s="446">
        <f>EmployeeCommuteRevised!C32</f>
        <v>1282</v>
      </c>
      <c r="G54" s="446">
        <f>EmployeeCommuteRevised!D32</f>
        <v>0</v>
      </c>
      <c r="H54" s="446">
        <f>EmployeeCommuteRevised!E32</f>
        <v>0</v>
      </c>
      <c r="I54" s="446">
        <f>EmployeeCommuteRevised!F32</f>
        <v>0</v>
      </c>
      <c r="J54" s="446">
        <f>EmployeeCommuteRevised!G32</f>
        <v>0</v>
      </c>
      <c r="K54" s="446">
        <f>EmployeeCommuteRevised!H32</f>
        <v>0</v>
      </c>
      <c r="L54" s="446">
        <f>EmployeeCommuteRevised!I32</f>
        <v>0</v>
      </c>
      <c r="M54" s="446">
        <f>EmployeeCommuteRevised!J32</f>
        <v>0</v>
      </c>
      <c r="N54" s="446">
        <f>EmployeeCommuteRevised!K32</f>
        <v>0</v>
      </c>
    </row>
    <row r="55" spans="1:19" ht="12.75" customHeight="1">
      <c r="A55" s="29" t="s">
        <v>817</v>
      </c>
      <c r="B55" s="447">
        <f>Offsets!B11</f>
        <v>864.59</v>
      </c>
      <c r="C55" s="447">
        <f>Offsets!C11</f>
        <v>595.12</v>
      </c>
      <c r="D55" s="448">
        <f>Offsets!D11</f>
        <v>660.09</v>
      </c>
      <c r="E55" s="448">
        <f>Offsets!E11</f>
        <v>539.6</v>
      </c>
      <c r="F55" s="448">
        <f>Offsets!F11</f>
        <v>551.48</v>
      </c>
      <c r="G55" s="448">
        <f>Offsets!G11</f>
        <v>551.37</v>
      </c>
      <c r="H55" s="448">
        <f>Offsets!H11</f>
        <v>551.20000000000005</v>
      </c>
      <c r="I55" s="448">
        <f>Offsets!I11</f>
        <v>644.57000000000005</v>
      </c>
      <c r="J55" s="448">
        <f>Offsets!J11</f>
        <v>645.88</v>
      </c>
      <c r="K55" s="448">
        <f>Offsets!K9+Offsets!K10</f>
        <v>13645.88</v>
      </c>
      <c r="L55" s="448">
        <f>Offsets!L9+Offsets!L10</f>
        <v>633</v>
      </c>
      <c r="M55" s="448">
        <v>633</v>
      </c>
      <c r="N55" s="448">
        <v>633</v>
      </c>
    </row>
    <row r="56" spans="1:19" ht="12.75" customHeight="1">
      <c r="A56" s="475" t="s">
        <v>296</v>
      </c>
      <c r="B56" s="547">
        <f t="shared" ref="B56:G56" si="35">(SUM(B45:B53))-B55</f>
        <v>28553.947315489037</v>
      </c>
      <c r="C56" s="547">
        <f t="shared" si="35"/>
        <v>30643.66105534634</v>
      </c>
      <c r="D56" s="547">
        <f t="shared" si="35"/>
        <v>27359.62008639325</v>
      </c>
      <c r="E56" s="547">
        <f t="shared" si="35"/>
        <v>18115.573755487334</v>
      </c>
      <c r="F56" s="547">
        <f t="shared" si="35"/>
        <v>16788.613884884107</v>
      </c>
      <c r="G56" s="547">
        <f t="shared" si="35"/>
        <v>16785.945169875282</v>
      </c>
      <c r="H56" s="547">
        <f t="shared" ref="H56:M56" si="36">(SUM(H45:H53))-H55</f>
        <v>12840.502877740069</v>
      </c>
      <c r="I56" s="547">
        <f t="shared" si="36"/>
        <v>14075.112685750062</v>
      </c>
      <c r="J56" s="547">
        <f t="shared" si="36"/>
        <v>14040.668310087089</v>
      </c>
      <c r="K56" s="547">
        <f t="shared" si="36"/>
        <v>-179.95232269869121</v>
      </c>
      <c r="L56" s="547">
        <f t="shared" si="36"/>
        <v>12737.144388085921</v>
      </c>
      <c r="M56" s="547">
        <f t="shared" si="36"/>
        <v>12074.062024555822</v>
      </c>
      <c r="N56" s="547">
        <f>(SUM(N45:N53))-N55</f>
        <v>11626.992448252935</v>
      </c>
      <c r="S56" t="s">
        <v>1217</v>
      </c>
    </row>
    <row r="57" spans="1:19" ht="12.75" customHeight="1">
      <c r="A57" s="155" t="s">
        <v>443</v>
      </c>
      <c r="B57" s="2"/>
      <c r="C57" s="2"/>
    </row>
    <row r="58" spans="1:19" ht="12.75" customHeight="1">
      <c r="A58" s="29" t="s">
        <v>483</v>
      </c>
      <c r="B58" s="178">
        <f t="shared" ref="B58:G58" si="37">B45/(SUM(B$45:B$53))</f>
        <v>0.81161071143496089</v>
      </c>
      <c r="C58" s="178">
        <f t="shared" si="37"/>
        <v>0.80493857796338453</v>
      </c>
      <c r="D58" s="178">
        <f t="shared" si="37"/>
        <v>0.79820954360484397</v>
      </c>
      <c r="E58" s="178">
        <f t="shared" si="37"/>
        <v>0.75263303274621352</v>
      </c>
      <c r="F58" s="178">
        <f t="shared" si="37"/>
        <v>0.65005415050411863</v>
      </c>
      <c r="G58" s="178">
        <f t="shared" si="37"/>
        <v>0.65780658009933624</v>
      </c>
      <c r="H58" s="178">
        <f t="shared" ref="H58:K60" si="38">H45/(SUM(H$45:H$53))</f>
        <v>0.48454629401806443</v>
      </c>
      <c r="I58" s="178">
        <f t="shared" si="38"/>
        <v>0.49403238882587674</v>
      </c>
      <c r="J58" s="178">
        <f t="shared" si="38"/>
        <v>0.47879187481856333</v>
      </c>
      <c r="K58" s="178">
        <f t="shared" si="38"/>
        <v>0.16109547384965217</v>
      </c>
      <c r="L58" s="178">
        <f t="shared" ref="L58:M66" si="39">L45/(SUM(L$45:L$53))</f>
        <v>0.14058187746086748</v>
      </c>
      <c r="M58" s="178">
        <f t="shared" si="39"/>
        <v>3.3272836725197229E-2</v>
      </c>
      <c r="N58" s="178">
        <f t="shared" ref="N58:N66" si="40">N45/(SUM(N$45:N$53))</f>
        <v>0</v>
      </c>
    </row>
    <row r="59" spans="1:19" ht="12.75" customHeight="1">
      <c r="A59" s="171" t="s">
        <v>108</v>
      </c>
      <c r="B59" s="178">
        <f t="shared" ref="B59:G60" si="41">B46/(SUM(B$45:B$53))</f>
        <v>6.8099918718433294E-2</v>
      </c>
      <c r="C59" s="178">
        <f t="shared" si="41"/>
        <v>5.9016387250631158E-2</v>
      </c>
      <c r="D59" s="178">
        <f t="shared" si="41"/>
        <v>6.4715159236446315E-2</v>
      </c>
      <c r="E59" s="178">
        <f t="shared" si="41"/>
        <v>8.2448977434347134E-2</v>
      </c>
      <c r="F59" s="178">
        <f t="shared" si="41"/>
        <v>0.11088175258820696</v>
      </c>
      <c r="G59" s="178">
        <f t="shared" si="41"/>
        <v>9.3745772287975995E-2</v>
      </c>
      <c r="H59" s="178">
        <f t="shared" si="38"/>
        <v>0.14155033286699487</v>
      </c>
      <c r="I59" s="178">
        <f t="shared" si="38"/>
        <v>0.1319593663442496</v>
      </c>
      <c r="J59" s="178">
        <f t="shared" si="38"/>
        <v>0.12993522778182889</v>
      </c>
      <c r="K59" s="178">
        <f t="shared" si="38"/>
        <v>0.14798089279500384</v>
      </c>
      <c r="L59" s="178">
        <f t="shared" si="39"/>
        <v>0.14208522696978612</v>
      </c>
      <c r="M59" s="178">
        <f t="shared" si="39"/>
        <v>0.15178174122963078</v>
      </c>
      <c r="N59" s="178">
        <f t="shared" si="40"/>
        <v>0.13770807829825255</v>
      </c>
    </row>
    <row r="60" spans="1:19" ht="12.75" customHeight="1">
      <c r="A60" s="29" t="s">
        <v>109</v>
      </c>
      <c r="B60" s="178">
        <f t="shared" si="41"/>
        <v>2.4197901899942448E-2</v>
      </c>
      <c r="C60" s="178">
        <f t="shared" si="41"/>
        <v>2.0974265251872386E-2</v>
      </c>
      <c r="D60" s="178">
        <f t="shared" si="41"/>
        <v>2.2956527316546498E-2</v>
      </c>
      <c r="E60" s="178">
        <f t="shared" si="41"/>
        <v>3.1702225224572861E-2</v>
      </c>
      <c r="F60" s="178">
        <f t="shared" si="41"/>
        <v>3.7652541233882925E-2</v>
      </c>
      <c r="G60" s="178">
        <f t="shared" si="41"/>
        <v>3.803000600379252E-2</v>
      </c>
      <c r="H60" s="178">
        <f t="shared" si="38"/>
        <v>4.5627750673565982E-2</v>
      </c>
      <c r="I60" s="178">
        <f t="shared" si="38"/>
        <v>2.5814681478688234E-2</v>
      </c>
      <c r="J60" s="178">
        <f t="shared" si="38"/>
        <v>3.1532708041543484E-2</v>
      </c>
      <c r="K60" s="178">
        <f>K47/(SUM(K$45:K$53))</f>
        <v>3.0654393064639327E-2</v>
      </c>
      <c r="L60" s="178">
        <f t="shared" si="39"/>
        <v>4.4798172900341222E-2</v>
      </c>
      <c r="M60" s="178">
        <f t="shared" si="39"/>
        <v>4.0024339144419809E-2</v>
      </c>
      <c r="N60" s="178">
        <f t="shared" si="40"/>
        <v>4.3305928795711317E-2</v>
      </c>
    </row>
    <row r="61" spans="1:19" ht="12.75" customHeight="1">
      <c r="A61" s="29" t="s">
        <v>1209</v>
      </c>
      <c r="B61" s="178"/>
      <c r="C61" s="178"/>
      <c r="D61" s="178"/>
      <c r="E61" s="178"/>
      <c r="F61" s="178"/>
      <c r="G61" s="178"/>
      <c r="H61" s="178"/>
      <c r="I61" s="178"/>
      <c r="J61" s="178"/>
      <c r="K61" s="178">
        <f>K48/(SUM(K$45:K$53))</f>
        <v>0.27947923382536899</v>
      </c>
      <c r="L61" s="178">
        <f t="shared" si="39"/>
        <v>0.22574805270536796</v>
      </c>
      <c r="M61" s="178">
        <f t="shared" si="39"/>
        <v>0.34562373045106143</v>
      </c>
      <c r="N61" s="178">
        <f t="shared" si="40"/>
        <v>0.41339191287366761</v>
      </c>
    </row>
    <row r="62" spans="1:19" ht="12.75" customHeight="1">
      <c r="A62" s="29" t="s">
        <v>294</v>
      </c>
      <c r="B62" s="178">
        <f t="shared" ref="B62:K62" si="42">B49/(SUM(B$45:B$53))</f>
        <v>8.2566987404948822E-3</v>
      </c>
      <c r="C62" s="178">
        <f t="shared" si="42"/>
        <v>8.1213156028884393E-3</v>
      </c>
      <c r="D62" s="178">
        <f t="shared" si="42"/>
        <v>8.633208525503977E-3</v>
      </c>
      <c r="E62" s="178">
        <f t="shared" si="42"/>
        <v>1.0838816226009356E-2</v>
      </c>
      <c r="F62" s="178">
        <f t="shared" si="42"/>
        <v>1.3240989438941237E-2</v>
      </c>
      <c r="G62" s="178">
        <f t="shared" si="42"/>
        <v>1.2447140626189148E-2</v>
      </c>
      <c r="H62" s="178">
        <f t="shared" si="42"/>
        <v>1.7936479191101584E-2</v>
      </c>
      <c r="I62" s="178">
        <f t="shared" si="42"/>
        <v>1.8125390723149604E-2</v>
      </c>
      <c r="J62" s="178">
        <f t="shared" si="42"/>
        <v>1.7955205977083413E-2</v>
      </c>
      <c r="K62" s="178">
        <f t="shared" si="42"/>
        <v>1.8194067714546066E-2</v>
      </c>
      <c r="L62" s="178">
        <f t="shared" si="39"/>
        <v>1.7793375530932312E-2</v>
      </c>
      <c r="M62" s="178">
        <f t="shared" si="39"/>
        <v>1.7974257114557822E-2</v>
      </c>
      <c r="N62" s="178">
        <f t="shared" si="40"/>
        <v>1.6721054345283284E-2</v>
      </c>
    </row>
    <row r="63" spans="1:19" ht="12.75" customHeight="1">
      <c r="A63" s="29" t="s">
        <v>295</v>
      </c>
      <c r="B63" s="178">
        <f t="shared" ref="B63:K63" si="43">B50/(SUM(B$45:B$53))</f>
        <v>4.1878356724123897E-3</v>
      </c>
      <c r="C63" s="178">
        <f t="shared" si="43"/>
        <v>4.4431951347296628E-3</v>
      </c>
      <c r="D63" s="178">
        <f t="shared" si="43"/>
        <v>6.5917884028961742E-3</v>
      </c>
      <c r="E63" s="178">
        <f t="shared" si="43"/>
        <v>7.3009236893297434E-3</v>
      </c>
      <c r="F63" s="178">
        <f t="shared" si="43"/>
        <v>1.044400342940879E-2</v>
      </c>
      <c r="G63" s="178">
        <f t="shared" si="43"/>
        <v>8.1500508363323756E-3</v>
      </c>
      <c r="H63" s="178">
        <f t="shared" si="43"/>
        <v>9.7000359988513585E-3</v>
      </c>
      <c r="I63" s="178">
        <f t="shared" si="43"/>
        <v>8.9268228673982687E-3</v>
      </c>
      <c r="J63" s="178">
        <f t="shared" si="43"/>
        <v>9.2669834413388417E-3</v>
      </c>
      <c r="K63" s="178">
        <f t="shared" si="43"/>
        <v>7.1959394348551581E-3</v>
      </c>
      <c r="L63" s="178">
        <f t="shared" si="39"/>
        <v>7.9655085920314894E-3</v>
      </c>
      <c r="M63" s="178">
        <f t="shared" si="39"/>
        <v>8.5070805345170766E-3</v>
      </c>
      <c r="N63" s="178">
        <f t="shared" si="40"/>
        <v>8.5155027982808541E-3</v>
      </c>
    </row>
    <row r="64" spans="1:19" ht="12.75" customHeight="1">
      <c r="A64" s="29" t="s">
        <v>50</v>
      </c>
      <c r="B64" s="178">
        <f t="shared" ref="B64:K64" si="44">B51/(SUM(B$45:B$53))</f>
        <v>2.1578231208176826E-2</v>
      </c>
      <c r="C64" s="178">
        <f t="shared" si="44"/>
        <v>3.138086592633637E-2</v>
      </c>
      <c r="D64" s="178">
        <f t="shared" si="44"/>
        <v>3.2284416834108716E-2</v>
      </c>
      <c r="E64" s="178">
        <f t="shared" si="44"/>
        <v>9.4987054166610196E-3</v>
      </c>
      <c r="F64" s="178">
        <f t="shared" si="44"/>
        <v>2.9446207349840572E-2</v>
      </c>
      <c r="G64" s="178">
        <f t="shared" si="44"/>
        <v>2.5159604917255361E-2</v>
      </c>
      <c r="H64" s="178">
        <f t="shared" si="44"/>
        <v>6.4136727632128021E-2</v>
      </c>
      <c r="I64" s="178">
        <f t="shared" si="44"/>
        <v>6.057195790389875E-2</v>
      </c>
      <c r="J64" s="178">
        <f t="shared" si="44"/>
        <v>8.5888118390189686E-2</v>
      </c>
      <c r="K64" s="178">
        <f t="shared" si="44"/>
        <v>0.10075057823805977</v>
      </c>
      <c r="L64" s="178">
        <f t="shared" si="39"/>
        <v>0.12110564800204118</v>
      </c>
      <c r="M64" s="178">
        <f t="shared" si="39"/>
        <v>8.5818421118324453E-2</v>
      </c>
      <c r="N64" s="178">
        <f t="shared" si="40"/>
        <v>3.8278979532885095E-2</v>
      </c>
    </row>
    <row r="65" spans="1:21" ht="12.75" customHeight="1">
      <c r="A65" s="29" t="s">
        <v>51</v>
      </c>
      <c r="B65" s="178">
        <f t="shared" ref="B65:K65" si="45">B52/(SUM(B$45:B$53))</f>
        <v>5.7402581980542218E-2</v>
      </c>
      <c r="C65" s="178">
        <f t="shared" si="45"/>
        <v>6.2012662932264422E-2</v>
      </c>
      <c r="D65" s="178">
        <f t="shared" si="45"/>
        <v>5.9500972524680576E-2</v>
      </c>
      <c r="E65" s="178">
        <f t="shared" si="45"/>
        <v>9.7576148250271166E-2</v>
      </c>
      <c r="F65" s="178">
        <f t="shared" si="45"/>
        <v>0.13648715028372052</v>
      </c>
      <c r="G65" s="178">
        <f t="shared" si="45"/>
        <v>0.15409537023599132</v>
      </c>
      <c r="H65" s="178">
        <f t="shared" si="45"/>
        <v>0.2250871324968256</v>
      </c>
      <c r="I65" s="178">
        <f t="shared" si="45"/>
        <v>0.250949703119349</v>
      </c>
      <c r="J65" s="178">
        <f t="shared" si="45"/>
        <v>0.23605955101232648</v>
      </c>
      <c r="K65" s="178">
        <f t="shared" si="45"/>
        <v>0.2446545146349878</v>
      </c>
      <c r="L65" s="178">
        <f t="shared" si="39"/>
        <v>0.2896229006659487</v>
      </c>
      <c r="M65" s="178">
        <f t="shared" si="39"/>
        <v>0.30600307077165778</v>
      </c>
      <c r="N65" s="178">
        <f t="shared" si="40"/>
        <v>0.33237377732485296</v>
      </c>
    </row>
    <row r="66" spans="1:21" ht="12.75" customHeight="1">
      <c r="A66" s="29" t="s">
        <v>107</v>
      </c>
      <c r="B66" s="178">
        <f t="shared" ref="B66:K66" si="46">B53/(SUM(B$45:B$53))</f>
        <v>4.6661203450368248E-3</v>
      </c>
      <c r="C66" s="178">
        <f t="shared" si="46"/>
        <v>9.1127299378930254E-3</v>
      </c>
      <c r="D66" s="178">
        <f t="shared" si="46"/>
        <v>7.1083835549737087E-3</v>
      </c>
      <c r="E66" s="178">
        <f t="shared" si="46"/>
        <v>8.0011710125950947E-3</v>
      </c>
      <c r="F66" s="178">
        <f t="shared" si="46"/>
        <v>1.179320517188036E-2</v>
      </c>
      <c r="G66" s="178">
        <f t="shared" si="46"/>
        <v>1.0565474993127136E-2</v>
      </c>
      <c r="H66" s="178">
        <f t="shared" si="46"/>
        <v>1.1415247122468214E-2</v>
      </c>
      <c r="I66" s="178">
        <f t="shared" si="46"/>
        <v>9.619688737389864E-3</v>
      </c>
      <c r="J66" s="178">
        <f t="shared" si="46"/>
        <v>1.0570330537125801E-2</v>
      </c>
      <c r="K66" s="178">
        <f t="shared" si="46"/>
        <v>9.9949064428868466E-3</v>
      </c>
      <c r="L66" s="178">
        <f t="shared" si="39"/>
        <v>1.0299237172683579E-2</v>
      </c>
      <c r="M66" s="178">
        <f t="shared" si="39"/>
        <v>1.0994522910633813E-2</v>
      </c>
      <c r="N66" s="178">
        <f t="shared" si="40"/>
        <v>9.7047660310663319E-3</v>
      </c>
    </row>
    <row r="67" spans="1:21" ht="12.75" customHeight="1">
      <c r="A67" s="29" t="s">
        <v>54</v>
      </c>
      <c r="B67" s="180" t="s">
        <v>701</v>
      </c>
      <c r="C67" s="2"/>
    </row>
    <row r="68" spans="1:21" ht="15" customHeight="1">
      <c r="A68" s="29" t="s">
        <v>817</v>
      </c>
      <c r="B68" s="179" t="s">
        <v>701</v>
      </c>
      <c r="C68" s="2"/>
    </row>
    <row r="69" spans="1:21" ht="12.75" customHeight="1">
      <c r="A69" s="475" t="s">
        <v>296</v>
      </c>
      <c r="B69" s="549">
        <f t="shared" ref="B69:G69" si="47">SUM(B58:B68)</f>
        <v>0.99999999999999967</v>
      </c>
      <c r="C69" s="549">
        <f t="shared" si="47"/>
        <v>1</v>
      </c>
      <c r="D69" s="549">
        <f t="shared" si="47"/>
        <v>1</v>
      </c>
      <c r="E69" s="549">
        <f t="shared" si="47"/>
        <v>0.99999999999999989</v>
      </c>
      <c r="F69" s="549">
        <f t="shared" si="47"/>
        <v>1</v>
      </c>
      <c r="G69" s="549">
        <f t="shared" si="47"/>
        <v>0.99999999999999989</v>
      </c>
      <c r="H69" s="549">
        <f t="shared" ref="H69:M69" si="48">SUM(H58:H68)</f>
        <v>1</v>
      </c>
      <c r="I69" s="549">
        <f t="shared" si="48"/>
        <v>1.0000000000000002</v>
      </c>
      <c r="J69" s="549">
        <f t="shared" si="48"/>
        <v>0.99999999999999989</v>
      </c>
      <c r="K69" s="549">
        <f t="shared" si="48"/>
        <v>0.99999999999999989</v>
      </c>
      <c r="L69" s="549">
        <f t="shared" si="48"/>
        <v>1</v>
      </c>
      <c r="M69" s="549">
        <f t="shared" si="48"/>
        <v>1.0000000000000002</v>
      </c>
      <c r="N69" s="549">
        <f>SUM(N58:N68)</f>
        <v>0.99999999999999989</v>
      </c>
    </row>
    <row r="70" spans="1:21" ht="12.75" customHeight="1">
      <c r="A70" s="63"/>
      <c r="B70" s="29"/>
      <c r="C70" s="29"/>
      <c r="D70" s="29"/>
      <c r="E70" s="29"/>
      <c r="F70" s="29"/>
      <c r="G70" s="2"/>
      <c r="H70" s="2"/>
      <c r="I70" s="2"/>
      <c r="J70" s="2"/>
      <c r="K70" s="2"/>
      <c r="L70" s="2"/>
      <c r="M70" s="2"/>
      <c r="N70" s="2"/>
    </row>
    <row r="71" spans="1:21" ht="17" customHeight="1">
      <c r="A71" s="835" t="s">
        <v>896</v>
      </c>
      <c r="B71" s="835"/>
      <c r="H71" s="2"/>
      <c r="I71" s="2"/>
      <c r="J71" s="2"/>
      <c r="K71" s="2"/>
      <c r="L71" s="2"/>
      <c r="M71" s="2"/>
      <c r="N71" s="2"/>
    </row>
    <row r="72" spans="1:21">
      <c r="A72" s="10"/>
      <c r="B72" s="6" t="s">
        <v>629</v>
      </c>
      <c r="H72" s="2"/>
      <c r="I72" s="2"/>
      <c r="J72" s="2"/>
      <c r="K72" s="2"/>
      <c r="L72" s="2"/>
      <c r="M72" s="2"/>
      <c r="N72" s="2"/>
    </row>
    <row r="73" spans="1:21">
      <c r="A73" s="155" t="s">
        <v>1032</v>
      </c>
      <c r="B73" s="3" t="s">
        <v>310</v>
      </c>
      <c r="C73" s="678" t="s">
        <v>339</v>
      </c>
      <c r="D73" s="678" t="s">
        <v>731</v>
      </c>
      <c r="E73" s="678" t="s">
        <v>24</v>
      </c>
      <c r="F73" s="678" t="s">
        <v>1005</v>
      </c>
      <c r="G73" s="678" t="s">
        <v>970</v>
      </c>
      <c r="H73" s="678" t="s">
        <v>955</v>
      </c>
      <c r="I73" s="678" t="s">
        <v>1123</v>
      </c>
      <c r="J73" s="678" t="s">
        <v>1154</v>
      </c>
      <c r="K73" s="678" t="s">
        <v>1197</v>
      </c>
      <c r="L73" s="678" t="s">
        <v>1250</v>
      </c>
      <c r="M73" s="678" t="s">
        <v>1266</v>
      </c>
      <c r="N73" s="594" t="s">
        <v>1279</v>
      </c>
    </row>
    <row r="74" spans="1:21">
      <c r="A74" s="6" t="s">
        <v>442</v>
      </c>
      <c r="C74" s="2"/>
    </row>
    <row r="75" spans="1:21" ht="12.75" customHeight="1">
      <c r="A75" s="47" t="s">
        <v>262</v>
      </c>
      <c r="B75" s="17">
        <f>SUM('Scope1A Stationary'!C20, 'Scope1A Stationary'!C36, 'Scope1A Stationary'!C48,'Scope1B  Mobile'!B21,'Scope1B  Mobile'!B38, 'Scope2 Electricity'!B97, 'Scope2 Electricity'!B109, 'Scope2 Electricity'!B121, 'Scope2 Electricity'!B133, 'Scope2 Electricity'!B145,'Scope3 Travel'!B22, 'Scope3 Travel'!B44, 'Scope3 Travel'!B69, 'Scope3 Travel'!B104, 'Scope3 Travel'!B132)</f>
        <v>29124.800000000003</v>
      </c>
      <c r="C75" s="17">
        <f>SUM('Scope1A Stationary'!D20, 'Scope1A Stationary'!D36, 'Scope1A Stationary'!D48,'Scope1B  Mobile'!C21,'Scope1B  Mobile'!C38, 'Scope2 Electricity'!C97, 'Scope2 Electricity'!C109, 'Scope2 Electricity'!C121, 'Scope2 Electricity'!C133, 'Scope2 Electricity'!C145,'Scope3 Travel'!C22, 'Scope3 Travel'!C44, 'Scope3 Travel'!C69, 'Scope3 Travel'!C104, 'Scope3 Travel'!C132)</f>
        <v>30773.199999999997</v>
      </c>
      <c r="D75" s="17">
        <f>SUM('Scope1A Stationary'!E20, 'Scope1A Stationary'!E36, 'Scope1A Stationary'!E48,'Scope1B  Mobile'!D21,'Scope1B  Mobile'!D38, 'Scope2 Electricity'!D97, 'Scope2 Electricity'!D109, 'Scope2 Electricity'!D121, 'Scope2 Electricity'!D133, 'Scope2 Electricity'!D145,'Scope3 Travel'!D22, 'Scope3 Travel'!D44, 'Scope3 Travel'!D69, 'Scope3 Travel'!D104, 'Scope3 Travel'!D132)</f>
        <v>27646.400000000001</v>
      </c>
      <c r="E75" s="17">
        <f>SUM('Scope1A Stationary'!F20, 'Scope1A Stationary'!F36, 'Scope1A Stationary'!F48,'Scope1B  Mobile'!E21,'Scope1B  Mobile'!E38, 'Scope2 Electricity'!E97, 'Scope2 Electricity'!E109, 'Scope2 Electricity'!E121, 'Scope2 Electricity'!E133, 'Scope2 Electricity'!E145,'Scope3 Travel'!E22, 'Scope3 Travel'!E44, 'Scope3 Travel'!E69, 'Scope3 Travel'!E104, 'Scope3 Travel'!E132)</f>
        <v>18372.2</v>
      </c>
      <c r="F75" s="17">
        <f>SUM('Scope1A Stationary'!G20, 'Scope1A Stationary'!G36, 'Scope1A Stationary'!G48,'Scope1B  Mobile'!F21,'Scope1B  Mobile'!F38, 'Scope2 Electricity'!F97, 'Scope2 Electricity'!F109, 'Scope2 Electricity'!F121, 'Scope2 Electricity'!F133, 'Scope2 Electricity'!F145,'Scope3 Travel'!F22, 'Scope3 Travel'!F44, 'Scope3 Travel'!F69, 'Scope3 Travel'!F104, 'Scope3 Travel'!F132)</f>
        <v>16998.7</v>
      </c>
      <c r="G75" s="17">
        <f>SUM('Scope1A Stationary'!H20, 'Scope1A Stationary'!H36, 'Scope1A Stationary'!H48,'Scope1B  Mobile'!G21,'Scope1B  Mobile'!G38, 'Scope2 Electricity'!G97, 'Scope2 Electricity'!G109, 'Scope2 Electricity'!G121, 'Scope2 Electricity'!G133, 'Scope2 Electricity'!G145,'Scope3 Travel'!G22, 'Scope3 Travel'!G44, 'Scope3 Travel'!G69, 'Scope3 Travel'!G104, 'Scope3 Travel'!G132)</f>
        <v>17023.7</v>
      </c>
      <c r="H75" s="17">
        <f>SUM('Scope1A Stationary'!I20, 'Scope1A Stationary'!I36, 'Scope1A Stationary'!I48,'Scope1B  Mobile'!H21,'Scope1B  Mobile'!H38, 'Scope2 Electricity'!H97, 'Scope2 Electricity'!H109, 'Scope2 Electricity'!H121, 'Scope2 Electricity'!H133, 'Scope2 Electricity'!H145,'Scope3 Travel'!H22, 'Scope3 Travel'!H44, 'Scope3 Travel'!H69, 'Scope3 Travel'!H104, 'Scope3 Travel'!H132)</f>
        <v>13122.000000000002</v>
      </c>
      <c r="I75" s="17">
        <f>SUM('Scope1A Stationary'!J20, 'Scope1A Stationary'!J36, 'Scope1A Stationary'!J48,'Scope1B  Mobile'!I21,'Scope1B  Mobile'!I38, 'Scope2 Electricity'!I97, 'Scope2 Electricity'!I109, 'Scope2 Electricity'!I121, 'Scope2 Electricity'!I133, 'Scope2 Electricity'!I145,'Scope3 Travel'!I22, 'Scope3 Travel'!I44, 'Scope3 Travel'!I69, 'Scope3 Travel'!I104, 'Scope3 Travel'!I132)</f>
        <v>14444.100000000002</v>
      </c>
      <c r="J75" s="17">
        <f>SUM('Scope1A Stationary'!K20, 'Scope1A Stationary'!K36, 'Scope1A Stationary'!K48,'Scope1B  Mobile'!J21,'Scope1B  Mobile'!J38, 'Scope2 Electricity'!J97, 'Scope2 Electricity'!J109, 'Scope2 Electricity'!J121, 'Scope2 Electricity'!J133, 'Scope2 Electricity'!J145,'Scope3 Travel'!J22, 'Scope3 Travel'!J44, 'Scope3 Travel'!J69, 'Scope3 Travel'!J104, 'Scope3 Travel'!J132)</f>
        <v>14816.599999999999</v>
      </c>
      <c r="K75" s="17">
        <f>SUM('Scope1A Stationary'!L20, 'Scope1A Stationary'!L36, 'Scope1A Stationary'!L48,'Scope1B  Mobile'!K21,'Scope1B  Mobile'!K38, 'Scope2 Electricity'!K97, 'Scope2 Electricity'!K109, 'Scope2 Electricity'!K121, 'Scope2 Electricity'!K133, 'Scope2 Electricity'!K145,'Scope3 Travel'!K22, 'Scope3 Travel'!K44, 'Scope3 Travel'!K69, 'Scope3 Travel'!K104, 'Scope3 Travel'!K132)</f>
        <v>9826.3999999999978</v>
      </c>
      <c r="L75" s="17">
        <f>SUM('Scope1A Stationary'!M20, 'Scope1A Stationary'!M36, 'Scope1A Stationary'!M48,'Scope1B  Mobile'!L21,'Scope1B  Mobile'!L38, 'Scope2 Electricity'!L97, 'Scope2 Electricity'!L109, 'Scope2 Electricity'!L121, 'Scope2 Electricity'!L133, 'Scope2 Electricity'!L145,'Scope3 Travel'!L22, 'Scope3 Travel'!L44, 'Scope3 Travel'!L69, 'Scope3 Travel'!L104, 'Scope3 Travel'!L132)</f>
        <v>9483.2000000000007</v>
      </c>
      <c r="M75" s="17">
        <f>SUM('Scope1A Stationary'!N20, 'Scope1A Stationary'!N36, 'Scope1A Stationary'!N48,'Scope1B  Mobile'!M21,'Scope1B  Mobile'!M38, 'Scope2 Electricity'!M97, 'Scope2 Electricity'!M109, 'Scope2 Electricity'!M121, 'Scope2 Electricity'!M133, 'Scope2 Electricity'!M145,'Scope3 Travel'!M22, 'Scope3 Travel'!M44, 'Scope3 Travel'!M69, 'Scope3 Travel'!M104, 'Scope3 Travel'!M132)</f>
        <v>8018.9000000000005</v>
      </c>
      <c r="N75" s="17">
        <f>SUM('Scope1A Stationary'!O20, 'Scope1A Stationary'!O36, 'Scope1A Stationary'!O48,'Scope1B  Mobile'!N21,'Scope1B  Mobile'!N38, 'Scope2 Electricity'!O97, 'Scope2 Electricity'!O109, 'Scope2 Electricity'!O121, 'Scope2 Electricity'!O133, 'Scope2 Electricity'!O145,'Scope3 Travel'!N22, 'Scope3 Travel'!N44, 'Scope3 Travel'!N69, 'Scope3 Travel'!N104, 'Scope3 Travel'!N132)</f>
        <v>7543.4000000000005</v>
      </c>
    </row>
    <row r="76" spans="1:21" ht="12.75" customHeight="1">
      <c r="A76" s="47" t="s">
        <v>371</v>
      </c>
      <c r="B76" s="17">
        <f>SUM('Scope1A Stationary'!C22, 'Scope1A Stationary'!C38, 'Scope1A Stationary'!C50, 'Scope1B  Mobile'!B42, 'Scope1B  Mobile'!B25, 'Scope2 Electricity'!B147,'Scope2 Electricity'!B135,'Scope2 Electricity'!B123,'Scope2 Electricity'!B111,'Scope2 Electricity'!B99, 'Scope3 Travel'!B26,'Scope3 Travel'!B72, 'Scope3 Travel'!B46,'Scope3 Travel'!B107,'Scope3 Travel'!B135,'Scope3 Landfill Methane'!B38)</f>
        <v>166.33467191701484</v>
      </c>
      <c r="C76" s="17">
        <f>SUM('Scope1A Stationary'!D22, 'Scope1A Stationary'!D38, 'Scope1A Stationary'!D50, 'Scope1B  Mobile'!C42, 'Scope1B  Mobile'!C25, 'Scope2 Electricity'!C147,'Scope2 Electricity'!C135,'Scope2 Electricity'!C123,'Scope2 Electricity'!C111,'Scope2 Electricity'!C99, 'Scope3 Travel'!C26,'Scope3 Travel'!C72, 'Scope3 Travel'!C46,'Scope3 Travel'!C107,'Scope3 Travel'!C135,'Scope3 Landfill Methane'!C38)</f>
        <v>316.69888254510192</v>
      </c>
      <c r="D76" s="17">
        <f>SUM('Scope1A Stationary'!E22, 'Scope1A Stationary'!E38, 'Scope1A Stationary'!E50, 'Scope1B  Mobile'!D42, 'Scope1B  Mobile'!D25, 'Scope2 Electricity'!D147,'Scope2 Electricity'!D135,'Scope2 Electricity'!D123,'Scope2 Electricity'!D111,'Scope2 Electricity'!D99, 'Scope3 Travel'!D26,'Scope3 Travel'!D72, 'Scope3 Travel'!D46,'Scope3 Travel'!D107,'Scope3 Travel'!D135,'Scope3 Landfill Methane'!D38)</f>
        <v>229.56163742429197</v>
      </c>
      <c r="E76" s="17">
        <f>SUM('Scope1A Stationary'!F22, 'Scope1A Stationary'!F38, 'Scope1A Stationary'!F50, 'Scope1B  Mobile'!E42, 'Scope1B  Mobile'!E25, 'Scope2 Electricity'!E147,'Scope2 Electricity'!E135,'Scope2 Electricity'!E123,'Scope2 Electricity'!E111,'Scope2 Electricity'!E99, 'Scope3 Travel'!E26,'Scope3 Travel'!E72, 'Scope3 Travel'!E46,'Scope3 Travel'!E107,'Scope3 Travel'!E135,'Scope3 Landfill Methane'!E38)</f>
        <v>170.21755619326288</v>
      </c>
      <c r="F76" s="17">
        <f>SUM('Scope1A Stationary'!G22, 'Scope1A Stationary'!G38, 'Scope1A Stationary'!G50, 'Scope1B  Mobile'!F42, 'Scope1B  Mobile'!F25, 'Scope2 Electricity'!F147,'Scope2 Electricity'!F135,'Scope2 Electricity'!F123,'Scope2 Electricity'!F111,'Scope2 Electricity'!F99, 'Scope3 Travel'!F26,'Scope3 Travel'!F72, 'Scope3 Travel'!F46,'Scope3 Travel'!F107,'Scope3 Travel'!F135,'Scope3 Landfill Methane'!F38)</f>
        <v>227.41794047530198</v>
      </c>
      <c r="G76" s="17">
        <f>SUM('Scope1A Stationary'!H22, 'Scope1A Stationary'!H38, 'Scope1A Stationary'!H50, 'Scope1B  Mobile'!G42, 'Scope1B  Mobile'!G25, 'Scope2 Electricity'!G147,'Scope2 Electricity'!G135,'Scope2 Electricity'!G123,'Scope2 Electricity'!G111,'Scope2 Electricity'!G99, 'Scope3 Travel'!G26,'Scope3 Travel'!G72, 'Scope3 Travel'!G46,'Scope3 Travel'!G107,'Scope3 Travel'!G135,'Scope3 Landfill Methane'!G38)</f>
        <v>204.46514820682509</v>
      </c>
      <c r="H76" s="17">
        <f>SUM('Scope1A Stationary'!I22, 'Scope1A Stationary'!I38, 'Scope1A Stationary'!I50, 'Scope1B  Mobile'!H42, 'Scope1B  Mobile'!H25, 'Scope2 Electricity'!H147,'Scope2 Electricity'!H135,'Scope2 Electricity'!H123,'Scope2 Electricity'!H111,'Scope2 Electricity'!H99, 'Scope3 Travel'!H26,'Scope3 Travel'!H72, 'Scope3 Travel'!H46,'Scope3 Travel'!H107,'Scope3 Travel'!H135,'Scope3 Landfill Methane'!H38)</f>
        <v>170.58986253972927</v>
      </c>
      <c r="I76" s="17">
        <f>SUM('Scope1A Stationary'!J22, 'Scope1A Stationary'!J38, 'Scope1A Stationary'!J50, 'Scope1B  Mobile'!I42, 'Scope1B  Mobile'!I25, 'Scope2 Electricity'!I147,'Scope2 Electricity'!I135,'Scope2 Electricity'!I123,'Scope2 Electricity'!I111,'Scope2 Electricity'!I99, 'Scope3 Travel'!I26,'Scope3 Travel'!I72, 'Scope3 Travel'!I46,'Scope3 Travel'!I107,'Scope3 Travel'!I135,'Scope3 Landfill Methane'!I38)</f>
        <v>160.28279676062638</v>
      </c>
      <c r="J76" s="17">
        <f>SUM('Scope1A Stationary'!K22, 'Scope1A Stationary'!K38, 'Scope1A Stationary'!K50, 'Scope1B  Mobile'!J42, 'Scope1B  Mobile'!J25, 'Scope2 Electricity'!J147,'Scope2 Electricity'!J135,'Scope2 Electricity'!J123,'Scope2 Electricity'!J111,'Scope2 Electricity'!J99, 'Scope3 Travel'!J26,'Scope3 Travel'!J72, 'Scope3 Travel'!J46,'Scope3 Travel'!J107,'Scope3 Travel'!J135,'Scope3 Landfill Methane'!J38)</f>
        <v>174.41698915223353</v>
      </c>
      <c r="K76" s="17">
        <f>SUM('Scope1A Stationary'!L22, 'Scope1A Stationary'!L38, 'Scope1A Stationary'!L50,'Scope1A Stationary'!L62, 'Scope1B  Mobile'!K42, 'Scope1B  Mobile'!K25, 'Scope2 Electricity'!K147,'Scope2 Electricity'!K135,'Scope2 Electricity'!K123,'Scope2 Electricity'!K111,'Scope2 Electricity'!K99, 'Scope3 Travel'!K26,'Scope3 Travel'!K72, 'Scope3 Travel'!K46,'Scope3 Travel'!K107,'Scope3 Travel'!K135,'Scope3 Landfill Methane'!K38)</f>
        <v>153.86843893769461</v>
      </c>
      <c r="L76" s="17">
        <f>SUM('Scope1A Stationary'!M22, 'Scope1A Stationary'!M38, 'Scope1A Stationary'!M50,'Scope1A Stationary'!M62, 'Scope1B  Mobile'!L42, 'Scope1B  Mobile'!L25, 'Scope2 Electricity'!L147,'Scope2 Electricity'!L135,'Scope2 Electricity'!L123,'Scope2 Electricity'!L111,'Scope2 Electricity'!L99, 'Scope3 Travel'!L26,'Scope3 Travel'!L72, 'Scope3 Travel'!L46,'Scope3 Travel'!L107,'Scope3 Travel'!L135,'Scope3 Landfill Methane'!L38)</f>
        <v>161.24034635807968</v>
      </c>
      <c r="M76" s="17">
        <f>SUM('Scope1A Stationary'!N22, 'Scope1A Stationary'!N38, 'Scope1A Stationary'!N50,'Scope1A Stationary'!N62, 'Scope1B  Mobile'!M42, 'Scope1B  Mobile'!M25, 'Scope2 Electricity'!M147,'Scope2 Electricity'!M135,'Scope2 Electricity'!M123,'Scope2 Electricity'!M111,'Scope2 Electricity'!M99, 'Scope3 Travel'!M26,'Scope3 Travel'!M72, 'Scope3 Travel'!M46,'Scope3 Travel'!M107,'Scope3 Travel'!M135,'Scope3 Landfill Methane'!M38)</f>
        <v>159.28890304232692</v>
      </c>
      <c r="N76" s="17">
        <f>SUM('Scope1A Stationary'!O22, 'Scope1A Stationary'!O38, 'Scope1A Stationary'!O50,'Scope1A Stationary'!O62, 'Scope1B  Mobile'!N42, 'Scope1B  Mobile'!N25, 'Scope2 Electricity'!O147,'Scope2 Electricity'!O135,'Scope2 Electricity'!O123,'Scope2 Electricity'!O111,'Scope2 Electricity'!O99, 'Scope3 Travel'!N26,'Scope3 Travel'!N72, 'Scope3 Travel'!N46,'Scope3 Travel'!N107,'Scope3 Travel'!N135,'Scope3 Landfill Methane'!N38)</f>
        <v>136.72820706773066</v>
      </c>
    </row>
    <row r="77" spans="1:21" ht="15">
      <c r="A77" s="47" t="s">
        <v>477</v>
      </c>
      <c r="B77" s="17">
        <f>SUM('Scope1B  Mobile'!B27, 'Scope1B  Mobile'!B44, 'Scope1A Stationary'!C52,'Scope1A Stationary'!C40,'Scope1A Stationary'!C24, 'Scope2 Electricity'!B101,'Scope2 Electricity'!B113,'Scope2 Electricity'!B125,'Scope2 Electricity'!B137,'Scope2 Electricity'!B149, 'Scope3 Travel'!B28,'Scope3 Travel'!B74,'Scope3 Travel'!B48,'Scope3 Travel'!B109,'Scope3 Travel'!B137)</f>
        <v>127.39656378072345</v>
      </c>
      <c r="C77" s="17">
        <f>SUM('Scope1B  Mobile'!C27, 'Scope1B  Mobile'!C44, 'Scope1A Stationary'!D52,'Scope1A Stationary'!D40,'Scope1A Stationary'!D24, 'Scope2 Electricity'!C101,'Scope2 Electricity'!C113,'Scope2 Electricity'!C125,'Scope2 Electricity'!C137,'Scope2 Electricity'!C149, 'Scope3 Travel'!C28,'Scope3 Travel'!C74,'Scope3 Travel'!C48,'Scope3 Travel'!C109,'Scope3 Travel'!C137)</f>
        <v>149.02165771436546</v>
      </c>
      <c r="D77" s="17">
        <f>SUM('Scope1B  Mobile'!D27, 'Scope1B  Mobile'!D44, 'Scope1A Stationary'!E52,'Scope1A Stationary'!E40,'Scope1A Stationary'!E24, 'Scope2 Electricity'!D101,'Scope2 Electricity'!D113,'Scope2 Electricity'!D125,'Scope2 Electricity'!D137,'Scope2 Electricity'!D149, 'Scope3 Travel'!D28,'Scope3 Travel'!D74,'Scope3 Travel'!D48,'Scope3 Travel'!D109,'Scope3 Travel'!D137)</f>
        <v>143.73559627327379</v>
      </c>
      <c r="E77" s="17">
        <f>SUM('Scope1B  Mobile'!E27, 'Scope1B  Mobile'!E44, 'Scope1A Stationary'!F52,'Scope1A Stationary'!F40,'Scope1A Stationary'!F24, 'Scope2 Electricity'!E101,'Scope2 Electricity'!E113,'Scope2 Electricity'!E125,'Scope2 Electricity'!E137,'Scope2 Electricity'!E149, 'Scope3 Travel'!E28,'Scope3 Travel'!E74,'Scope3 Travel'!E48,'Scope3 Travel'!E109,'Scope3 Travel'!E137)</f>
        <v>112.82785933738847</v>
      </c>
      <c r="F77" s="17">
        <f>SUM('Scope1B  Mobile'!F27, 'Scope1B  Mobile'!F44, 'Scope1A Stationary'!G52,'Scope1A Stationary'!G40,'Scope1A Stationary'!G24, 'Scope2 Electricity'!F101,'Scope2 Electricity'!F113,'Scope2 Electricity'!F125,'Scope2 Electricity'!F137,'Scope2 Electricity'!F149, 'Scope3 Travel'!F28,'Scope3 Travel'!F74,'Scope3 Travel'!F48,'Scope3 Travel'!F109,'Scope3 Travel'!F137)</f>
        <v>113.98400629494799</v>
      </c>
      <c r="G77" s="17">
        <f>SUM('Scope1B  Mobile'!G27, 'Scope1B  Mobile'!G44, 'Scope1A Stationary'!H52,'Scope1A Stationary'!H40,'Scope1A Stationary'!H24, 'Scope2 Electricity'!G101,'Scope2 Electricity'!G113,'Scope2 Electricity'!G125,'Scope2 Electricity'!G137,'Scope2 Electricity'!G149, 'Scope3 Travel'!G28,'Scope3 Travel'!G74,'Scope3 Travel'!G48,'Scope3 Travel'!G109,'Scope3 Travel'!G137)</f>
        <v>109.18751029421841</v>
      </c>
      <c r="H77" s="17">
        <f>SUM('Scope1B  Mobile'!H27, 'Scope1B  Mobile'!H44, 'Scope1A Stationary'!I52,'Scope1A Stationary'!I40,'Scope1A Stationary'!I24, 'Scope2 Electricity'!H101,'Scope2 Electricity'!H113,'Scope2 Electricity'!H125,'Scope2 Electricity'!H137,'Scope2 Electricity'!H149, 'Scope3 Travel'!H28,'Scope3 Travel'!H74,'Scope3 Travel'!H48,'Scope3 Travel'!H109,'Scope3 Travel'!H137)</f>
        <v>99.120134249021817</v>
      </c>
      <c r="I77" s="17">
        <f>SUM('Scope1B  Mobile'!I27, 'Scope1B  Mobile'!I44, 'Scope1A Stationary'!J52,'Scope1A Stationary'!J40,'Scope1A Stationary'!J24, 'Scope2 Electricity'!I101,'Scope2 Electricity'!I113,'Scope2 Electricity'!I125,'Scope2 Electricity'!I137,'Scope2 Electricity'!I149, 'Scope3 Travel'!I28,'Scope3 Travel'!I74,'Scope3 Travel'!I48,'Scope3 Travel'!I109,'Scope3 Travel'!I137)</f>
        <v>115.16311106878064</v>
      </c>
      <c r="J77" s="17">
        <f>SUM('Scope1B  Mobile'!J27, 'Scope1B  Mobile'!J44, 'Scope1A Stationary'!K52,'Scope1A Stationary'!K40,'Scope1A Stationary'!K24, 'Scope2 Electricity'!J101,'Scope2 Electricity'!J113,'Scope2 Electricity'!J125,'Scope2 Electricity'!J137,'Scope2 Electricity'!J149, 'Scope3 Travel'!J28,'Scope3 Travel'!J74,'Scope3 Travel'!J48,'Scope3 Travel'!J109,'Scope3 Travel'!J137)</f>
        <v>115.76363991888803</v>
      </c>
      <c r="K77" s="17">
        <f>SUM('Scope1B  Mobile'!K27, 'Scope1B  Mobile'!K44, 'Scope1A Stationary'!L52,'Scope1A Stationary'!L40,'Scope1A Stationary'!L24,'Scope1A Stationary'!L64, 'Scope2 Electricity'!K101,'Scope2 Electricity'!K113,'Scope2 Electricity'!K125,'Scope2 Electricity'!K137,'Scope2 Electricity'!K149, 'Scope3 Travel'!K28,'Scope3 Travel'!K74,'Scope3 Travel'!K48,'Scope3 Travel'!K109,'Scope3 Travel'!K137)</f>
        <v>143.17708457847542</v>
      </c>
      <c r="L77" s="17">
        <f>SUM('Scope1B  Mobile'!L27, 'Scope1B  Mobile'!L44, 'Scope1A Stationary'!M52,'Scope1A Stationary'!M40,'Scope1A Stationary'!M24,'Scope1A Stationary'!M64, 'Scope2 Electricity'!L101,'Scope2 Electricity'!L113,'Scope2 Electricity'!L125,'Scope2 Electricity'!L137,'Scope2 Electricity'!L149, 'Scope3 Travel'!L28,'Scope3 Travel'!L74,'Scope3 Travel'!L48,'Scope3 Travel'!L109,'Scope3 Travel'!L137)</f>
        <v>148.91518029266064</v>
      </c>
      <c r="M77" s="17">
        <f>SUM('Scope1B  Mobile'!M27, 'Scope1B  Mobile'!M44, 'Scope1A Stationary'!N52,'Scope1A Stationary'!N40,'Scope1A Stationary'!N24,'Scope1A Stationary'!N64, 'Scope2 Electricity'!M101,'Scope2 Electricity'!M113,'Scope2 Electricity'!M125,'Scope2 Electricity'!M137,'Scope2 Electricity'!M149, 'Scope3 Travel'!M28,'Scope3 Travel'!M74,'Scope3 Travel'!M48,'Scope3 Travel'!M109,'Scope3 Travel'!M137)</f>
        <v>148.91239513145763</v>
      </c>
      <c r="N77" s="17">
        <f>SUM('Scope1B  Mobile'!N27, 'Scope1B  Mobile'!N44, 'Scope1A Stationary'!O52,'Scope1A Stationary'!O40,'Scope1A Stationary'!O24,'Scope1A Stationary'!O64, 'Scope2 Electricity'!O101,'Scope2 Electricity'!O113,'Scope2 Electricity'!O125,'Scope2 Electricity'!O137,'Scope2 Electricity'!O149, 'Scope3 Travel'!N28,'Scope3 Travel'!N74,'Scope3 Travel'!N48,'Scope3 Travel'!N109,'Scope3 Travel'!N137)</f>
        <v>147.12454275511195</v>
      </c>
    </row>
    <row r="78" spans="1:21">
      <c r="A78" s="475" t="s">
        <v>296</v>
      </c>
      <c r="B78" s="547">
        <f t="shared" ref="B78:G78" si="49">SUM(B75:B77)</f>
        <v>29418.531235697741</v>
      </c>
      <c r="C78" s="547">
        <f t="shared" si="49"/>
        <v>31238.920540259463</v>
      </c>
      <c r="D78" s="547">
        <f t="shared" si="49"/>
        <v>28019.697233697567</v>
      </c>
      <c r="E78" s="547">
        <f t="shared" si="49"/>
        <v>18655.245415530651</v>
      </c>
      <c r="F78" s="547">
        <f t="shared" si="49"/>
        <v>17340.10194677025</v>
      </c>
      <c r="G78" s="547">
        <f t="shared" si="49"/>
        <v>17337.352658501044</v>
      </c>
      <c r="H78" s="547">
        <f t="shared" ref="H78:M78" si="50">SUM(H75:H77)</f>
        <v>13391.709996788753</v>
      </c>
      <c r="I78" s="547">
        <f t="shared" si="50"/>
        <v>14719.54590782941</v>
      </c>
      <c r="J78" s="547">
        <f t="shared" si="50"/>
        <v>15106.780629071121</v>
      </c>
      <c r="K78" s="547">
        <f t="shared" si="50"/>
        <v>10123.445523516168</v>
      </c>
      <c r="L78" s="547">
        <f t="shared" si="50"/>
        <v>9793.355526650741</v>
      </c>
      <c r="M78" s="547">
        <f t="shared" si="50"/>
        <v>8327.101298173784</v>
      </c>
      <c r="N78" s="547">
        <f>SUM(N75:N77)</f>
        <v>7827.2527498228437</v>
      </c>
    </row>
    <row r="79" spans="1:21">
      <c r="A79" s="155" t="s">
        <v>443</v>
      </c>
      <c r="B79" s="29"/>
      <c r="C79" s="2"/>
    </row>
    <row r="80" spans="1:21" ht="17" customHeight="1">
      <c r="A80" s="47" t="s">
        <v>262</v>
      </c>
      <c r="B80" s="176">
        <f t="shared" ref="B80:G80" si="51">B75/B78</f>
        <v>0.99001543505539424</v>
      </c>
      <c r="C80" s="176">
        <f t="shared" si="51"/>
        <v>0.98509165706736679</v>
      </c>
      <c r="D80" s="176">
        <f t="shared" si="51"/>
        <v>0.98667732807445818</v>
      </c>
      <c r="E80" s="176">
        <f t="shared" si="51"/>
        <v>0.98482756944623129</v>
      </c>
      <c r="F80" s="176">
        <f t="shared" si="51"/>
        <v>0.98031142216935818</v>
      </c>
      <c r="G80" s="176">
        <f t="shared" si="51"/>
        <v>0.98190884936823097</v>
      </c>
      <c r="H80" s="176">
        <f t="shared" ref="H80:M80" si="52">H75/H78</f>
        <v>0.97985992850402026</v>
      </c>
      <c r="I80" s="176">
        <f t="shared" si="52"/>
        <v>0.98128706486231365</v>
      </c>
      <c r="J80" s="176">
        <f t="shared" si="52"/>
        <v>0.98079136540099709</v>
      </c>
      <c r="K80" s="176">
        <f t="shared" si="52"/>
        <v>0.97065766563111833</v>
      </c>
      <c r="L80" s="176">
        <f t="shared" si="52"/>
        <v>0.96833000437830408</v>
      </c>
      <c r="M80" s="176">
        <f t="shared" si="52"/>
        <v>0.96298816513240026</v>
      </c>
      <c r="N80" s="176">
        <f>N75/N78</f>
        <v>0.96373532848683496</v>
      </c>
      <c r="O80" s="37"/>
      <c r="P80" s="37"/>
      <c r="Q80" s="37"/>
      <c r="R80" s="37"/>
      <c r="S80" s="37"/>
      <c r="T80" s="37"/>
      <c r="U80" s="37"/>
    </row>
    <row r="81" spans="1:14" ht="15">
      <c r="A81" s="47" t="s">
        <v>371</v>
      </c>
      <c r="B81" s="176">
        <f t="shared" ref="B81:G81" si="53">B76/B78</f>
        <v>5.6540780565950566E-3</v>
      </c>
      <c r="C81" s="176">
        <f t="shared" si="53"/>
        <v>1.0137958580769562E-2</v>
      </c>
      <c r="D81" s="176">
        <f t="shared" si="53"/>
        <v>8.1928664506842816E-3</v>
      </c>
      <c r="E81" s="176">
        <f t="shared" si="53"/>
        <v>9.12438043037243E-3</v>
      </c>
      <c r="F81" s="176">
        <f t="shared" si="53"/>
        <v>1.3115144373050275E-2</v>
      </c>
      <c r="G81" s="176">
        <f t="shared" si="53"/>
        <v>1.179333155610522E-2</v>
      </c>
      <c r="H81" s="176">
        <f t="shared" ref="H81:M81" si="54">H76/H78</f>
        <v>1.2738467498223575E-2</v>
      </c>
      <c r="I81" s="176">
        <f t="shared" si="54"/>
        <v>1.0889112868310092E-2</v>
      </c>
      <c r="J81" s="176">
        <f t="shared" si="54"/>
        <v>1.1545609447494705E-2</v>
      </c>
      <c r="K81" s="176">
        <f t="shared" si="54"/>
        <v>1.51992163715671E-2</v>
      </c>
      <c r="L81" s="176">
        <f t="shared" si="54"/>
        <v>1.6464259458292406E-2</v>
      </c>
      <c r="M81" s="176">
        <f t="shared" si="54"/>
        <v>1.9128973857596827E-2</v>
      </c>
      <c r="N81" s="176">
        <f>N76/N78</f>
        <v>1.7468224348680356E-2</v>
      </c>
    </row>
    <row r="82" spans="1:14" ht="15">
      <c r="A82" s="47" t="s">
        <v>477</v>
      </c>
      <c r="B82" s="176">
        <f t="shared" ref="B82:G82" si="55">B77/B78</f>
        <v>4.3304868880107402E-3</v>
      </c>
      <c r="C82" s="176">
        <f t="shared" si="55"/>
        <v>4.7703843518636423E-3</v>
      </c>
      <c r="D82" s="176">
        <f t="shared" si="55"/>
        <v>5.1298054748575876E-3</v>
      </c>
      <c r="E82" s="176">
        <f t="shared" si="55"/>
        <v>6.0480501233963029E-3</v>
      </c>
      <c r="F82" s="176">
        <f t="shared" si="55"/>
        <v>6.5734334575915532E-3</v>
      </c>
      <c r="G82" s="176">
        <f t="shared" si="55"/>
        <v>6.2978190756638021E-3</v>
      </c>
      <c r="H82" s="176">
        <f t="shared" ref="H82:M82" si="56">H77/H78</f>
        <v>7.4016039977560892E-3</v>
      </c>
      <c r="I82" s="176">
        <f t="shared" si="56"/>
        <v>7.8238222693761718E-3</v>
      </c>
      <c r="J82" s="176">
        <f t="shared" si="56"/>
        <v>7.6630251515081441E-3</v>
      </c>
      <c r="K82" s="176">
        <f t="shared" si="56"/>
        <v>1.4143117997314597E-2</v>
      </c>
      <c r="L82" s="176">
        <f t="shared" si="56"/>
        <v>1.5205736163403493E-2</v>
      </c>
      <c r="M82" s="176">
        <f t="shared" si="56"/>
        <v>1.7882861010003036E-2</v>
      </c>
      <c r="N82" s="176">
        <f>N77/N78</f>
        <v>1.8796447164484607E-2</v>
      </c>
    </row>
    <row r="83" spans="1:14">
      <c r="A83" s="475" t="s">
        <v>897</v>
      </c>
      <c r="B83" s="550">
        <f t="shared" ref="B83:G83" si="57">SUM(B80:B82)</f>
        <v>1</v>
      </c>
      <c r="C83" s="550">
        <f t="shared" si="57"/>
        <v>1</v>
      </c>
      <c r="D83" s="550">
        <f t="shared" si="57"/>
        <v>1</v>
      </c>
      <c r="E83" s="550">
        <f t="shared" si="57"/>
        <v>1</v>
      </c>
      <c r="F83" s="550">
        <f t="shared" si="57"/>
        <v>1</v>
      </c>
      <c r="G83" s="550">
        <f t="shared" si="57"/>
        <v>1</v>
      </c>
      <c r="H83" s="550">
        <f t="shared" ref="H83:M83" si="58">SUM(H80:H82)</f>
        <v>1</v>
      </c>
      <c r="I83" s="550">
        <f t="shared" si="58"/>
        <v>0.99999999999999989</v>
      </c>
      <c r="J83" s="550">
        <f t="shared" si="58"/>
        <v>1</v>
      </c>
      <c r="K83" s="550">
        <f t="shared" si="58"/>
        <v>1</v>
      </c>
      <c r="L83" s="550">
        <f t="shared" si="58"/>
        <v>1</v>
      </c>
      <c r="M83" s="550">
        <f t="shared" si="58"/>
        <v>1.0000000000000002</v>
      </c>
      <c r="N83" s="550">
        <f>SUM(N80:N82)</f>
        <v>0.99999999999999989</v>
      </c>
    </row>
    <row r="84" spans="1:14">
      <c r="G84" s="181"/>
    </row>
    <row r="85" spans="1:14">
      <c r="G85" s="107"/>
      <c r="H85" s="107"/>
      <c r="I85" s="6"/>
    </row>
  </sheetData>
  <mergeCells count="2">
    <mergeCell ref="A71:B71"/>
    <mergeCell ref="A3:C3"/>
  </mergeCells>
  <phoneticPr fontId="3" type="noConversion"/>
  <pageMargins left="0.5" right="0.5" top="0.5" bottom="0.5" header="0.5" footer="0.5"/>
  <pageSetup orientation="portrait"/>
  <headerFooter alignWithMargins="0"/>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24"/>
  <sheetViews>
    <sheetView zoomScale="125" workbookViewId="0">
      <selection activeCell="N10" sqref="N10"/>
    </sheetView>
  </sheetViews>
  <sheetFormatPr baseColWidth="10" defaultColWidth="8.83203125" defaultRowHeight="13"/>
  <cols>
    <col min="1" max="1" width="18.83203125" customWidth="1"/>
  </cols>
  <sheetData>
    <row r="1" spans="1:14" ht="18">
      <c r="A1" s="836" t="s">
        <v>141</v>
      </c>
      <c r="B1" s="837"/>
      <c r="C1" s="837"/>
      <c r="D1" s="837"/>
      <c r="E1" s="837"/>
      <c r="F1" s="837"/>
      <c r="G1" s="837"/>
      <c r="H1" s="837"/>
      <c r="I1" s="837"/>
    </row>
    <row r="3" spans="1:14" ht="16">
      <c r="A3" s="55" t="s">
        <v>7</v>
      </c>
      <c r="J3" s="128"/>
    </row>
    <row r="4" spans="1:14">
      <c r="B4" s="6"/>
    </row>
    <row r="5" spans="1:14">
      <c r="A5" s="614" t="s">
        <v>8</v>
      </c>
      <c r="B5" s="720" t="s">
        <v>310</v>
      </c>
      <c r="C5" s="720" t="s">
        <v>339</v>
      </c>
      <c r="D5" s="720" t="s">
        <v>731</v>
      </c>
      <c r="E5" s="615" t="s">
        <v>24</v>
      </c>
      <c r="F5" s="615" t="s">
        <v>1005</v>
      </c>
      <c r="G5" s="615" t="s">
        <v>970</v>
      </c>
      <c r="H5" s="615" t="s">
        <v>955</v>
      </c>
      <c r="I5" s="615" t="s">
        <v>1123</v>
      </c>
      <c r="J5" s="615" t="s">
        <v>1154</v>
      </c>
      <c r="K5" s="615" t="s">
        <v>1197</v>
      </c>
      <c r="L5" s="774" t="s">
        <v>1250</v>
      </c>
      <c r="M5" s="774" t="s">
        <v>1266</v>
      </c>
      <c r="N5" s="774" t="s">
        <v>1279</v>
      </c>
    </row>
    <row r="6" spans="1:14">
      <c r="A6" t="s">
        <v>280</v>
      </c>
      <c r="B6" s="5">
        <f>'Scope1A Stationary'!C9</f>
        <v>23876.400000000001</v>
      </c>
      <c r="C6" s="5">
        <f>'Scope1A Stationary'!D9</f>
        <v>25145.3</v>
      </c>
      <c r="D6" s="5">
        <f>'Scope1A Stationary'!E9</f>
        <v>22365.599999999999</v>
      </c>
      <c r="E6" s="5">
        <f>'Scope1A Stationary'!F9</f>
        <v>14040.5</v>
      </c>
      <c r="F6" s="5">
        <f>'Scope1A Stationary'!G9</f>
        <v>11272</v>
      </c>
      <c r="G6" s="5">
        <f>'Scope1A Stationary'!H9</f>
        <v>11404.6</v>
      </c>
      <c r="H6" s="5">
        <f>'Scope1A Stationary'!I9</f>
        <v>6488.9</v>
      </c>
      <c r="I6" s="5">
        <f>'Scope1A Stationary'!J9</f>
        <v>7272</v>
      </c>
      <c r="J6" s="5">
        <f>'Scope1A Stationary'!K9</f>
        <v>7031.8</v>
      </c>
      <c r="K6" s="5">
        <f>'Scope1A Stationary'!L9</f>
        <v>2169.3000000000002</v>
      </c>
      <c r="L6" s="5">
        <f>'Scope1A Stationary'!M9</f>
        <v>1879.6</v>
      </c>
      <c r="M6" s="5">
        <f>'Scope1A Stationary'!N9</f>
        <v>422.8</v>
      </c>
      <c r="N6" s="5">
        <f>'Scope1A Stationary'!O9</f>
        <v>0</v>
      </c>
    </row>
    <row r="7" spans="1:14">
      <c r="A7" t="s">
        <v>752</v>
      </c>
      <c r="B7" s="5">
        <f>'Scope1A Stationary'!C10</f>
        <v>2003.4</v>
      </c>
      <c r="C7" s="5">
        <f>'Scope1A Stationary'!D10</f>
        <v>1843.6</v>
      </c>
      <c r="D7" s="5">
        <f>'Scope1A Stationary'!E10</f>
        <v>1813.3</v>
      </c>
      <c r="E7" s="5">
        <f>'Scope1A Stationary'!F10</f>
        <v>1538.1</v>
      </c>
      <c r="F7" s="5">
        <f>'Scope1A Stationary'!G10</f>
        <v>1922.7</v>
      </c>
      <c r="G7" s="5">
        <f>'Scope1A Stationary'!H10</f>
        <v>1625.3</v>
      </c>
      <c r="H7" s="5">
        <f>'Scope1A Stationary'!I10</f>
        <v>1895.6</v>
      </c>
      <c r="I7" s="5">
        <f>'Scope1A Stationary'!J10</f>
        <v>1942.4</v>
      </c>
      <c r="J7" s="5">
        <f>'Scope1A Stationary'!K10</f>
        <v>1908.3</v>
      </c>
      <c r="K7" s="5">
        <f>'Scope1A Stationary'!L10</f>
        <v>1992.7</v>
      </c>
      <c r="L7" s="5">
        <f>'Scope1A Stationary'!M10</f>
        <v>1899.7</v>
      </c>
      <c r="M7" s="5">
        <f>'Scope1A Stationary'!N10</f>
        <v>1928.7</v>
      </c>
      <c r="N7" s="5">
        <f>'Scope1A Stationary'!O10</f>
        <v>1688.3</v>
      </c>
    </row>
    <row r="8" spans="1:14">
      <c r="A8" t="s">
        <v>412</v>
      </c>
      <c r="B8" s="5">
        <f>'Scope1A Stationary'!C11</f>
        <v>711.86687999999992</v>
      </c>
      <c r="C8" s="5">
        <f>'Scope1A Stationary'!D11</f>
        <v>655.21048000000008</v>
      </c>
      <c r="D8" s="5">
        <f>'Scope1A Stationary'!E11</f>
        <v>643.23524000000009</v>
      </c>
      <c r="E8" s="5">
        <f>'Scope1A Stationary'!F11</f>
        <v>591.41052000000013</v>
      </c>
      <c r="F8" s="5">
        <f>'Scope1A Stationary'!G11</f>
        <v>652.89859999999999</v>
      </c>
      <c r="G8" s="5">
        <f>'Scope1A Stationary'!H11</f>
        <v>659.33820000000003</v>
      </c>
      <c r="H8" s="5">
        <f>'Scope1A Stationary'!I11</f>
        <v>611.03327999999999</v>
      </c>
      <c r="I8" s="5">
        <f>'Scope1A Stationary'!J11</f>
        <v>379.98392000000001</v>
      </c>
      <c r="J8" s="5">
        <f>'Scope1A Stationary'!K11</f>
        <v>463.10663999999997</v>
      </c>
      <c r="K8" s="5">
        <f>'Scope1A Stationary'!L11</f>
        <v>412.78983999999997</v>
      </c>
      <c r="L8" s="5">
        <f>'Scope1A Stationary'!M11</f>
        <v>598.95803999999998</v>
      </c>
      <c r="M8" s="5">
        <f>'Scope1A Stationary'!N11</f>
        <v>508.59176000000002</v>
      </c>
      <c r="N8" s="5">
        <f>'Scope1A Stationary'!O11</f>
        <v>530.93036000000006</v>
      </c>
    </row>
    <row r="9" spans="1:14">
      <c r="A9" t="s">
        <v>330</v>
      </c>
      <c r="B9" s="5"/>
      <c r="C9" s="5"/>
      <c r="D9" s="5"/>
      <c r="E9" s="5"/>
      <c r="F9" s="5"/>
      <c r="G9" s="5"/>
      <c r="H9" s="5"/>
      <c r="I9" s="5"/>
      <c r="J9" s="5"/>
      <c r="K9" s="5">
        <f>'Scope1A Stationary'!L12</f>
        <v>3763.44715</v>
      </c>
      <c r="L9" s="5">
        <f>'Scope1A Stationary'!M12</f>
        <v>3018.28406</v>
      </c>
      <c r="M9" s="5">
        <f>'Scope1A Stationary'!N12</f>
        <v>4391.8621800000001</v>
      </c>
      <c r="N9" s="5">
        <f>'Scope1A Stationary'!O12</f>
        <v>5068.1817300000002</v>
      </c>
    </row>
    <row r="10" spans="1:14">
      <c r="A10" s="475" t="s">
        <v>1</v>
      </c>
      <c r="B10" s="476">
        <f t="shared" ref="B10:G10" si="0">SUM(B6:B8)</f>
        <v>26591.666880000004</v>
      </c>
      <c r="C10" s="476">
        <f t="shared" si="0"/>
        <v>27644.110479999999</v>
      </c>
      <c r="D10" s="476">
        <f t="shared" si="0"/>
        <v>24822.13524</v>
      </c>
      <c r="E10" s="476">
        <f t="shared" si="0"/>
        <v>16170.01052</v>
      </c>
      <c r="F10" s="476">
        <f t="shared" si="0"/>
        <v>13847.598600000001</v>
      </c>
      <c r="G10" s="476">
        <f t="shared" si="0"/>
        <v>13689.2382</v>
      </c>
      <c r="H10" s="476">
        <f>SUM(H6:H8)</f>
        <v>8995.5332799999996</v>
      </c>
      <c r="I10" s="476">
        <f>SUM(I6:I8)</f>
        <v>9594.3839200000002</v>
      </c>
      <c r="J10" s="476">
        <f>SUM(J6:J8)</f>
        <v>9403.2066400000003</v>
      </c>
      <c r="K10" s="476">
        <f>SUM(K6:K9)</f>
        <v>8338.2369900000012</v>
      </c>
      <c r="L10" s="476">
        <f>SUM(L6:L9)</f>
        <v>7396.5421000000006</v>
      </c>
      <c r="M10" s="476">
        <f>SUM(M6:M9)</f>
        <v>7251.9539400000003</v>
      </c>
      <c r="N10" s="476">
        <f>SUM(N6:N9)</f>
        <v>7287.4120899999998</v>
      </c>
    </row>
    <row r="11" spans="1:14">
      <c r="A11" s="227" t="s">
        <v>565</v>
      </c>
      <c r="B11" s="231">
        <f>'Scope1B  Mobile'!B9</f>
        <v>242.9</v>
      </c>
      <c r="C11" s="231">
        <f>'Scope1B  Mobile'!C9</f>
        <v>253.7</v>
      </c>
      <c r="D11" s="231">
        <f>'Scope1B  Mobile'!D9</f>
        <v>241.9</v>
      </c>
      <c r="E11" s="231">
        <f>'Scope1B  Mobile'!E9</f>
        <v>202.2</v>
      </c>
      <c r="F11" s="231">
        <f>'Scope1B  Mobile'!F9</f>
        <v>229.6</v>
      </c>
      <c r="G11" s="231">
        <f>'Scope1B  Mobile'!G9</f>
        <v>215.8</v>
      </c>
      <c r="H11" s="231">
        <f>'Scope1B  Mobile'!H9</f>
        <v>240.2</v>
      </c>
      <c r="I11" s="231">
        <f>'Scope1B  Mobile'!I9</f>
        <v>266.8</v>
      </c>
      <c r="J11" s="231">
        <f>'Scope1B  Mobile'!J9</f>
        <v>263.7</v>
      </c>
      <c r="K11" s="231">
        <f>'Scope1B  Mobile'!K9</f>
        <v>245</v>
      </c>
      <c r="L11" s="231">
        <f>'Scope1B  Mobile'!L9</f>
        <v>237.9</v>
      </c>
      <c r="M11" s="231">
        <f>'Scope1B  Mobile'!M9</f>
        <v>228.4</v>
      </c>
      <c r="N11" s="231">
        <f>'Scope1B  Mobile'!N9</f>
        <v>205</v>
      </c>
    </row>
    <row r="12" spans="1:14">
      <c r="A12" s="227" t="s">
        <v>564</v>
      </c>
      <c r="B12" s="231">
        <f>'Scope1B  Mobile'!B10</f>
        <v>123.2</v>
      </c>
      <c r="C12" s="231">
        <f>'Scope1B  Mobile'!C10</f>
        <v>138.80000000000001</v>
      </c>
      <c r="D12" s="231">
        <f>'Scope1B  Mobile'!D10</f>
        <v>184.7</v>
      </c>
      <c r="E12" s="231">
        <f>'Scope1B  Mobile'!E10</f>
        <v>136.19999999999999</v>
      </c>
      <c r="F12" s="231">
        <f>'Scope1B  Mobile'!F10</f>
        <v>181.1</v>
      </c>
      <c r="G12" s="231">
        <f>'Scope1B  Mobile'!G10</f>
        <v>141.30000000000001</v>
      </c>
      <c r="H12" s="231">
        <f>'Scope1B  Mobile'!H10</f>
        <v>129.9</v>
      </c>
      <c r="I12" s="231">
        <f>'Scope1B  Mobile'!I10</f>
        <v>131.4</v>
      </c>
      <c r="J12" s="231">
        <f>'Scope1B  Mobile'!J10</f>
        <v>136.1</v>
      </c>
      <c r="K12" s="231">
        <f>'Scope1B  Mobile'!K10</f>
        <v>96.9</v>
      </c>
      <c r="L12" s="231">
        <f>'Scope1B  Mobile'!L10</f>
        <v>106.5</v>
      </c>
      <c r="M12" s="231">
        <f>'Scope1B  Mobile'!M10</f>
        <v>108.1</v>
      </c>
      <c r="N12" s="231">
        <f>'Scope1B  Mobile'!N10</f>
        <v>104.4</v>
      </c>
    </row>
    <row r="13" spans="1:14">
      <c r="A13" s="478" t="s">
        <v>2</v>
      </c>
      <c r="B13" s="479">
        <f t="shared" ref="B13:G13" si="1">SUM(B11:B12)</f>
        <v>366.1</v>
      </c>
      <c r="C13" s="479">
        <f t="shared" si="1"/>
        <v>392.5</v>
      </c>
      <c r="D13" s="479">
        <f t="shared" si="1"/>
        <v>426.6</v>
      </c>
      <c r="E13" s="479">
        <f t="shared" si="1"/>
        <v>338.4</v>
      </c>
      <c r="F13" s="479">
        <f t="shared" si="1"/>
        <v>410.7</v>
      </c>
      <c r="G13" s="479">
        <f t="shared" si="1"/>
        <v>357.1</v>
      </c>
      <c r="H13" s="479">
        <f t="shared" ref="H13:M13" si="2">SUM(H11:H12)</f>
        <v>370.1</v>
      </c>
      <c r="I13" s="479">
        <f t="shared" si="2"/>
        <v>398.20000000000005</v>
      </c>
      <c r="J13" s="479">
        <f t="shared" si="2"/>
        <v>399.79999999999995</v>
      </c>
      <c r="K13" s="479">
        <f t="shared" si="2"/>
        <v>341.9</v>
      </c>
      <c r="L13" s="479">
        <f t="shared" si="2"/>
        <v>344.4</v>
      </c>
      <c r="M13" s="479">
        <f t="shared" si="2"/>
        <v>336.5</v>
      </c>
      <c r="N13" s="479">
        <f>SUM(N11:N12)</f>
        <v>309.39999999999998</v>
      </c>
    </row>
    <row r="14" spans="1:14">
      <c r="A14" s="545"/>
      <c r="B14" s="546"/>
      <c r="C14" s="546"/>
      <c r="D14" s="546"/>
      <c r="E14" s="546"/>
      <c r="F14" s="546"/>
      <c r="G14" s="546"/>
      <c r="H14" s="546"/>
      <c r="I14" s="546"/>
      <c r="J14" s="546"/>
      <c r="K14" s="546"/>
      <c r="L14" s="546"/>
      <c r="M14" s="546"/>
      <c r="N14" s="546"/>
    </row>
    <row r="15" spans="1:14">
      <c r="A15" s="478" t="s">
        <v>11</v>
      </c>
      <c r="B15" s="479">
        <f t="shared" ref="B15:G15" si="3">SUM(B13,B10)</f>
        <v>26957.766880000003</v>
      </c>
      <c r="C15" s="479">
        <f t="shared" si="3"/>
        <v>28036.610479999999</v>
      </c>
      <c r="D15" s="479">
        <f t="shared" si="3"/>
        <v>25248.735239999998</v>
      </c>
      <c r="E15" s="479">
        <f t="shared" si="3"/>
        <v>16508.410520000001</v>
      </c>
      <c r="F15" s="479">
        <f t="shared" si="3"/>
        <v>14258.298600000002</v>
      </c>
      <c r="G15" s="479">
        <f t="shared" si="3"/>
        <v>14046.3382</v>
      </c>
      <c r="H15" s="479">
        <f t="shared" ref="H15:M15" si="4">SUM(H13,H10)</f>
        <v>9365.63328</v>
      </c>
      <c r="I15" s="479">
        <f t="shared" si="4"/>
        <v>9992.5839200000009</v>
      </c>
      <c r="J15" s="479">
        <f t="shared" si="4"/>
        <v>9803.0066399999996</v>
      </c>
      <c r="K15" s="479">
        <f t="shared" si="4"/>
        <v>8680.1369900000009</v>
      </c>
      <c r="L15" s="479">
        <f t="shared" si="4"/>
        <v>7740.9421000000002</v>
      </c>
      <c r="M15" s="479">
        <f t="shared" si="4"/>
        <v>7588.4539400000003</v>
      </c>
      <c r="N15" s="479">
        <f>SUM(N13,N10)</f>
        <v>7596.8120899999994</v>
      </c>
    </row>
    <row r="17" spans="1:14">
      <c r="A17" s="614" t="s">
        <v>1259</v>
      </c>
      <c r="B17" s="592"/>
      <c r="C17" s="592"/>
      <c r="D17" s="592"/>
      <c r="E17" s="592"/>
      <c r="F17" s="592"/>
      <c r="G17" s="592"/>
      <c r="H17" s="592"/>
      <c r="I17" s="592"/>
      <c r="J17" s="592"/>
      <c r="K17" s="592"/>
      <c r="L17" s="592"/>
      <c r="M17" s="592"/>
      <c r="N17" s="592"/>
    </row>
    <row r="18" spans="1:14">
      <c r="A18" s="752" t="s">
        <v>1240</v>
      </c>
      <c r="B18" s="753">
        <v>0</v>
      </c>
      <c r="C18" s="753">
        <v>0</v>
      </c>
      <c r="D18" s="753">
        <f>'Scope1A Stationary'!E76</f>
        <v>5867.4812799999991</v>
      </c>
      <c r="E18" s="753">
        <f>'Scope1A Stationary'!F76</f>
        <v>25127.114592000002</v>
      </c>
      <c r="F18" s="753">
        <f>'Scope1A Stationary'!G76</f>
        <v>34328.920927999992</v>
      </c>
      <c r="G18" s="753">
        <f>'Scope1A Stationary'!H76</f>
        <v>28780.577440000001</v>
      </c>
      <c r="H18" s="753">
        <f>'Scope1A Stationary'!I76</f>
        <v>37974.072895999998</v>
      </c>
      <c r="I18" s="753">
        <f>'Scope1A Stationary'!J76</f>
        <v>46348.04078607999</v>
      </c>
      <c r="J18" s="753">
        <f>'Scope1A Stationary'!K76</f>
        <v>44448.248416000002</v>
      </c>
      <c r="K18" s="753">
        <f>'Scope1A Stationary'!L76</f>
        <v>35492.776563199994</v>
      </c>
      <c r="L18" s="753">
        <f>'Scope1A Stationary'!M76</f>
        <v>39334.614536875393</v>
      </c>
      <c r="M18" s="753">
        <f>'Scope1A Stationary'!N76</f>
        <v>37201.839496139561</v>
      </c>
      <c r="N18" s="753">
        <f>'Scope1A Stationary'!O76</f>
        <v>38071.616000000002</v>
      </c>
    </row>
    <row r="19" spans="1:14">
      <c r="A19" s="751" t="s">
        <v>1241</v>
      </c>
      <c r="B19" s="754">
        <v>0</v>
      </c>
      <c r="C19" s="754">
        <v>0</v>
      </c>
      <c r="D19" s="754">
        <f>'Scope1A Stationary'!E78</f>
        <v>907.92498545454532</v>
      </c>
      <c r="E19" s="754">
        <f>'Scope1A Stationary'!F78</f>
        <v>3888.1308796363628</v>
      </c>
      <c r="F19" s="754">
        <f>'Scope1A Stationary'!G78</f>
        <v>5312.0041712727252</v>
      </c>
      <c r="G19" s="754">
        <f>'Scope1A Stationary'!H78</f>
        <v>4453.462074545454</v>
      </c>
      <c r="H19" s="754">
        <f>'Scope1A Stationary'!I78</f>
        <v>5876.0493534545449</v>
      </c>
      <c r="I19" s="754">
        <f>'Scope1A Stationary'!J78</f>
        <v>7171.8242033399993</v>
      </c>
      <c r="J19" s="754">
        <f>'Scope1A Stationary'!K78</f>
        <v>6877.8532679999989</v>
      </c>
      <c r="K19" s="754">
        <f>'Scope1A Stationary'!L78</f>
        <v>5492.0973935999991</v>
      </c>
      <c r="L19" s="754">
        <f>'Scope1A Stationary'!M78</f>
        <v>6086.1439357833851</v>
      </c>
      <c r="M19" s="754">
        <f>'Scope1A Stationary'!N78</f>
        <v>5756.1451285395588</v>
      </c>
      <c r="N19" s="754">
        <f>'Scope1A Stationary'!O78</f>
        <v>5456.0002367999996</v>
      </c>
    </row>
    <row r="20" spans="1:14">
      <c r="B20" s="5"/>
      <c r="C20" s="5"/>
      <c r="D20" s="5"/>
      <c r="E20" s="5"/>
      <c r="F20" s="5"/>
      <c r="G20" s="5"/>
      <c r="H20" s="5"/>
      <c r="I20" s="5"/>
      <c r="J20" s="5"/>
      <c r="K20" s="5"/>
    </row>
    <row r="23" spans="1:14">
      <c r="A23" s="515" t="s">
        <v>930</v>
      </c>
    </row>
    <row r="24" spans="1:14">
      <c r="A24" s="515" t="s">
        <v>931</v>
      </c>
    </row>
  </sheetData>
  <mergeCells count="1">
    <mergeCell ref="A1:I1"/>
  </mergeCells>
  <phoneticPr fontId="54" type="noConversion"/>
  <hyperlinks>
    <hyperlink ref="A23" location="'Scope1A Stationary'!A1" display="Extensive Data"/>
    <hyperlink ref="A24" location="'Scope1B  Mobile'!A1" display="Extensive Data Mobile"/>
  </hyperlinks>
  <pageMargins left="0.75" right="0.75" top="1" bottom="1" header="0.3" footer="0.3"/>
  <pageSetup orientation="portrait" horizontalDpi="4294967292" verticalDpi="429496729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28"/>
  <sheetViews>
    <sheetView zoomScale="125" workbookViewId="0">
      <selection activeCell="N18" sqref="N18"/>
    </sheetView>
  </sheetViews>
  <sheetFormatPr baseColWidth="10" defaultColWidth="8.83203125" defaultRowHeight="13"/>
  <cols>
    <col min="1" max="1" width="28.33203125" customWidth="1"/>
  </cols>
  <sheetData>
    <row r="1" spans="1:14" ht="18">
      <c r="A1" s="836" t="s">
        <v>80</v>
      </c>
      <c r="B1" s="837"/>
      <c r="C1" s="837"/>
      <c r="D1" s="837"/>
      <c r="E1" s="837"/>
      <c r="F1" s="837"/>
      <c r="G1" s="837"/>
      <c r="H1" s="837"/>
      <c r="I1" s="837"/>
    </row>
    <row r="3" spans="1:14" ht="16">
      <c r="A3" s="55" t="s">
        <v>259</v>
      </c>
      <c r="J3" s="128"/>
    </row>
    <row r="4" spans="1:14">
      <c r="A4" s="10"/>
      <c r="B4" s="6"/>
      <c r="J4" s="73"/>
    </row>
    <row r="5" spans="1:14" s="10" customFormat="1">
      <c r="A5" s="10" t="s">
        <v>260</v>
      </c>
      <c r="B5" s="679" t="s">
        <v>310</v>
      </c>
      <c r="C5" s="679" t="s">
        <v>339</v>
      </c>
      <c r="D5" s="679" t="s">
        <v>731</v>
      </c>
      <c r="E5" s="680" t="s">
        <v>24</v>
      </c>
      <c r="F5" s="680" t="s">
        <v>1005</v>
      </c>
      <c r="G5" s="594" t="s">
        <v>970</v>
      </c>
      <c r="H5" s="594" t="s">
        <v>955</v>
      </c>
      <c r="I5" s="594" t="s">
        <v>1123</v>
      </c>
      <c r="J5" s="594" t="s">
        <v>1154</v>
      </c>
      <c r="K5" s="594" t="s">
        <v>1197</v>
      </c>
      <c r="L5" s="594" t="s">
        <v>1250</v>
      </c>
      <c r="M5" s="594" t="s">
        <v>1266</v>
      </c>
      <c r="N5" s="594" t="s">
        <v>1279</v>
      </c>
    </row>
    <row r="6" spans="1:14">
      <c r="A6" s="47" t="s">
        <v>354</v>
      </c>
      <c r="B6" s="38">
        <f>'Scope2 Electricity'!B155</f>
        <v>0</v>
      </c>
      <c r="C6" s="38">
        <f>'Scope2 Electricity'!C155</f>
        <v>0</v>
      </c>
      <c r="D6" s="38">
        <f>'Scope2 Electricity'!D155</f>
        <v>0</v>
      </c>
      <c r="E6" s="38">
        <f>'Scope2 Electricity'!E155</f>
        <v>0</v>
      </c>
      <c r="F6" s="38">
        <f>'Scope2 Electricity'!F155</f>
        <v>0</v>
      </c>
      <c r="G6" s="38">
        <f>'Scope2 Electricity'!G155</f>
        <v>0</v>
      </c>
      <c r="H6" s="38">
        <f>'Scope2 Electricity'!H155</f>
        <v>0</v>
      </c>
      <c r="I6" s="38">
        <f>'Scope2 Electricity'!I155</f>
        <v>0</v>
      </c>
      <c r="J6" s="38">
        <f>'Scope2 Electricity'!J155</f>
        <v>0</v>
      </c>
      <c r="K6" s="38">
        <f>'Scope2 Electricity'!K155</f>
        <v>0</v>
      </c>
      <c r="L6" s="38">
        <f>'Scope2 Electricity'!L155</f>
        <v>0</v>
      </c>
      <c r="M6" s="38">
        <f>'Scope2 Electricity'!M155</f>
        <v>0</v>
      </c>
      <c r="N6" s="38">
        <f>'Scope2 Electricity'!N155</f>
        <v>0</v>
      </c>
    </row>
    <row r="7" spans="1:14">
      <c r="A7" s="47" t="s">
        <v>548</v>
      </c>
      <c r="B7" s="38">
        <f>'Scope2 Electricity'!B156</f>
        <v>0</v>
      </c>
      <c r="C7" s="38">
        <f>'Scope2 Electricity'!C156</f>
        <v>0</v>
      </c>
      <c r="D7" s="38">
        <f>'Scope2 Electricity'!D156</f>
        <v>0</v>
      </c>
      <c r="E7" s="38">
        <f>'Scope2 Electricity'!E156</f>
        <v>0</v>
      </c>
      <c r="F7" s="38">
        <f>'Scope2 Electricity'!F156</f>
        <v>0</v>
      </c>
      <c r="G7" s="38">
        <f>'Scope2 Electricity'!G156</f>
        <v>0</v>
      </c>
      <c r="H7" s="38">
        <f>'Scope2 Electricity'!H156</f>
        <v>0</v>
      </c>
      <c r="I7" s="38">
        <f>'Scope2 Electricity'!I156</f>
        <v>0</v>
      </c>
      <c r="J7" s="38">
        <f>'Scope2 Electricity'!J156</f>
        <v>0</v>
      </c>
      <c r="K7" s="38">
        <f>'Scope2 Electricity'!K156</f>
        <v>0</v>
      </c>
      <c r="L7" s="38">
        <f>'Scope2 Electricity'!L156</f>
        <v>0</v>
      </c>
      <c r="M7" s="38">
        <f>'Scope2 Electricity'!M156</f>
        <v>0</v>
      </c>
      <c r="N7" s="38">
        <f>'Scope2 Electricity'!N156</f>
        <v>0</v>
      </c>
    </row>
    <row r="8" spans="1:14">
      <c r="A8" s="47" t="s">
        <v>547</v>
      </c>
      <c r="B8" s="38">
        <f>'Scope2 Electricity'!B157</f>
        <v>0</v>
      </c>
      <c r="C8" s="38">
        <f>'Scope2 Electricity'!C157</f>
        <v>0</v>
      </c>
      <c r="D8" s="38">
        <f>'Scope2 Electricity'!D157</f>
        <v>0</v>
      </c>
      <c r="E8" s="38">
        <f>'Scope2 Electricity'!E157</f>
        <v>0</v>
      </c>
      <c r="F8" s="38">
        <f>'Scope2 Electricity'!F157</f>
        <v>0</v>
      </c>
      <c r="G8" s="38">
        <f>'Scope2 Electricity'!G157</f>
        <v>0</v>
      </c>
      <c r="H8" s="38">
        <f>'Scope2 Electricity'!H157</f>
        <v>0</v>
      </c>
      <c r="I8" s="38">
        <f>'Scope2 Electricity'!I157</f>
        <v>0</v>
      </c>
      <c r="J8" s="38">
        <f>'Scope2 Electricity'!J157</f>
        <v>0</v>
      </c>
      <c r="K8" s="38">
        <f>'Scope2 Electricity'!K157</f>
        <v>0</v>
      </c>
      <c r="L8" s="38">
        <f>'Scope2 Electricity'!L157</f>
        <v>0</v>
      </c>
      <c r="M8" s="38">
        <f>'Scope2 Electricity'!M157</f>
        <v>0</v>
      </c>
      <c r="N8" s="38">
        <f>'Scope2 Electricity'!N157</f>
        <v>0</v>
      </c>
    </row>
    <row r="9" spans="1:14" ht="15">
      <c r="A9" s="47" t="s">
        <v>535</v>
      </c>
      <c r="B9" s="38">
        <f>'Scope2 Electricity'!B158</f>
        <v>0</v>
      </c>
      <c r="C9" s="38">
        <f>'Scope2 Electricity'!C158</f>
        <v>0</v>
      </c>
      <c r="D9" s="38">
        <f>'Scope2 Electricity'!D158</f>
        <v>0</v>
      </c>
      <c r="E9" s="38">
        <f>'Scope2 Electricity'!E158</f>
        <v>0</v>
      </c>
      <c r="F9" s="38">
        <f>'Scope2 Electricity'!F158</f>
        <v>0</v>
      </c>
      <c r="G9" s="38">
        <f>'Scope2 Electricity'!G158</f>
        <v>0</v>
      </c>
      <c r="H9" s="38">
        <f>'Scope2 Electricity'!H158</f>
        <v>0</v>
      </c>
      <c r="I9" s="38">
        <f>'Scope2 Electricity'!I158</f>
        <v>0</v>
      </c>
      <c r="J9" s="38">
        <f>'Scope2 Electricity'!J158</f>
        <v>0</v>
      </c>
      <c r="K9" s="38">
        <f>'Scope2 Electricity'!K158</f>
        <v>0</v>
      </c>
      <c r="L9" s="38">
        <f>'Scope2 Electricity'!L158</f>
        <v>0</v>
      </c>
      <c r="M9" s="38">
        <f>'Scope2 Electricity'!M158</f>
        <v>0</v>
      </c>
      <c r="N9" s="38">
        <f>'Scope2 Electricity'!N158</f>
        <v>0</v>
      </c>
    </row>
    <row r="10" spans="1:14">
      <c r="A10" t="s">
        <v>233</v>
      </c>
      <c r="B10" s="38">
        <f>'Scope2 Electricity'!B159</f>
        <v>0</v>
      </c>
      <c r="C10" s="38">
        <f>'Scope2 Electricity'!C159</f>
        <v>0</v>
      </c>
      <c r="D10" s="38">
        <f>'Scope2 Electricity'!D159</f>
        <v>0</v>
      </c>
      <c r="E10" s="38">
        <f>'Scope2 Electricity'!E159</f>
        <v>0</v>
      </c>
      <c r="F10" s="38">
        <f>'Scope2 Electricity'!F159</f>
        <v>0</v>
      </c>
      <c r="G10" s="38">
        <f>'Scope2 Electricity'!G159</f>
        <v>0</v>
      </c>
      <c r="H10" s="38">
        <f>'Scope2 Electricity'!H159</f>
        <v>0</v>
      </c>
      <c r="I10" s="38">
        <f>'Scope2 Electricity'!I159</f>
        <v>0</v>
      </c>
      <c r="J10" s="38">
        <f>'Scope2 Electricity'!J159</f>
        <v>0</v>
      </c>
      <c r="K10" s="38">
        <f>'Scope2 Electricity'!K159</f>
        <v>0</v>
      </c>
      <c r="L10" s="38">
        <f>'Scope2 Electricity'!L159</f>
        <v>0</v>
      </c>
      <c r="M10" s="38">
        <f>'Scope2 Electricity'!M159</f>
        <v>0</v>
      </c>
      <c r="N10" s="38">
        <f>'Scope2 Electricity'!N159</f>
        <v>0</v>
      </c>
    </row>
    <row r="11" spans="1:14">
      <c r="A11" t="s">
        <v>328</v>
      </c>
      <c r="B11" s="38">
        <f>'Scope2 Electricity'!B160</f>
        <v>0</v>
      </c>
      <c r="C11" s="38">
        <f>'Scope2 Electricity'!C160</f>
        <v>0</v>
      </c>
      <c r="D11" s="38">
        <f>'Scope2 Electricity'!D160</f>
        <v>0</v>
      </c>
      <c r="E11" s="38">
        <f>'Scope2 Electricity'!E160</f>
        <v>0</v>
      </c>
      <c r="F11" s="38">
        <f>'Scope2 Electricity'!F160</f>
        <v>0</v>
      </c>
      <c r="G11" s="38">
        <f>'Scope2 Electricity'!G160</f>
        <v>0</v>
      </c>
      <c r="H11" s="38">
        <f>'Scope2 Electricity'!H160</f>
        <v>0</v>
      </c>
      <c r="I11" s="38">
        <f>'Scope2 Electricity'!I160</f>
        <v>0</v>
      </c>
      <c r="J11" s="38">
        <f>'Scope2 Electricity'!J160</f>
        <v>0</v>
      </c>
      <c r="K11" s="38">
        <f>'Scope2 Electricity'!K160</f>
        <v>0</v>
      </c>
      <c r="L11" s="38">
        <f>'Scope2 Electricity'!L160</f>
        <v>0</v>
      </c>
      <c r="M11" s="38">
        <f>'Scope2 Electricity'!M160</f>
        <v>0</v>
      </c>
      <c r="N11" s="38">
        <f>'Scope2 Electricity'!N160</f>
        <v>0</v>
      </c>
    </row>
    <row r="12" spans="1:14">
      <c r="A12" t="s">
        <v>329</v>
      </c>
      <c r="B12" s="38">
        <f>'Scope2 Electricity'!B161</f>
        <v>0</v>
      </c>
      <c r="C12" s="38">
        <f>'Scope2 Electricity'!C161</f>
        <v>0</v>
      </c>
      <c r="D12" s="38">
        <f>'Scope2 Electricity'!D161</f>
        <v>0</v>
      </c>
      <c r="E12" s="38">
        <f>'Scope2 Electricity'!E161</f>
        <v>0</v>
      </c>
      <c r="F12" s="38">
        <f>'Scope2 Electricity'!F161</f>
        <v>0</v>
      </c>
      <c r="G12" s="38">
        <f>'Scope2 Electricity'!G161</f>
        <v>0</v>
      </c>
      <c r="H12" s="38">
        <f>'Scope2 Electricity'!H161</f>
        <v>0</v>
      </c>
      <c r="I12" s="38">
        <f>'Scope2 Electricity'!I161</f>
        <v>0</v>
      </c>
      <c r="J12" s="38">
        <f>'Scope2 Electricity'!J161</f>
        <v>0</v>
      </c>
      <c r="K12" s="38">
        <f>'Scope2 Electricity'!K161</f>
        <v>0</v>
      </c>
      <c r="L12" s="38">
        <f>'Scope2 Electricity'!L161</f>
        <v>0</v>
      </c>
      <c r="M12" s="38">
        <f>'Scope2 Electricity'!M161</f>
        <v>0</v>
      </c>
      <c r="N12" s="38">
        <f>'Scope2 Electricity'!N161</f>
        <v>0</v>
      </c>
    </row>
    <row r="13" spans="1:14">
      <c r="A13" s="29" t="s">
        <v>330</v>
      </c>
      <c r="B13" s="38">
        <f>'Scope2 Electricity'!B162</f>
        <v>22.7</v>
      </c>
      <c r="C13" s="38">
        <f>'Scope2 Electricity'!C162</f>
        <v>33.5</v>
      </c>
      <c r="D13" s="38">
        <f>'Scope2 Electricity'!D162</f>
        <v>25.3</v>
      </c>
      <c r="E13" s="38">
        <f>'Scope2 Electricity'!E162</f>
        <v>0</v>
      </c>
      <c r="F13" s="38">
        <f>'Scope2 Electricity'!F162</f>
        <v>0</v>
      </c>
      <c r="G13" s="38">
        <f>'Scope2 Electricity'!G162</f>
        <v>25.2</v>
      </c>
      <c r="H13" s="38">
        <f>'Scope2 Electricity'!H162</f>
        <v>696.3</v>
      </c>
      <c r="I13" s="38">
        <f>'Scope2 Electricity'!I162</f>
        <v>680.5</v>
      </c>
      <c r="J13" s="38">
        <f>'Scope2 Electricity'!J162</f>
        <v>722</v>
      </c>
      <c r="K13" s="38">
        <f>'Scope2 Electricity'!K162</f>
        <v>803</v>
      </c>
      <c r="L13" s="38">
        <f>'Scope2 Electricity'!L162</f>
        <v>701.3</v>
      </c>
      <c r="M13" s="38">
        <f>'Scope2 Electricity'!M162</f>
        <v>887.3</v>
      </c>
      <c r="N13" s="38">
        <f>'Scope2 Electricity'!N162</f>
        <v>218.7</v>
      </c>
    </row>
    <row r="14" spans="1:14">
      <c r="A14" s="29" t="s">
        <v>331</v>
      </c>
      <c r="B14" s="38">
        <f>'Scope2 Electricity'!B163</f>
        <v>15.4</v>
      </c>
      <c r="C14" s="38">
        <f>'Scope2 Electricity'!C163</f>
        <v>23.9</v>
      </c>
      <c r="D14" s="38">
        <f>'Scope2 Electricity'!D163</f>
        <v>16.899999999999999</v>
      </c>
      <c r="E14" s="38">
        <f>'Scope2 Electricity'!E163</f>
        <v>0</v>
      </c>
      <c r="F14" s="38">
        <f>'Scope2 Electricity'!F163</f>
        <v>0</v>
      </c>
      <c r="G14" s="38">
        <f>'Scope2 Electricity'!G163</f>
        <v>6.8</v>
      </c>
      <c r="H14" s="38">
        <f>'Scope2 Electricity'!H163</f>
        <v>150.80000000000001</v>
      </c>
      <c r="I14" s="38">
        <f>'Scope2 Electricity'!I163</f>
        <v>147.4</v>
      </c>
      <c r="J14" s="38">
        <f>'Scope2 Electricity'!J163</f>
        <v>0</v>
      </c>
      <c r="K14" s="38">
        <f>'Scope2 Electricity'!K163</f>
        <v>0</v>
      </c>
      <c r="L14" s="38">
        <f>'Scope2 Electricity'!L163</f>
        <v>75.599999999999994</v>
      </c>
      <c r="M14" s="38">
        <f>'Scope2 Electricity'!M163</f>
        <v>51.2</v>
      </c>
      <c r="N14" s="38">
        <f>'Scope2 Electricity'!N163</f>
        <v>0</v>
      </c>
    </row>
    <row r="15" spans="1:14">
      <c r="A15" s="29" t="s">
        <v>150</v>
      </c>
      <c r="B15" s="38">
        <f>'Scope2 Electricity'!B164</f>
        <v>2.5</v>
      </c>
      <c r="C15" s="38">
        <f>'Scope2 Electricity'!C164</f>
        <v>4.2</v>
      </c>
      <c r="D15" s="38">
        <f>'Scope2 Electricity'!D164</f>
        <v>2.7</v>
      </c>
      <c r="E15" s="38">
        <f>'Scope2 Electricity'!E164</f>
        <v>10.9</v>
      </c>
      <c r="F15" s="38">
        <f>'Scope2 Electricity'!F164</f>
        <v>0</v>
      </c>
      <c r="G15" s="38">
        <f>'Scope2 Electricity'!G164</f>
        <v>1.6</v>
      </c>
      <c r="H15" s="38">
        <f>'Scope2 Electricity'!H164</f>
        <v>6.6</v>
      </c>
      <c r="I15" s="38">
        <f>'Scope2 Electricity'!I164</f>
        <v>58.7</v>
      </c>
      <c r="J15" s="38">
        <f>'Scope2 Electricity'!J164</f>
        <v>539.4</v>
      </c>
      <c r="K15" s="38">
        <f>'Scope2 Electricity'!K164</f>
        <v>553.70000000000005</v>
      </c>
      <c r="L15" s="38">
        <f>'Scope2 Electricity'!L164</f>
        <v>5.8</v>
      </c>
      <c r="M15" s="38">
        <f>'Scope2 Electricity'!M164</f>
        <v>17.5</v>
      </c>
      <c r="N15" s="38">
        <f>'Scope2 Electricity'!N164</f>
        <v>250.6</v>
      </c>
    </row>
    <row r="16" spans="1:14">
      <c r="A16" s="29" t="s">
        <v>151</v>
      </c>
      <c r="B16" s="38">
        <f>'Scope2 Electricity'!B165</f>
        <v>17</v>
      </c>
      <c r="C16" s="38">
        <f>'Scope2 Electricity'!C165</f>
        <v>34.5</v>
      </c>
      <c r="D16" s="38">
        <f>'Scope2 Electricity'!D165</f>
        <v>20.6</v>
      </c>
      <c r="E16" s="38">
        <f>'Scope2 Electricity'!E165</f>
        <v>0</v>
      </c>
      <c r="F16" s="38">
        <f>'Scope2 Electricity'!F165</f>
        <v>5.9</v>
      </c>
      <c r="G16" s="38">
        <f>'Scope2 Electricity'!G165</f>
        <v>4</v>
      </c>
      <c r="H16" s="38">
        <f>'Scope2 Electricity'!H165</f>
        <v>5.2</v>
      </c>
      <c r="I16" s="38">
        <f>'Scope2 Electricity'!I165</f>
        <v>5</v>
      </c>
      <c r="J16" s="38">
        <f>'Scope2 Electricity'!J165</f>
        <v>0</v>
      </c>
      <c r="K16" s="38">
        <f>'Scope2 Electricity'!K165</f>
        <v>0</v>
      </c>
      <c r="L16" s="38">
        <f>'Scope2 Electricity'!L165</f>
        <v>0</v>
      </c>
      <c r="M16" s="38">
        <f>'Scope2 Electricity'!M165</f>
        <v>0</v>
      </c>
      <c r="N16" s="38">
        <f>'Scope2 Electricity'!N165</f>
        <v>0</v>
      </c>
    </row>
    <row r="17" spans="1:14">
      <c r="A17" s="29" t="s">
        <v>99</v>
      </c>
      <c r="B17" s="38">
        <f>'Scope2 Electricity'!B166</f>
        <v>577.20000000000005</v>
      </c>
      <c r="C17" s="38">
        <f>'Scope2 Electricity'!C166</f>
        <v>884.2</v>
      </c>
      <c r="D17" s="38">
        <f>'Scope2 Electricity'!D166</f>
        <v>839.1</v>
      </c>
      <c r="E17" s="38">
        <f>'Scope2 Electricity'!E166</f>
        <v>166.3</v>
      </c>
      <c r="F17" s="38">
        <f>'Scope2 Electricity'!F166</f>
        <v>504.7</v>
      </c>
      <c r="G17" s="38">
        <f>'Scope2 Electricity'!G166</f>
        <v>398.6</v>
      </c>
      <c r="H17" s="38">
        <f>'Scope2 Electricity'!H166</f>
        <v>0</v>
      </c>
      <c r="I17" s="38">
        <f>'Scope2 Electricity'!I166</f>
        <v>0</v>
      </c>
      <c r="J17" s="38">
        <f>'Scope2 Electricity'!J166</f>
        <v>0</v>
      </c>
      <c r="K17" s="38">
        <f>'Scope2 Electricity'!K166</f>
        <v>0</v>
      </c>
      <c r="L17" s="38">
        <f>'Scope2 Electricity'!L166</f>
        <v>836.5</v>
      </c>
      <c r="M17" s="38">
        <f>'Scope2 Electricity'!M166</f>
        <v>134.5</v>
      </c>
      <c r="N17" s="38">
        <f>'Scope2 Electricity'!N166</f>
        <v>0</v>
      </c>
    </row>
    <row r="18" spans="1:14">
      <c r="A18" s="485" t="s">
        <v>10</v>
      </c>
      <c r="B18" s="486">
        <f t="shared" ref="B18:H18" si="0">SUM(B6:B17)</f>
        <v>634.80000000000007</v>
      </c>
      <c r="C18" s="486">
        <f t="shared" si="0"/>
        <v>980.30000000000007</v>
      </c>
      <c r="D18" s="486">
        <f t="shared" si="0"/>
        <v>904.6</v>
      </c>
      <c r="E18" s="486">
        <f t="shared" si="0"/>
        <v>177.20000000000002</v>
      </c>
      <c r="F18" s="486">
        <f t="shared" si="0"/>
        <v>510.59999999999997</v>
      </c>
      <c r="G18" s="486">
        <f t="shared" si="0"/>
        <v>436.20000000000005</v>
      </c>
      <c r="H18" s="486">
        <f t="shared" si="0"/>
        <v>858.9</v>
      </c>
      <c r="I18" s="486">
        <f t="shared" ref="I18:N18" si="1">SUM(I6:I17)</f>
        <v>891.6</v>
      </c>
      <c r="J18" s="486">
        <f t="shared" si="1"/>
        <v>1261.4000000000001</v>
      </c>
      <c r="K18" s="486">
        <f t="shared" si="1"/>
        <v>1356.7</v>
      </c>
      <c r="L18" s="486">
        <f t="shared" si="1"/>
        <v>1619.1999999999998</v>
      </c>
      <c r="M18" s="486">
        <f t="shared" si="1"/>
        <v>1090.5</v>
      </c>
      <c r="N18" s="486">
        <f t="shared" si="1"/>
        <v>469.29999999999995</v>
      </c>
    </row>
    <row r="20" spans="1:14" ht="36.75" customHeight="1">
      <c r="A20" s="838" t="s">
        <v>44</v>
      </c>
      <c r="B20" s="838"/>
      <c r="C20" s="838"/>
      <c r="D20" s="838"/>
      <c r="E20" s="838"/>
      <c r="F20" s="838"/>
    </row>
    <row r="28" spans="1:14">
      <c r="A28" s="515" t="s">
        <v>932</v>
      </c>
    </row>
  </sheetData>
  <mergeCells count="2">
    <mergeCell ref="A1:I1"/>
    <mergeCell ref="A20:F20"/>
  </mergeCells>
  <phoneticPr fontId="54" type="noConversion"/>
  <hyperlinks>
    <hyperlink ref="A28" location="'Scope2 Electricity'!A1" display="Extensive Data Electrcity"/>
  </hyperlinks>
  <pageMargins left="0.75" right="0.75" top="1" bottom="1" header="0.3" footer="0.3"/>
  <pageSetup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26"/>
  <sheetViews>
    <sheetView zoomScale="125" workbookViewId="0">
      <selection activeCell="N11" sqref="N11"/>
    </sheetView>
  </sheetViews>
  <sheetFormatPr baseColWidth="10" defaultColWidth="8.83203125" defaultRowHeight="13"/>
  <cols>
    <col min="1" max="1" width="29.83203125" customWidth="1"/>
  </cols>
  <sheetData>
    <row r="1" spans="1:14" ht="18">
      <c r="A1" s="836" t="s">
        <v>0</v>
      </c>
      <c r="B1" s="836"/>
      <c r="C1" s="836"/>
      <c r="D1" s="836"/>
      <c r="E1" s="836"/>
      <c r="F1" s="836"/>
      <c r="G1" s="836"/>
      <c r="H1" s="836"/>
      <c r="I1" s="836"/>
    </row>
    <row r="3" spans="1:14" ht="16">
      <c r="A3" s="55" t="s">
        <v>9</v>
      </c>
      <c r="J3" s="128"/>
    </row>
    <row r="4" spans="1:14">
      <c r="A4" s="270"/>
      <c r="B4" s="273"/>
      <c r="C4" s="270"/>
      <c r="D4" s="270"/>
      <c r="E4" s="270"/>
      <c r="F4" s="270"/>
      <c r="G4" s="270"/>
      <c r="H4" s="270"/>
      <c r="I4" s="270"/>
    </row>
    <row r="5" spans="1:14">
      <c r="A5" s="273" t="s">
        <v>411</v>
      </c>
      <c r="B5" s="677" t="s">
        <v>310</v>
      </c>
      <c r="C5" s="677" t="s">
        <v>339</v>
      </c>
      <c r="D5" s="677" t="s">
        <v>731</v>
      </c>
      <c r="E5" s="594" t="s">
        <v>24</v>
      </c>
      <c r="F5" s="594" t="s">
        <v>1005</v>
      </c>
      <c r="G5" s="594" t="s">
        <v>970</v>
      </c>
      <c r="H5" s="594" t="s">
        <v>955</v>
      </c>
      <c r="I5" s="594" t="s">
        <v>1123</v>
      </c>
      <c r="J5" s="594" t="s">
        <v>1154</v>
      </c>
      <c r="K5" s="594" t="s">
        <v>1197</v>
      </c>
      <c r="L5" s="594" t="s">
        <v>1250</v>
      </c>
      <c r="M5" s="594" t="s">
        <v>1266</v>
      </c>
      <c r="N5" s="594" t="s">
        <v>1279</v>
      </c>
    </row>
    <row r="6" spans="1:14">
      <c r="A6" s="275" t="s">
        <v>792</v>
      </c>
      <c r="B6" s="276">
        <f>'Scope3 Travel'!B8</f>
        <v>225.8</v>
      </c>
      <c r="C6" s="276">
        <f>'Scope3 Travel'!C8</f>
        <v>401</v>
      </c>
      <c r="D6" s="276">
        <f>'Scope3 Travel'!D8</f>
        <v>455.2</v>
      </c>
      <c r="E6" s="276">
        <f>'Scope3 Travel'!E8</f>
        <v>575.9</v>
      </c>
      <c r="F6" s="276">
        <f>'Scope3 Travel'!F8</f>
        <v>454.6</v>
      </c>
      <c r="G6" s="276">
        <f>'Scope3 Travel'!G8</f>
        <v>430.1</v>
      </c>
      <c r="H6" s="276">
        <f>'Scope3 Travel'!H8</f>
        <v>492.5</v>
      </c>
      <c r="I6" s="276">
        <f>'Scope3 Travel'!I8</f>
        <v>631</v>
      </c>
      <c r="J6" s="276">
        <f>'Scope3 Travel'!J8</f>
        <v>622.20000000000005</v>
      </c>
      <c r="K6" s="276">
        <f>'Scope3 Travel'!L8</f>
        <v>926.8</v>
      </c>
      <c r="L6" s="276">
        <f>'Scope3 Travel'!M8</f>
        <v>983.5</v>
      </c>
      <c r="M6" s="276">
        <f>'Scope3 Travel'!N8</f>
        <v>1004.9</v>
      </c>
      <c r="N6" s="276">
        <f>'Scope3 Travel'!O8</f>
        <v>852.4</v>
      </c>
    </row>
    <row r="7" spans="1:14">
      <c r="A7" s="275" t="s">
        <v>667</v>
      </c>
      <c r="B7" s="276">
        <f>'Scope3 Travel'!B9</f>
        <v>20.6</v>
      </c>
      <c r="C7" s="276">
        <f>'Scope3 Travel'!C9</f>
        <v>20.3</v>
      </c>
      <c r="D7" s="276">
        <f>'Scope3 Travel'!D9</f>
        <v>16.600000000000001</v>
      </c>
      <c r="E7" s="276">
        <f>'Scope3 Travel'!E9</f>
        <v>16.8</v>
      </c>
      <c r="F7" s="276">
        <f>'Scope3 Travel'!F9</f>
        <v>17.8</v>
      </c>
      <c r="G7" s="276">
        <f>'Scope3 Travel'!G9</f>
        <v>28.1</v>
      </c>
      <c r="H7" s="276">
        <f>'Scope3 Travel'!H9</f>
        <v>25.5</v>
      </c>
      <c r="I7" s="276">
        <f>'Scope3 Travel'!I9</f>
        <v>31.4</v>
      </c>
      <c r="J7" s="276">
        <f>'Scope3 Travel'!J9</f>
        <v>37.5</v>
      </c>
      <c r="K7" s="276">
        <f>'Scope3 Travel'!L9</f>
        <v>31.2</v>
      </c>
      <c r="L7" s="276">
        <f>'Scope3 Travel'!M9</f>
        <v>36.6</v>
      </c>
      <c r="M7" s="276">
        <f>'Scope3 Travel'!N9</f>
        <v>43</v>
      </c>
      <c r="N7" s="276">
        <f>'Scope3 Travel'!O9</f>
        <v>30.1</v>
      </c>
    </row>
    <row r="8" spans="1:14">
      <c r="A8" s="279" t="s">
        <v>666</v>
      </c>
      <c r="B8" s="276">
        <f>'Scope3 Travel'!B10</f>
        <v>68.2</v>
      </c>
      <c r="C8" s="276">
        <f>'Scope3 Travel'!C10</f>
        <v>68.900000000000006</v>
      </c>
      <c r="D8" s="276">
        <f>'Scope3 Travel'!D10</f>
        <v>64.599999999999994</v>
      </c>
      <c r="E8" s="276">
        <f>'Scope3 Travel'!E10</f>
        <v>74.3</v>
      </c>
      <c r="F8" s="276">
        <f>'Scope3 Travel'!F10</f>
        <v>90.4</v>
      </c>
      <c r="G8" s="276">
        <f>'Scope3 Travel'!G10</f>
        <v>113.5</v>
      </c>
      <c r="H8" s="276">
        <f>'Scope3 Travel'!H10</f>
        <v>112.5</v>
      </c>
      <c r="I8" s="276">
        <f>'Scope3 Travel'!I10</f>
        <v>117.1</v>
      </c>
      <c r="J8" s="276">
        <f>'Scope3 Travel'!J10</f>
        <v>123.2</v>
      </c>
      <c r="K8" s="276">
        <f>'Scope3 Travel'!L10</f>
        <v>124.7</v>
      </c>
      <c r="L8" s="276">
        <f>'Scope3 Travel'!M10</f>
        <v>136.69999999999999</v>
      </c>
      <c r="M8" s="276">
        <f>'Scope3 Travel'!N10</f>
        <v>107</v>
      </c>
      <c r="N8" s="276">
        <f>'Scope3 Travel'!O10</f>
        <v>112.6</v>
      </c>
    </row>
    <row r="9" spans="1:14">
      <c r="A9" s="275" t="s">
        <v>665</v>
      </c>
      <c r="B9" s="276">
        <f>'Scope3 Travel'!B11</f>
        <v>1349</v>
      </c>
      <c r="C9" s="276">
        <f>'Scope3 Travel'!C11</f>
        <v>1422.5</v>
      </c>
      <c r="D9" s="276">
        <f>'Scope3 Travel'!D11</f>
        <v>1108.5999999999999</v>
      </c>
      <c r="E9" s="276">
        <f>'Scope3 Travel'!E11</f>
        <v>1121.5999999999999</v>
      </c>
      <c r="F9" s="276">
        <f>'Scope3 Travel'!F11</f>
        <v>1785.1</v>
      </c>
      <c r="G9" s="276">
        <f>'Scope3 Travel'!G11</f>
        <v>2056.1</v>
      </c>
      <c r="H9" s="276">
        <f>'Scope3 Travel'!H11</f>
        <v>2345.6</v>
      </c>
      <c r="I9" s="276">
        <f>'Scope3 Travel'!I11</f>
        <v>2877.2</v>
      </c>
      <c r="J9" s="276">
        <f>'Scope3 Travel'!J11</f>
        <v>3062.3</v>
      </c>
      <c r="K9" s="276">
        <f>'Scope3 Travel'!L11</f>
        <v>2180.8000000000002</v>
      </c>
      <c r="L9" s="276">
        <f>'Scope3 Travel'!M11</f>
        <v>2689.2</v>
      </c>
      <c r="M9" s="276">
        <f>'Scope3 Travel'!N11</f>
        <v>2706.6</v>
      </c>
      <c r="N9" s="276">
        <f>'Scope3 Travel'!O11</f>
        <v>3002.6</v>
      </c>
    </row>
    <row r="10" spans="1:14">
      <c r="A10" s="279" t="s">
        <v>668</v>
      </c>
      <c r="B10" s="276">
        <f>'Scope3 Travel'!B12</f>
        <v>25.1</v>
      </c>
      <c r="C10" s="276">
        <f>'Scope3 Travel'!C12</f>
        <v>24.5</v>
      </c>
      <c r="D10" s="276">
        <f>'Scope3 Travel'!D12</f>
        <v>22.2</v>
      </c>
      <c r="E10" s="276">
        <f>'Scope3 Travel'!E12</f>
        <v>31.7</v>
      </c>
      <c r="F10" s="276">
        <f>'Scope3 Travel'!F12</f>
        <v>18.8</v>
      </c>
      <c r="G10" s="276">
        <f>'Scope3 Travel'!G12</f>
        <v>43.8</v>
      </c>
      <c r="H10" s="276">
        <f>'Scope3 Travel'!H12</f>
        <v>38.200000000000003</v>
      </c>
      <c r="I10" s="276">
        <f>'Scope3 Travel'!I12</f>
        <v>37.200000000000003</v>
      </c>
      <c r="J10" s="276">
        <f>'Scope3 Travel'!J12</f>
        <v>42</v>
      </c>
      <c r="K10" s="276">
        <f>'Scope3 Travel'!L12</f>
        <v>31</v>
      </c>
      <c r="L10" s="276">
        <f>'Scope3 Travel'!M12</f>
        <v>26.3</v>
      </c>
      <c r="M10" s="276">
        <f>'Scope3 Travel'!N12</f>
        <v>26.9</v>
      </c>
      <c r="N10" s="276">
        <f>'Scope3 Travel'!O12</f>
        <v>28.9</v>
      </c>
    </row>
    <row r="11" spans="1:14">
      <c r="A11" s="542" t="s">
        <v>3</v>
      </c>
      <c r="B11" s="543">
        <f t="shared" ref="B11:G11" si="0">SUM(B6:B10)</f>
        <v>1688.6999999999998</v>
      </c>
      <c r="C11" s="543">
        <f t="shared" si="0"/>
        <v>1937.2</v>
      </c>
      <c r="D11" s="543">
        <f t="shared" si="0"/>
        <v>1667.2</v>
      </c>
      <c r="E11" s="543">
        <f t="shared" si="0"/>
        <v>1820.3</v>
      </c>
      <c r="F11" s="543">
        <f t="shared" si="0"/>
        <v>2366.7000000000003</v>
      </c>
      <c r="G11" s="543">
        <f t="shared" si="0"/>
        <v>2671.6000000000004</v>
      </c>
      <c r="H11" s="543">
        <f t="shared" ref="H11:M11" si="1">SUM(H6:H10)</f>
        <v>3014.2999999999997</v>
      </c>
      <c r="I11" s="543">
        <f t="shared" si="1"/>
        <v>3693.8999999999996</v>
      </c>
      <c r="J11" s="543">
        <f t="shared" si="1"/>
        <v>3887.2000000000003</v>
      </c>
      <c r="K11" s="543">
        <f t="shared" si="1"/>
        <v>3294.5</v>
      </c>
      <c r="L11" s="543">
        <f t="shared" si="1"/>
        <v>3872.3</v>
      </c>
      <c r="M11" s="543">
        <f t="shared" si="1"/>
        <v>3888.4</v>
      </c>
      <c r="N11" s="543">
        <f>SUM(N6:N10)+'Scope3 Travel'!B209</f>
        <v>4074.9</v>
      </c>
    </row>
    <row r="13" spans="1:14">
      <c r="A13" s="119" t="s">
        <v>5</v>
      </c>
    </row>
    <row r="14" spans="1:14" ht="15">
      <c r="A14" s="87" t="s">
        <v>851</v>
      </c>
      <c r="B14" s="98">
        <v>0.27</v>
      </c>
      <c r="C14" s="368">
        <v>0.27</v>
      </c>
      <c r="D14" s="368">
        <v>0.27</v>
      </c>
      <c r="E14" s="368">
        <v>0.27</v>
      </c>
      <c r="F14" s="368">
        <v>0.27</v>
      </c>
      <c r="G14" s="368">
        <v>0.27</v>
      </c>
      <c r="H14" s="368">
        <v>0.27</v>
      </c>
      <c r="I14" s="368">
        <v>0.27</v>
      </c>
      <c r="J14" s="368">
        <v>0.27</v>
      </c>
      <c r="K14" s="368">
        <v>0.27</v>
      </c>
      <c r="L14" s="368">
        <v>0.27</v>
      </c>
      <c r="M14" s="368">
        <v>0.27</v>
      </c>
      <c r="N14" s="368">
        <v>0.27</v>
      </c>
    </row>
    <row r="15" spans="1:14" ht="15">
      <c r="A15" s="87" t="s">
        <v>631</v>
      </c>
      <c r="B15" s="98">
        <v>7.0000000000000007E-2</v>
      </c>
      <c r="C15" s="368">
        <v>7.0000000000000007E-2</v>
      </c>
      <c r="D15" s="368">
        <v>7.0000000000000007E-2</v>
      </c>
      <c r="E15" s="368">
        <v>7.0000000000000007E-2</v>
      </c>
      <c r="F15" s="368">
        <v>7.0000000000000007E-2</v>
      </c>
      <c r="G15" s="368">
        <v>7.0000000000000007E-2</v>
      </c>
      <c r="H15" s="368">
        <v>7.0000000000000007E-2</v>
      </c>
      <c r="I15" s="368">
        <v>7.0000000000000007E-2</v>
      </c>
      <c r="J15" s="368">
        <v>7.0000000000000007E-2</v>
      </c>
      <c r="K15" s="368">
        <v>7.0000000000000007E-2</v>
      </c>
      <c r="L15" s="368">
        <v>7.0000000000000007E-2</v>
      </c>
      <c r="M15" s="368">
        <v>7.0000000000000007E-2</v>
      </c>
      <c r="N15" s="368">
        <v>7.0000000000000007E-2</v>
      </c>
    </row>
    <row r="16" spans="1:14" ht="15">
      <c r="A16" s="87" t="s">
        <v>813</v>
      </c>
      <c r="B16" s="98">
        <v>0.04</v>
      </c>
      <c r="C16" s="368">
        <v>0.04</v>
      </c>
      <c r="D16" s="368">
        <v>0.04</v>
      </c>
      <c r="E16" s="368">
        <v>0.04</v>
      </c>
      <c r="F16" s="368">
        <v>0.04</v>
      </c>
      <c r="G16" s="368">
        <v>0.04</v>
      </c>
      <c r="H16" s="368">
        <v>0.04</v>
      </c>
      <c r="I16" s="368">
        <v>0.04</v>
      </c>
      <c r="J16" s="368">
        <v>0.04</v>
      </c>
      <c r="K16" s="368">
        <v>0.04</v>
      </c>
      <c r="L16" s="368">
        <v>0.04</v>
      </c>
      <c r="M16" s="368">
        <v>0.04</v>
      </c>
      <c r="N16" s="368">
        <v>0.04</v>
      </c>
    </row>
    <row r="17" spans="1:14">
      <c r="A17" s="71" t="s">
        <v>895</v>
      </c>
      <c r="B17" s="146">
        <f>'Scope3 Landfill Methane'!B36</f>
        <v>553.98</v>
      </c>
      <c r="C17" s="146">
        <f>'Scope3 Landfill Methane'!C36</f>
        <v>547.31499999999994</v>
      </c>
      <c r="D17" s="146">
        <f>'Scope3 Landfill Methane'!D36</f>
        <v>477.47</v>
      </c>
      <c r="E17" s="146">
        <f>'Scope3 Landfill Methane'!E36</f>
        <v>432.82000000000005</v>
      </c>
      <c r="F17" s="146">
        <f>'Scope3 Landfill Methane'!F36</f>
        <v>430.29</v>
      </c>
      <c r="G17" s="146">
        <f>'Scope3 Landfill Methane'!G36</f>
        <v>407.09000000000003</v>
      </c>
      <c r="H17" s="146">
        <f>'Scope3 Landfill Methane'!H36</f>
        <v>438.23</v>
      </c>
      <c r="I17" s="146">
        <f>'Scope3 Landfill Methane'!I36</f>
        <v>405.92</v>
      </c>
      <c r="J17" s="146">
        <f>'Scope3 Landfill Methane'!J36</f>
        <v>445.03000000000003</v>
      </c>
      <c r="K17" s="146">
        <f>'Scope3 Landfill Methane'!K36</f>
        <v>385.83</v>
      </c>
      <c r="L17" s="146">
        <f>'Scope3 Landfill Methane'!L36</f>
        <v>394.75</v>
      </c>
      <c r="M17" s="146">
        <f>'Scope3 Landfill Methane'!M36</f>
        <v>400.5</v>
      </c>
      <c r="N17" s="146">
        <f>'Scope3 Landfill Methane'!N36</f>
        <v>341.08</v>
      </c>
    </row>
    <row r="18" spans="1:14" ht="15">
      <c r="A18" s="25" t="s">
        <v>866</v>
      </c>
      <c r="B18" s="146">
        <f>'Scope3 Landfill Methane'!B37</f>
        <v>6.5366874042394478</v>
      </c>
      <c r="C18" s="146">
        <f>'Scope3 Landfill Methane'!C37</f>
        <v>13.55574168315905</v>
      </c>
      <c r="D18" s="146">
        <f>'Scope3 Landfill Methane'!D37</f>
        <v>9.4845164949166065</v>
      </c>
      <c r="E18" s="146">
        <f>'Scope3 Landfill Methane'!E37</f>
        <v>7.1077731184442854</v>
      </c>
      <c r="F18" s="146">
        <f>'Scope3 Landfill Methane'!F37</f>
        <v>9.7378707087669643</v>
      </c>
      <c r="G18" s="146">
        <f>'Scope3 Landfill Methane'!G37</f>
        <v>8.722712851203859</v>
      </c>
      <c r="H18" s="146">
        <f>'Scope3 Landfill Methane'!H37</f>
        <v>7.2795046542891253</v>
      </c>
      <c r="I18" s="146">
        <f>'Scope3 Landfill Methane'!I37</f>
        <v>6.7427983690505933</v>
      </c>
      <c r="J18" s="146">
        <f>'Scope3 Landfill Methane'!J37</f>
        <v>7.3924604803374701</v>
      </c>
      <c r="K18" s="146">
        <f>'Scope3 Landfill Methane'!K37</f>
        <v>6.409080347681293</v>
      </c>
      <c r="L18" s="146">
        <f>'Scope3 Landfill Methane'!L37</f>
        <v>6.5572518136152977</v>
      </c>
      <c r="M18" s="146">
        <f>'Scope3 Landfill Methane'!M37</f>
        <v>6.6527659312297072</v>
      </c>
      <c r="N18" s="146">
        <f>'Scope3 Landfill Methane'!N37</f>
        <v>5.6657313453778491</v>
      </c>
    </row>
    <row r="19" spans="1:14" ht="15">
      <c r="A19" s="475" t="s">
        <v>4</v>
      </c>
      <c r="B19" s="544">
        <f>'Scope3 Landfill Methane'!B38</f>
        <v>137.27043548902842</v>
      </c>
      <c r="C19" s="544">
        <f>'Scope3 Landfill Methane'!C38</f>
        <v>284.67057534634006</v>
      </c>
      <c r="D19" s="544">
        <f>'Scope3 Landfill Methane'!D38</f>
        <v>199.17484639324874</v>
      </c>
      <c r="E19" s="544">
        <f>'Scope3 Landfill Methane'!E38</f>
        <v>149.26323548733001</v>
      </c>
      <c r="F19" s="544">
        <f>'Scope3 Landfill Methane'!F38</f>
        <v>204.49528488410624</v>
      </c>
      <c r="G19" s="544">
        <f>'Scope3 Landfill Methane'!G38</f>
        <v>183.17696987528103</v>
      </c>
      <c r="H19" s="544">
        <f>'Scope3 Landfill Methane'!H38</f>
        <v>152.86959774007164</v>
      </c>
      <c r="I19" s="544">
        <f>'Scope3 Landfill Methane'!I38</f>
        <v>141.59876575006246</v>
      </c>
      <c r="J19" s="544">
        <f>'Scope3 Landfill Methane'!J38</f>
        <v>155.24167008708687</v>
      </c>
      <c r="K19" s="544">
        <f>'Scope3 Landfill Methane'!K38</f>
        <v>134.59068730130716</v>
      </c>
      <c r="L19" s="544">
        <f>'Scope3 Landfill Methane'!L38</f>
        <v>137.70228808592125</v>
      </c>
      <c r="M19" s="544">
        <f>'Scope3 Landfill Methane'!M38</f>
        <v>139.70808455582386</v>
      </c>
      <c r="N19" s="544">
        <f>'Scope3 Landfill Methane'!N38</f>
        <v>118.98035825293483</v>
      </c>
    </row>
    <row r="21" spans="1:14">
      <c r="A21" s="475" t="s">
        <v>6</v>
      </c>
      <c r="B21" s="476">
        <f t="shared" ref="B21:G21" si="2">SUM(B11,B19)</f>
        <v>1825.9704354890282</v>
      </c>
      <c r="C21" s="476">
        <f t="shared" si="2"/>
        <v>2221.87057534634</v>
      </c>
      <c r="D21" s="476">
        <f t="shared" si="2"/>
        <v>1866.3748463932488</v>
      </c>
      <c r="E21" s="476">
        <f t="shared" si="2"/>
        <v>1969.5632354873301</v>
      </c>
      <c r="F21" s="476">
        <f t="shared" si="2"/>
        <v>2571.1952848841065</v>
      </c>
      <c r="G21" s="476">
        <f t="shared" si="2"/>
        <v>2854.7769698752813</v>
      </c>
      <c r="H21" s="476">
        <f t="shared" ref="H21:M21" si="3">SUM(H11,H19)</f>
        <v>3167.1695977400714</v>
      </c>
      <c r="I21" s="476">
        <f t="shared" si="3"/>
        <v>3835.4987657500619</v>
      </c>
      <c r="J21" s="476">
        <f t="shared" si="3"/>
        <v>4042.441670087087</v>
      </c>
      <c r="K21" s="476">
        <f t="shared" si="3"/>
        <v>3429.0906873013073</v>
      </c>
      <c r="L21" s="476">
        <f t="shared" si="3"/>
        <v>4010.0022880859215</v>
      </c>
      <c r="M21" s="476">
        <f t="shared" si="3"/>
        <v>4028.108084555824</v>
      </c>
      <c r="N21" s="476">
        <f>SUM(N11,N19)</f>
        <v>4193.8803582529354</v>
      </c>
    </row>
    <row r="25" spans="1:14">
      <c r="A25" s="515" t="s">
        <v>933</v>
      </c>
    </row>
    <row r="26" spans="1:14">
      <c r="A26" s="515" t="s">
        <v>934</v>
      </c>
    </row>
  </sheetData>
  <mergeCells count="1">
    <mergeCell ref="A1:I1"/>
  </mergeCells>
  <phoneticPr fontId="54" type="noConversion"/>
  <hyperlinks>
    <hyperlink ref="A25" location="'Scope3 Travel'!A1" display="Extensive Data Travel"/>
    <hyperlink ref="A26" location="'Scope3 Landfill Methane'!A1" display="Extensive Data Landfill"/>
  </hyperlinks>
  <pageMargins left="0.75" right="0.75" top="1" bottom="1" header="0.3" footer="0.3"/>
  <pageSetup orientation="portrait" horizontalDpi="4294967292" verticalDpi="429496729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10"/>
  </sheetPr>
  <dimension ref="A1:V146"/>
  <sheetViews>
    <sheetView topLeftCell="A55" zoomScale="124" zoomScaleNormal="124" workbookViewId="0">
      <pane xSplit="1" topLeftCell="I1" activePane="topRight" state="frozen"/>
      <selection activeCell="A11" sqref="A11"/>
      <selection pane="topRight" activeCell="C69" sqref="C69:O69"/>
    </sheetView>
  </sheetViews>
  <sheetFormatPr baseColWidth="10" defaultColWidth="8.83203125" defaultRowHeight="13"/>
  <cols>
    <col min="1" max="1" width="25.5" customWidth="1"/>
    <col min="2" max="2" width="11" customWidth="1"/>
    <col min="3" max="3" width="9.83203125" bestFit="1" customWidth="1"/>
    <col min="4" max="4" width="14.33203125" customWidth="1"/>
    <col min="5" max="5" width="13.83203125" customWidth="1"/>
    <col min="6" max="6" width="15" customWidth="1"/>
    <col min="7" max="7" width="16.6640625" customWidth="1"/>
    <col min="8" max="8" width="13" customWidth="1"/>
    <col min="9" max="9" width="11.5" customWidth="1"/>
    <col min="10" max="10" width="11" customWidth="1"/>
    <col min="11" max="11" width="11.1640625" customWidth="1"/>
    <col min="12" max="12" width="9.83203125" bestFit="1" customWidth="1"/>
    <col min="13" max="13" width="9.83203125" customWidth="1"/>
    <col min="14" max="15" width="12.1640625" customWidth="1"/>
    <col min="16" max="16" width="13.33203125" customWidth="1"/>
    <col min="17" max="17" width="18.1640625" customWidth="1"/>
    <col min="18" max="18" width="12.6640625" customWidth="1"/>
    <col min="19" max="19" width="15.5" customWidth="1"/>
    <col min="21" max="21" width="10.1640625" customWidth="1"/>
  </cols>
  <sheetData>
    <row r="1" spans="1:22" ht="27.75" customHeight="1">
      <c r="A1" s="473" t="s">
        <v>16</v>
      </c>
      <c r="B1" s="473"/>
      <c r="C1" s="473"/>
      <c r="D1" s="473"/>
      <c r="E1" s="473"/>
      <c r="F1" s="473"/>
      <c r="G1" s="473"/>
      <c r="H1" s="473"/>
      <c r="I1" s="474"/>
      <c r="J1" s="477"/>
      <c r="K1" s="477"/>
    </row>
    <row r="2" spans="1:22" ht="12.75" customHeight="1">
      <c r="A2" s="839" t="s">
        <v>656</v>
      </c>
      <c r="B2" s="839"/>
      <c r="C2" s="839"/>
      <c r="D2" s="839"/>
      <c r="E2" s="839"/>
      <c r="F2" s="839"/>
      <c r="G2" s="839"/>
      <c r="H2" s="839"/>
    </row>
    <row r="3" spans="1:22">
      <c r="A3" s="839"/>
      <c r="B3" s="839"/>
      <c r="C3" s="839"/>
      <c r="D3" s="839"/>
      <c r="E3" s="839"/>
      <c r="F3" s="839"/>
      <c r="G3" s="839"/>
      <c r="H3" s="839"/>
    </row>
    <row r="4" spans="1:22">
      <c r="A4" s="839"/>
      <c r="B4" s="839"/>
      <c r="C4" s="839"/>
      <c r="D4" s="839"/>
      <c r="E4" s="839"/>
      <c r="F4" s="839"/>
      <c r="G4" s="839"/>
      <c r="H4" s="839"/>
      <c r="U4" s="24"/>
      <c r="V4" s="24"/>
    </row>
    <row r="5" spans="1:22">
      <c r="Q5" t="s">
        <v>1275</v>
      </c>
      <c r="U5" s="24"/>
      <c r="V5" s="24"/>
    </row>
    <row r="6" spans="1:22" ht="16">
      <c r="A6" s="105" t="s">
        <v>134</v>
      </c>
      <c r="B6" s="105"/>
      <c r="C6" s="24"/>
      <c r="Q6">
        <v>5409</v>
      </c>
      <c r="U6" s="24"/>
      <c r="V6" s="24"/>
    </row>
    <row r="7" spans="1:22">
      <c r="C7" s="10" t="s">
        <v>700</v>
      </c>
      <c r="Q7" s="24">
        <v>26504</v>
      </c>
      <c r="T7" s="24"/>
    </row>
    <row r="8" spans="1:22">
      <c r="A8" s="10" t="s">
        <v>411</v>
      </c>
      <c r="B8" s="10"/>
      <c r="C8" s="720" t="s">
        <v>310</v>
      </c>
      <c r="D8" s="720" t="s">
        <v>339</v>
      </c>
      <c r="E8" s="720" t="s">
        <v>731</v>
      </c>
      <c r="F8" s="615" t="s">
        <v>24</v>
      </c>
      <c r="G8" s="615" t="s">
        <v>1005</v>
      </c>
      <c r="H8" s="720" t="s">
        <v>1007</v>
      </c>
      <c r="I8" s="720" t="s">
        <v>1006</v>
      </c>
      <c r="J8" s="720" t="s">
        <v>1123</v>
      </c>
      <c r="K8" s="720" t="s">
        <v>1154</v>
      </c>
      <c r="L8" s="720" t="s">
        <v>1196</v>
      </c>
      <c r="M8" s="615" t="s">
        <v>1251</v>
      </c>
      <c r="N8" s="615" t="s">
        <v>1261</v>
      </c>
      <c r="O8" s="615" t="s">
        <v>1277</v>
      </c>
      <c r="Q8">
        <v>8060</v>
      </c>
    </row>
    <row r="9" spans="1:22">
      <c r="A9" t="s">
        <v>280</v>
      </c>
      <c r="C9" s="5">
        <f t="shared" ref="C9:I9" si="0">C25</f>
        <v>23876.400000000001</v>
      </c>
      <c r="D9" s="5">
        <f t="shared" si="0"/>
        <v>25145.3</v>
      </c>
      <c r="E9" s="5">
        <f t="shared" si="0"/>
        <v>22365.599999999999</v>
      </c>
      <c r="F9" s="5">
        <f t="shared" si="0"/>
        <v>14040.5</v>
      </c>
      <c r="G9" s="5">
        <f t="shared" si="0"/>
        <v>11272</v>
      </c>
      <c r="H9" s="5">
        <f t="shared" si="0"/>
        <v>11404.6</v>
      </c>
      <c r="I9" s="17">
        <f t="shared" si="0"/>
        <v>6488.9</v>
      </c>
      <c r="J9" s="17">
        <f t="shared" ref="J9:O9" si="1">J25</f>
        <v>7272</v>
      </c>
      <c r="K9" s="17">
        <f t="shared" si="1"/>
        <v>7031.8</v>
      </c>
      <c r="L9" s="17">
        <f t="shared" si="1"/>
        <v>2169.3000000000002</v>
      </c>
      <c r="M9" s="17">
        <f t="shared" si="1"/>
        <v>1879.6</v>
      </c>
      <c r="N9" s="17">
        <f t="shared" si="1"/>
        <v>422.8</v>
      </c>
      <c r="O9" s="17">
        <f t="shared" si="1"/>
        <v>0</v>
      </c>
      <c r="Q9">
        <v>84780</v>
      </c>
    </row>
    <row r="10" spans="1:22">
      <c r="A10" t="s">
        <v>752</v>
      </c>
      <c r="C10" s="5">
        <f t="shared" ref="C10:I10" si="2">C41</f>
        <v>2003.4</v>
      </c>
      <c r="D10" s="5">
        <f t="shared" si="2"/>
        <v>1843.6</v>
      </c>
      <c r="E10" s="5">
        <f t="shared" si="2"/>
        <v>1813.3</v>
      </c>
      <c r="F10" s="5">
        <f t="shared" si="2"/>
        <v>1538.1</v>
      </c>
      <c r="G10" s="5">
        <f t="shared" si="2"/>
        <v>1922.7</v>
      </c>
      <c r="H10" s="5">
        <f t="shared" si="2"/>
        <v>1625.3</v>
      </c>
      <c r="I10" s="17">
        <f t="shared" si="2"/>
        <v>1895.6</v>
      </c>
      <c r="J10" s="17">
        <f t="shared" ref="J10:O10" si="3">J41</f>
        <v>1942.4</v>
      </c>
      <c r="K10" s="17">
        <f t="shared" si="3"/>
        <v>1908.3</v>
      </c>
      <c r="L10" s="17">
        <f t="shared" si="3"/>
        <v>1992.7</v>
      </c>
      <c r="M10" s="17">
        <f t="shared" si="3"/>
        <v>1899.7</v>
      </c>
      <c r="N10" s="17">
        <f t="shared" si="3"/>
        <v>1928.7</v>
      </c>
      <c r="O10" s="17">
        <f t="shared" si="3"/>
        <v>1688.3</v>
      </c>
      <c r="Q10" s="592">
        <v>391232</v>
      </c>
    </row>
    <row r="11" spans="1:22">
      <c r="A11" t="s">
        <v>412</v>
      </c>
      <c r="C11" s="5">
        <f t="shared" ref="C11:I11" si="4">C53</f>
        <v>711.86687999999992</v>
      </c>
      <c r="D11" s="5">
        <f t="shared" si="4"/>
        <v>655.21048000000008</v>
      </c>
      <c r="E11" s="5">
        <f t="shared" si="4"/>
        <v>643.23524000000009</v>
      </c>
      <c r="F11" s="5">
        <f t="shared" si="4"/>
        <v>591.41052000000013</v>
      </c>
      <c r="G11" s="5">
        <f t="shared" si="4"/>
        <v>652.89859999999999</v>
      </c>
      <c r="H11" s="5">
        <f t="shared" si="4"/>
        <v>659.33820000000003</v>
      </c>
      <c r="I11" s="17">
        <f t="shared" si="4"/>
        <v>611.03327999999999</v>
      </c>
      <c r="J11" s="17">
        <f t="shared" ref="J11:O11" si="5">J53</f>
        <v>379.98392000000001</v>
      </c>
      <c r="K11" s="17">
        <f t="shared" si="5"/>
        <v>463.10663999999997</v>
      </c>
      <c r="L11" s="17">
        <f t="shared" si="5"/>
        <v>412.78983999999997</v>
      </c>
      <c r="M11" s="17">
        <f t="shared" si="5"/>
        <v>598.95803999999998</v>
      </c>
      <c r="N11" s="17">
        <f t="shared" si="5"/>
        <v>508.59176000000002</v>
      </c>
      <c r="O11" s="17">
        <f t="shared" si="5"/>
        <v>530.93036000000006</v>
      </c>
      <c r="Q11" s="17">
        <f>SUM(Q6:Q10)</f>
        <v>515985</v>
      </c>
    </row>
    <row r="12" spans="1:22">
      <c r="A12" t="s">
        <v>330</v>
      </c>
      <c r="C12" s="5">
        <v>0</v>
      </c>
      <c r="D12" s="5">
        <v>0</v>
      </c>
      <c r="E12" s="5">
        <v>0</v>
      </c>
      <c r="F12" s="5">
        <v>0</v>
      </c>
      <c r="G12" s="5">
        <v>0</v>
      </c>
      <c r="H12" s="5">
        <v>0</v>
      </c>
      <c r="I12" s="17">
        <v>0</v>
      </c>
      <c r="J12" s="17">
        <v>0</v>
      </c>
      <c r="K12" s="17">
        <v>0</v>
      </c>
      <c r="L12" s="17">
        <f>L65</f>
        <v>3763.44715</v>
      </c>
      <c r="M12" s="17">
        <f>M65</f>
        <v>3018.28406</v>
      </c>
      <c r="N12" s="17">
        <f>N65</f>
        <v>4391.8621800000001</v>
      </c>
      <c r="O12" s="17">
        <f>O65</f>
        <v>5068.1817300000002</v>
      </c>
    </row>
    <row r="13" spans="1:22">
      <c r="A13" s="475" t="s">
        <v>724</v>
      </c>
      <c r="B13" s="475"/>
      <c r="C13" s="476">
        <f t="shared" ref="C13:I13" si="6">SUM(C9:C11)</f>
        <v>26591.666880000004</v>
      </c>
      <c r="D13" s="476">
        <f t="shared" si="6"/>
        <v>27644.110479999999</v>
      </c>
      <c r="E13" s="476">
        <f t="shared" si="6"/>
        <v>24822.13524</v>
      </c>
      <c r="F13" s="476">
        <f t="shared" si="6"/>
        <v>16170.01052</v>
      </c>
      <c r="G13" s="476">
        <f t="shared" si="6"/>
        <v>13847.598600000001</v>
      </c>
      <c r="H13" s="476">
        <f>SUM(H9:H11)</f>
        <v>13689.2382</v>
      </c>
      <c r="I13" s="476">
        <f t="shared" si="6"/>
        <v>8995.5332799999996</v>
      </c>
      <c r="J13" s="476">
        <f>SUM(J9:J11)</f>
        <v>9594.3839200000002</v>
      </c>
      <c r="K13" s="476">
        <f>SUM(K9:K11)</f>
        <v>9403.2066400000003</v>
      </c>
      <c r="L13" s="476">
        <f>SUM(L9:L12)</f>
        <v>8338.2369900000012</v>
      </c>
      <c r="M13" s="476">
        <f>SUM(M9:M12)</f>
        <v>7396.5421000000006</v>
      </c>
      <c r="N13" s="476">
        <f>SUM(N9:N12)</f>
        <v>7251.9539400000003</v>
      </c>
      <c r="O13" s="476">
        <f>SUM(O9:O12)</f>
        <v>7287.4120899999998</v>
      </c>
    </row>
    <row r="14" spans="1:22">
      <c r="A14" s="23"/>
      <c r="B14" s="23"/>
      <c r="K14" s="10"/>
      <c r="L14" s="9"/>
      <c r="M14" s="9"/>
      <c r="N14" s="9"/>
      <c r="O14" s="9"/>
    </row>
    <row r="15" spans="1:22" ht="16">
      <c r="A15" s="4" t="s">
        <v>280</v>
      </c>
      <c r="B15" s="4"/>
      <c r="K15" s="103"/>
      <c r="L15" s="13"/>
      <c r="M15" s="13"/>
      <c r="N15" s="13"/>
      <c r="O15" s="13"/>
    </row>
    <row r="16" spans="1:22">
      <c r="A16" s="10"/>
      <c r="B16" s="10"/>
    </row>
    <row r="17" spans="1:22">
      <c r="A17" s="107" t="s">
        <v>628</v>
      </c>
      <c r="B17" s="107"/>
      <c r="C17" s="720" t="s">
        <v>310</v>
      </c>
      <c r="D17" s="736" t="s">
        <v>339</v>
      </c>
      <c r="E17" s="736" t="s">
        <v>731</v>
      </c>
      <c r="F17" s="615" t="s">
        <v>24</v>
      </c>
      <c r="G17" s="615" t="s">
        <v>1005</v>
      </c>
      <c r="H17" s="615" t="s">
        <v>970</v>
      </c>
      <c r="I17" s="615" t="s">
        <v>1006</v>
      </c>
      <c r="J17" s="615" t="s">
        <v>1123</v>
      </c>
      <c r="K17" s="615" t="s">
        <v>1135</v>
      </c>
      <c r="L17" s="615" t="s">
        <v>1196</v>
      </c>
      <c r="M17" s="615" t="s">
        <v>1251</v>
      </c>
      <c r="N17" s="615" t="s">
        <v>1261</v>
      </c>
      <c r="O17" s="615" t="s">
        <v>1277</v>
      </c>
    </row>
    <row r="18" spans="1:22" s="29" customFormat="1" ht="14.25" customHeight="1">
      <c r="A18" s="100" t="s">
        <v>555</v>
      </c>
      <c r="B18" s="100"/>
      <c r="C18" s="109">
        <v>2040108</v>
      </c>
      <c r="D18" s="380">
        <f>2145513+3019.6</f>
        <v>2148532.6</v>
      </c>
      <c r="E18" s="380">
        <v>1911015</v>
      </c>
      <c r="F18" s="456">
        <v>1199687</v>
      </c>
      <c r="G18" s="456">
        <v>963126</v>
      </c>
      <c r="H18" s="565">
        <v>974460</v>
      </c>
      <c r="I18" s="565">
        <v>554442</v>
      </c>
      <c r="J18" s="565">
        <v>621351</v>
      </c>
      <c r="K18" s="737">
        <v>600831</v>
      </c>
      <c r="L18" s="738">
        <v>185359</v>
      </c>
      <c r="M18" s="738">
        <v>160598</v>
      </c>
      <c r="N18" s="619">
        <v>36132</v>
      </c>
      <c r="O18" s="619">
        <v>0</v>
      </c>
    </row>
    <row r="19" spans="1:22">
      <c r="A19" s="71" t="s">
        <v>405</v>
      </c>
      <c r="B19" s="71"/>
      <c r="C19" s="123">
        <f t="shared" ref="C19:L19" si="7">ROUND(C18*$C89,1)</f>
        <v>305384.7</v>
      </c>
      <c r="D19" s="123">
        <f t="shared" si="7"/>
        <v>321614.90000000002</v>
      </c>
      <c r="E19" s="123">
        <f t="shared" si="7"/>
        <v>286060.7</v>
      </c>
      <c r="F19" s="123">
        <f t="shared" si="7"/>
        <v>179581.7</v>
      </c>
      <c r="G19" s="123">
        <f t="shared" si="7"/>
        <v>144170.79999999999</v>
      </c>
      <c r="H19" s="123">
        <f t="shared" si="7"/>
        <v>145867.4</v>
      </c>
      <c r="I19" s="123">
        <f t="shared" si="7"/>
        <v>82994.7</v>
      </c>
      <c r="J19" s="123">
        <f t="shared" si="7"/>
        <v>93010.3</v>
      </c>
      <c r="K19" s="123">
        <f t="shared" si="7"/>
        <v>89938.7</v>
      </c>
      <c r="L19" s="123">
        <f t="shared" si="7"/>
        <v>27746.5</v>
      </c>
      <c r="M19" s="123">
        <f>ROUND(M18*$C89,1)</f>
        <v>24040</v>
      </c>
      <c r="N19" s="123">
        <f>ROUND(N18*$C89,1)</f>
        <v>5408.6</v>
      </c>
      <c r="O19" s="123">
        <f>ROUND(O18*$C89,1)</f>
        <v>0</v>
      </c>
    </row>
    <row r="20" spans="1:22" ht="15">
      <c r="A20" s="83" t="s">
        <v>173</v>
      </c>
      <c r="B20" s="83"/>
      <c r="C20" s="115">
        <f t="shared" ref="C20:L20" si="8">ROUND(C18*$C90,1)</f>
        <v>23806.799999999999</v>
      </c>
      <c r="D20" s="115">
        <f t="shared" si="8"/>
        <v>25072</v>
      </c>
      <c r="E20" s="115">
        <f t="shared" si="8"/>
        <v>22300.400000000001</v>
      </c>
      <c r="F20" s="115">
        <f t="shared" si="8"/>
        <v>13999.6</v>
      </c>
      <c r="G20" s="115">
        <f t="shared" si="8"/>
        <v>11239.1</v>
      </c>
      <c r="H20" s="115">
        <f t="shared" si="8"/>
        <v>11371.3</v>
      </c>
      <c r="I20" s="115">
        <f t="shared" si="8"/>
        <v>6470</v>
      </c>
      <c r="J20" s="115">
        <f t="shared" si="8"/>
        <v>7250.8</v>
      </c>
      <c r="K20" s="115">
        <f t="shared" si="8"/>
        <v>7011.3</v>
      </c>
      <c r="L20" s="115">
        <f t="shared" si="8"/>
        <v>2163</v>
      </c>
      <c r="M20" s="115">
        <f>ROUND(M18*$C90,1)</f>
        <v>1874.1</v>
      </c>
      <c r="N20" s="115">
        <f>ROUND(N18*$C90,1)</f>
        <v>421.6</v>
      </c>
      <c r="O20" s="115">
        <f>ROUND(O18*$C90,1)</f>
        <v>0</v>
      </c>
      <c r="P20" s="104"/>
      <c r="Q20" s="82"/>
    </row>
    <row r="21" spans="1:22" ht="15">
      <c r="A21" s="25" t="s">
        <v>866</v>
      </c>
      <c r="B21" s="25"/>
      <c r="C21" s="95">
        <f t="shared" ref="C21:L21" si="9">($C95*C19*$C83)</f>
        <v>0.61076940000000002</v>
      </c>
      <c r="D21" s="95">
        <f t="shared" si="9"/>
        <v>0.64322979999999996</v>
      </c>
      <c r="E21" s="95">
        <f t="shared" si="9"/>
        <v>0.5721214</v>
      </c>
      <c r="F21" s="95">
        <f t="shared" si="9"/>
        <v>0.35916340000000002</v>
      </c>
      <c r="G21" s="95">
        <f t="shared" si="9"/>
        <v>0.28834159999999998</v>
      </c>
      <c r="H21" s="95">
        <f t="shared" si="9"/>
        <v>0.29173479999999996</v>
      </c>
      <c r="I21" s="95">
        <f t="shared" si="9"/>
        <v>0.16598939999999998</v>
      </c>
      <c r="J21" s="95">
        <f t="shared" si="9"/>
        <v>0.18602060000000001</v>
      </c>
      <c r="K21" s="95">
        <f t="shared" si="9"/>
        <v>0.17987739999999999</v>
      </c>
      <c r="L21" s="95">
        <f t="shared" si="9"/>
        <v>5.5493000000000001E-2</v>
      </c>
      <c r="M21" s="95">
        <f>($C95*M19*$C83)</f>
        <v>4.8079999999999998E-2</v>
      </c>
      <c r="N21" s="95">
        <f>($C95*N19*$C83)</f>
        <v>1.0817200000000001E-2</v>
      </c>
      <c r="O21" s="95">
        <f>($C95*O19*$C83)</f>
        <v>0</v>
      </c>
      <c r="P21" s="24"/>
      <c r="Q21" s="24"/>
    </row>
    <row r="22" spans="1:22" ht="15">
      <c r="A22" s="83" t="s">
        <v>188</v>
      </c>
      <c r="B22" s="83"/>
      <c r="C22" s="111">
        <f t="shared" ref="C22:L22" si="10">C19*$C95*$C83*$C85</f>
        <v>12.8261574</v>
      </c>
      <c r="D22" s="111">
        <f t="shared" si="10"/>
        <v>13.507825799999999</v>
      </c>
      <c r="E22" s="111">
        <f t="shared" si="10"/>
        <v>12.0145494</v>
      </c>
      <c r="F22" s="111">
        <f t="shared" si="10"/>
        <v>7.5424314000000008</v>
      </c>
      <c r="G22" s="111">
        <f t="shared" si="10"/>
        <v>6.0551735999999998</v>
      </c>
      <c r="H22" s="111">
        <f t="shared" si="10"/>
        <v>6.1264307999999996</v>
      </c>
      <c r="I22" s="111">
        <f t="shared" si="10"/>
        <v>3.4857773999999995</v>
      </c>
      <c r="J22" s="111">
        <f t="shared" si="10"/>
        <v>3.9064326</v>
      </c>
      <c r="K22" s="111">
        <f t="shared" si="10"/>
        <v>3.7774253999999998</v>
      </c>
      <c r="L22" s="111">
        <f t="shared" si="10"/>
        <v>1.1653530000000001</v>
      </c>
      <c r="M22" s="111">
        <f>M19*$C95*$C83*$C85</f>
        <v>1.0096799999999999</v>
      </c>
      <c r="N22" s="111">
        <f>N19*$C95*$C83*$C85</f>
        <v>0.22716120000000001</v>
      </c>
      <c r="O22" s="111">
        <f>O19*$C95*$C83*$C85</f>
        <v>0</v>
      </c>
    </row>
    <row r="23" spans="1:22" ht="15">
      <c r="A23" s="25" t="s">
        <v>859</v>
      </c>
      <c r="B23" s="25"/>
      <c r="C23" s="95">
        <f t="shared" ref="C23:L23" si="11">($C96*C19*$C83)</f>
        <v>0.18323081999999999</v>
      </c>
      <c r="D23" s="95">
        <f t="shared" si="11"/>
        <v>0.19296894000000001</v>
      </c>
      <c r="E23" s="95">
        <f t="shared" si="11"/>
        <v>0.17163642000000001</v>
      </c>
      <c r="F23" s="95">
        <f t="shared" si="11"/>
        <v>0.10774902</v>
      </c>
      <c r="G23" s="95">
        <f t="shared" si="11"/>
        <v>8.6502479999999993E-2</v>
      </c>
      <c r="H23" s="95">
        <f t="shared" si="11"/>
        <v>8.7520439999999977E-2</v>
      </c>
      <c r="I23" s="95">
        <f t="shared" si="11"/>
        <v>4.9796819999999999E-2</v>
      </c>
      <c r="J23" s="95">
        <f t="shared" si="11"/>
        <v>5.5806179999999997E-2</v>
      </c>
      <c r="K23" s="95">
        <f t="shared" si="11"/>
        <v>5.3963219999999992E-2</v>
      </c>
      <c r="L23" s="95">
        <f t="shared" si="11"/>
        <v>1.6647899999999997E-2</v>
      </c>
      <c r="M23" s="95">
        <f>($C96*M19*$C83)</f>
        <v>1.4423999999999999E-2</v>
      </c>
      <c r="N23" s="95">
        <f>($C96*N19*$C83)</f>
        <v>3.24516E-3</v>
      </c>
      <c r="O23" s="95">
        <f>($C96*O19*$C83)</f>
        <v>0</v>
      </c>
      <c r="R23" s="10">
        <v>2018</v>
      </c>
      <c r="S23" s="24"/>
      <c r="U23">
        <f>(N35+N47)/R24</f>
        <v>6.6988107668489741E-2</v>
      </c>
      <c r="V23" s="17" t="s">
        <v>1270</v>
      </c>
    </row>
    <row r="24" spans="1:22" ht="15">
      <c r="A24" s="83" t="s">
        <v>190</v>
      </c>
      <c r="B24" s="83"/>
      <c r="C24" s="111">
        <f t="shared" ref="C24:L24" si="12">C19*$C96*$C83*$C86</f>
        <v>56.801554199999998</v>
      </c>
      <c r="D24" s="111">
        <f t="shared" si="12"/>
        <v>59.820371399999999</v>
      </c>
      <c r="E24" s="111">
        <f t="shared" si="12"/>
        <v>53.207290200000003</v>
      </c>
      <c r="F24" s="111">
        <f t="shared" si="12"/>
        <v>33.402196199999999</v>
      </c>
      <c r="G24" s="111">
        <f t="shared" si="12"/>
        <v>26.815768799999997</v>
      </c>
      <c r="H24" s="111">
        <f t="shared" si="12"/>
        <v>27.131336399999991</v>
      </c>
      <c r="I24" s="111">
        <f t="shared" si="12"/>
        <v>15.4370142</v>
      </c>
      <c r="J24" s="111">
        <f t="shared" si="12"/>
        <v>17.299915799999997</v>
      </c>
      <c r="K24" s="111">
        <f t="shared" si="12"/>
        <v>16.728598199999997</v>
      </c>
      <c r="L24" s="111">
        <f t="shared" si="12"/>
        <v>5.1608489999999989</v>
      </c>
      <c r="M24" s="111">
        <f>M19*$C96*$C83*$C86</f>
        <v>4.4714399999999994</v>
      </c>
      <c r="N24" s="111">
        <f>N19*$C96*$C83*$C86</f>
        <v>1.0059996</v>
      </c>
      <c r="O24" s="111">
        <f>O19*$C96*$C83*$C86</f>
        <v>0</v>
      </c>
      <c r="Q24" t="s">
        <v>1181</v>
      </c>
      <c r="R24" s="5">
        <f>N19+N35+N47+N59+N70</f>
        <v>515985.61599999998</v>
      </c>
      <c r="S24" s="5"/>
    </row>
    <row r="25" spans="1:22">
      <c r="A25" s="470" t="s">
        <v>532</v>
      </c>
      <c r="B25" s="470"/>
      <c r="C25" s="472">
        <f t="shared" ref="C25:I25" si="13">ROUND(C20+C22+C24,1)</f>
        <v>23876.400000000001</v>
      </c>
      <c r="D25" s="472">
        <f t="shared" si="13"/>
        <v>25145.3</v>
      </c>
      <c r="E25" s="472">
        <f t="shared" si="13"/>
        <v>22365.599999999999</v>
      </c>
      <c r="F25" s="472">
        <f t="shared" si="13"/>
        <v>14040.5</v>
      </c>
      <c r="G25" s="472">
        <f t="shared" si="13"/>
        <v>11272</v>
      </c>
      <c r="H25" s="472">
        <f t="shared" si="13"/>
        <v>11404.6</v>
      </c>
      <c r="I25" s="472">
        <f t="shared" si="13"/>
        <v>6488.9</v>
      </c>
      <c r="J25" s="472">
        <f t="shared" ref="J25:O25" si="14">ROUND(J20+J22+J24,1)</f>
        <v>7272</v>
      </c>
      <c r="K25" s="472">
        <f t="shared" si="14"/>
        <v>7031.8</v>
      </c>
      <c r="L25" s="472">
        <f t="shared" si="14"/>
        <v>2169.3000000000002</v>
      </c>
      <c r="M25" s="472">
        <f t="shared" si="14"/>
        <v>1879.6</v>
      </c>
      <c r="N25" s="472">
        <f t="shared" si="14"/>
        <v>422.8</v>
      </c>
      <c r="O25" s="472">
        <f t="shared" si="14"/>
        <v>0</v>
      </c>
      <c r="Q25" s="592" t="s">
        <v>1223</v>
      </c>
      <c r="R25" s="593"/>
      <c r="S25" s="593"/>
    </row>
    <row r="26" spans="1:22">
      <c r="Q26" t="s">
        <v>1224</v>
      </c>
      <c r="R26" s="5">
        <f>R24+R25</f>
        <v>515985.61599999998</v>
      </c>
      <c r="S26" s="5"/>
      <c r="U26" t="s">
        <v>1271</v>
      </c>
      <c r="V26">
        <v>1000</v>
      </c>
    </row>
    <row r="27" spans="1:22" ht="16">
      <c r="A27" s="4" t="s">
        <v>359</v>
      </c>
      <c r="B27" s="4"/>
      <c r="Q27" t="s">
        <v>1180</v>
      </c>
      <c r="R27" s="84">
        <f>N70/R26</f>
        <v>0.75822291139216558</v>
      </c>
      <c r="S27" s="5"/>
      <c r="U27" t="s">
        <v>1272</v>
      </c>
      <c r="V27">
        <v>8000</v>
      </c>
    </row>
    <row r="28" spans="1:22">
      <c r="A28" s="10"/>
      <c r="B28" s="10"/>
      <c r="Q28" t="s">
        <v>1220</v>
      </c>
      <c r="R28" s="781"/>
      <c r="S28" s="781"/>
      <c r="U28" t="s">
        <v>1273</v>
      </c>
      <c r="V28">
        <v>12000</v>
      </c>
    </row>
    <row r="29" spans="1:22">
      <c r="A29" s="6" t="s">
        <v>628</v>
      </c>
      <c r="B29" s="6"/>
      <c r="C29" s="720" t="s">
        <v>310</v>
      </c>
      <c r="D29" s="720" t="s">
        <v>339</v>
      </c>
      <c r="E29" s="720" t="s">
        <v>731</v>
      </c>
      <c r="F29" s="615" t="s">
        <v>24</v>
      </c>
      <c r="G29" s="615" t="s">
        <v>1005</v>
      </c>
      <c r="H29" s="615" t="s">
        <v>970</v>
      </c>
      <c r="I29" s="615" t="s">
        <v>955</v>
      </c>
      <c r="J29" s="615" t="s">
        <v>1123</v>
      </c>
      <c r="K29" s="615" t="s">
        <v>1154</v>
      </c>
      <c r="L29" s="615" t="s">
        <v>1197</v>
      </c>
      <c r="M29" s="615" t="s">
        <v>1251</v>
      </c>
      <c r="N29" s="615" t="s">
        <v>1261</v>
      </c>
      <c r="O29" s="615" t="s">
        <v>1277</v>
      </c>
      <c r="Q29" t="s">
        <v>1221</v>
      </c>
      <c r="R29" s="5"/>
      <c r="S29" s="5"/>
      <c r="U29" t="s">
        <v>1274</v>
      </c>
      <c r="V29">
        <v>12000</v>
      </c>
    </row>
    <row r="30" spans="1:22" s="29" customFormat="1">
      <c r="A30" s="26" t="s">
        <v>670</v>
      </c>
      <c r="B30" s="26"/>
      <c r="C30" s="28">
        <v>60319.1</v>
      </c>
      <c r="D30" s="379">
        <v>50329</v>
      </c>
      <c r="E30" s="409">
        <v>42558.9</v>
      </c>
      <c r="F30" s="455">
        <v>29587.7</v>
      </c>
      <c r="G30" s="455">
        <v>40762.9</v>
      </c>
      <c r="H30" s="27">
        <v>30595.8</v>
      </c>
      <c r="I30" s="27">
        <f>33262.4+371.7+996.4</f>
        <v>34630.5</v>
      </c>
      <c r="J30" s="453">
        <v>32667.7</v>
      </c>
      <c r="K30" s="453">
        <v>56169</v>
      </c>
      <c r="L30" s="109">
        <v>40945</v>
      </c>
      <c r="M30" s="109">
        <v>148081.1</v>
      </c>
      <c r="N30" s="109">
        <v>159714</v>
      </c>
      <c r="O30" s="109">
        <v>151031</v>
      </c>
      <c r="Q30" t="s">
        <v>1222</v>
      </c>
      <c r="R30" s="5"/>
      <c r="S30" s="5"/>
    </row>
    <row r="31" spans="1:22" s="29" customFormat="1">
      <c r="A31" s="26" t="s">
        <v>320</v>
      </c>
      <c r="B31" s="26"/>
      <c r="C31" s="28">
        <v>145665.79999999999</v>
      </c>
      <c r="D31" s="379">
        <v>138141.79999999999</v>
      </c>
      <c r="E31" s="27">
        <v>149398.20000000001</v>
      </c>
      <c r="F31" s="409">
        <v>129233.5</v>
      </c>
      <c r="G31" s="409">
        <v>142187.9</v>
      </c>
      <c r="H31" s="27">
        <v>124268.8</v>
      </c>
      <c r="I31" s="27">
        <v>142688.70000000001</v>
      </c>
      <c r="J31" s="453">
        <v>152836.29999999999</v>
      </c>
      <c r="K31" s="453">
        <v>124867</v>
      </c>
      <c r="L31" s="453">
        <v>149348</v>
      </c>
      <c r="M31" s="109">
        <v>0</v>
      </c>
      <c r="N31" s="109">
        <v>0</v>
      </c>
      <c r="O31" s="109">
        <v>0</v>
      </c>
      <c r="Q31"/>
      <c r="R31" s="84"/>
      <c r="S31" s="84"/>
    </row>
    <row r="32" spans="1:22" s="29" customFormat="1" ht="15">
      <c r="A32" s="100" t="s">
        <v>651</v>
      </c>
      <c r="B32" s="100"/>
      <c r="C32" s="112">
        <v>21662.400000000001</v>
      </c>
      <c r="D32" s="379">
        <v>21840.2</v>
      </c>
      <c r="E32" s="409">
        <v>17595.900000000001</v>
      </c>
      <c r="F32" s="454">
        <v>19427.900000000001</v>
      </c>
      <c r="G32" s="454">
        <v>35999</v>
      </c>
      <c r="H32" s="27">
        <v>31039.3</v>
      </c>
      <c r="I32" s="27">
        <f>38027.2+1028.7</f>
        <v>39055.899999999994</v>
      </c>
      <c r="J32" s="453">
        <v>37526.939999999995</v>
      </c>
      <c r="K32" s="453">
        <v>33024</v>
      </c>
      <c r="L32" s="453">
        <v>37039</v>
      </c>
      <c r="M32" s="109">
        <f>35184.5+1815.4+3159.1</f>
        <v>40159</v>
      </c>
      <c r="N32" s="109">
        <v>31394</v>
      </c>
      <c r="O32" s="109">
        <v>16259</v>
      </c>
      <c r="P32"/>
      <c r="Q32" s="84"/>
      <c r="R32" s="651"/>
    </row>
    <row r="33" spans="1:18" s="29" customFormat="1">
      <c r="A33" s="70" t="s">
        <v>479</v>
      </c>
      <c r="B33" s="70"/>
      <c r="C33" s="134">
        <f>(('FY 02-06 reference'!B20*0.05)+(C31*0.2))</f>
        <v>29133.16</v>
      </c>
      <c r="D33" s="134">
        <f>(('FY 02-06 reference'!C20*0.05)+(D31*0.2))</f>
        <v>27628.36</v>
      </c>
      <c r="E33" s="134">
        <f>(('FY 02-06 reference'!D20*0.05)+(E31*0.2))</f>
        <v>29879.640000000003</v>
      </c>
      <c r="F33" s="134">
        <f>(('FY 02-06 reference'!E20*0.05)+(F31*0.2))</f>
        <v>25846.7</v>
      </c>
      <c r="G33" s="134">
        <f>(('FY 02-06 reference'!F20*0.05)+(G31*0.2))</f>
        <v>28437.58</v>
      </c>
      <c r="H33" s="134">
        <f>(('FY 02-06 reference'!G20*0.05)+(H31*0.2))</f>
        <v>24853.760000000002</v>
      </c>
      <c r="I33" s="134">
        <f>(('FY 02-06 reference'!H20*0.05)+(I31*0.2))</f>
        <v>28537.740000000005</v>
      </c>
      <c r="J33" s="134">
        <f>(('FY 02-06 reference'!I20*0.05)+(J31*0.2))</f>
        <v>30567.26</v>
      </c>
      <c r="K33" s="134">
        <f>(('FY 02-06 reference'!J20*0.05)+(K31*0.2))</f>
        <v>24973.4</v>
      </c>
      <c r="L33" s="134">
        <f>(('FY 02-06 reference'!K20*0.05)+(L31*0.2))</f>
        <v>29869.600000000002</v>
      </c>
      <c r="M33" s="134">
        <f>(('FY 02-06 reference'!L20*0.05)+(M31*0.2))</f>
        <v>0</v>
      </c>
      <c r="N33" s="134">
        <f>(('FY 02-06 reference'!M20*0.05)+(N31*0.2))</f>
        <v>0</v>
      </c>
      <c r="O33" s="134">
        <f>(('FY 02-06 reference'!N20*0.05)+(O31*0.2))</f>
        <v>0</v>
      </c>
      <c r="P33" s="29" t="s">
        <v>1028</v>
      </c>
    </row>
    <row r="34" spans="1:18" ht="13.5" customHeight="1">
      <c r="A34" s="24" t="s">
        <v>611</v>
      </c>
      <c r="B34" s="24"/>
      <c r="C34" s="96">
        <f>(C30+('FY 02-06 reference'!B20*0.95)+(C31*0.8)+C32)</f>
        <v>198514.13999999998</v>
      </c>
      <c r="D34" s="96">
        <f>(D30+('FY 02-06 reference'!C20*0.95)+(D31*0.8)+D32)</f>
        <v>182682.64</v>
      </c>
      <c r="E34" s="96">
        <f>(E30+('FY 02-06 reference'!D20*0.95)+(E31*0.8)+E32)</f>
        <v>179673.36000000002</v>
      </c>
      <c r="F34" s="96">
        <f>(F30+('FY 02-06 reference'!E20*0.95)+(F31*0.8)+F32)</f>
        <v>152402.4</v>
      </c>
      <c r="G34" s="96">
        <f>(G30+('FY 02-06 reference'!F20*0.95)+(G31*0.8)+G32)</f>
        <v>190512.22</v>
      </c>
      <c r="H34" s="96">
        <f>(H30+('FY 02-06 reference'!G20*0.95)+(H31*0.8)+H32)</f>
        <v>161050.14000000001</v>
      </c>
      <c r="I34" s="96">
        <f>(I30+('FY 02-06 reference'!H20*0.95)+(I31*0.8)+I32)</f>
        <v>187837.36000000002</v>
      </c>
      <c r="J34" s="96">
        <f>(J30+('FY 02-06 reference'!I20*0.95)+(J31*0.8)+J32)</f>
        <v>192463.68</v>
      </c>
      <c r="K34" s="96">
        <f>(K30+('FY 02-06 reference'!J20*0.95)+(K31*0.8)+K32)</f>
        <v>189086.6</v>
      </c>
      <c r="L34" s="96">
        <f>(L30+('FY 02-06 reference'!K20*0.95)+(L31*0.8)+L32)</f>
        <v>197462.40000000002</v>
      </c>
      <c r="M34" s="96">
        <f>(M30+('FY 02-06 reference'!L20*0.95)+(M31*0.8)+M32)</f>
        <v>188240.1</v>
      </c>
      <c r="N34" s="96">
        <f>(N30+('FY 02-06 reference'!M20*0.95)+(N31*0.8)+N32)</f>
        <v>191108</v>
      </c>
      <c r="O34" s="96">
        <f>(O30+('FY 02-06 reference'!N20*0.95)+(O31*0.8)+O32)</f>
        <v>167290</v>
      </c>
      <c r="P34" s="29" t="s">
        <v>1198</v>
      </c>
      <c r="Q34" s="29"/>
      <c r="R34" s="29"/>
    </row>
    <row r="35" spans="1:18">
      <c r="A35" s="71" t="s">
        <v>405</v>
      </c>
      <c r="B35" s="71"/>
      <c r="C35" s="123">
        <f t="shared" ref="C35:H35" si="15">ROUND(C34*$C99,1)</f>
        <v>27532</v>
      </c>
      <c r="D35" s="123">
        <f t="shared" si="15"/>
        <v>25336.3</v>
      </c>
      <c r="E35" s="123">
        <f t="shared" si="15"/>
        <v>24919</v>
      </c>
      <c r="F35" s="123">
        <f t="shared" si="15"/>
        <v>21136.799999999999</v>
      </c>
      <c r="G35" s="123">
        <f t="shared" si="15"/>
        <v>26422.2</v>
      </c>
      <c r="H35" s="123">
        <f t="shared" si="15"/>
        <v>22336.1</v>
      </c>
      <c r="I35" s="123">
        <f t="shared" ref="I35:N35" si="16">ROUND(I34*$C99,1)</f>
        <v>26051.3</v>
      </c>
      <c r="J35" s="123">
        <f t="shared" si="16"/>
        <v>26692.9</v>
      </c>
      <c r="K35" s="123">
        <f t="shared" si="16"/>
        <v>26224.5</v>
      </c>
      <c r="L35" s="123">
        <f t="shared" si="16"/>
        <v>27386.2</v>
      </c>
      <c r="M35" s="123">
        <f t="shared" si="16"/>
        <v>26107.1</v>
      </c>
      <c r="N35" s="123">
        <f t="shared" si="16"/>
        <v>26504.9</v>
      </c>
      <c r="O35" s="123">
        <f>ROUND(O34*$C99,1)</f>
        <v>23201.5</v>
      </c>
      <c r="P35" s="29"/>
      <c r="Q35" s="29"/>
      <c r="R35" s="29"/>
    </row>
    <row r="36" spans="1:18" ht="15">
      <c r="A36" s="83" t="s">
        <v>173</v>
      </c>
      <c r="B36" s="83"/>
      <c r="C36" s="115">
        <f t="shared" ref="C36:H36" si="17">ROUND(C34*$C100,1)</f>
        <v>1992.5</v>
      </c>
      <c r="D36" s="115">
        <f t="shared" si="17"/>
        <v>1833.6</v>
      </c>
      <c r="E36" s="115">
        <f t="shared" si="17"/>
        <v>1803.4</v>
      </c>
      <c r="F36" s="115">
        <f t="shared" si="17"/>
        <v>1529.7</v>
      </c>
      <c r="G36" s="115">
        <f t="shared" si="17"/>
        <v>1912.2</v>
      </c>
      <c r="H36" s="115">
        <f t="shared" si="17"/>
        <v>1616.5</v>
      </c>
      <c r="I36" s="115">
        <f t="shared" ref="I36:N36" si="18">ROUND(I34*$C100,1)</f>
        <v>1885.3</v>
      </c>
      <c r="J36" s="115">
        <f t="shared" si="18"/>
        <v>1931.8</v>
      </c>
      <c r="K36" s="115">
        <f t="shared" si="18"/>
        <v>1897.9</v>
      </c>
      <c r="L36" s="115">
        <f t="shared" si="18"/>
        <v>1981.9</v>
      </c>
      <c r="M36" s="115">
        <f t="shared" si="18"/>
        <v>1889.4</v>
      </c>
      <c r="N36" s="115">
        <f t="shared" si="18"/>
        <v>1918.2</v>
      </c>
      <c r="O36" s="115">
        <f>ROUND(O34*$C100,1)</f>
        <v>1679.1</v>
      </c>
      <c r="P36" s="29"/>
      <c r="Q36" s="29"/>
    </row>
    <row r="37" spans="1:18" ht="15">
      <c r="A37" s="25" t="s">
        <v>866</v>
      </c>
      <c r="B37" s="25"/>
      <c r="C37" s="95">
        <f t="shared" ref="C37:H37" si="19">($C104*C35*$C83)</f>
        <v>0.27532000000000001</v>
      </c>
      <c r="D37" s="95">
        <f t="shared" si="19"/>
        <v>0.253363</v>
      </c>
      <c r="E37" s="95">
        <f t="shared" si="19"/>
        <v>0.24918999999999999</v>
      </c>
      <c r="F37" s="95">
        <f t="shared" si="19"/>
        <v>0.211368</v>
      </c>
      <c r="G37" s="95">
        <f t="shared" si="19"/>
        <v>0.26422200000000001</v>
      </c>
      <c r="H37" s="95">
        <f t="shared" si="19"/>
        <v>0.22336099999999998</v>
      </c>
      <c r="I37" s="95">
        <f t="shared" ref="I37:N37" si="20">($C104*I35*$C83)</f>
        <v>0.26051299999999999</v>
      </c>
      <c r="J37" s="95">
        <f t="shared" si="20"/>
        <v>0.26692899999999997</v>
      </c>
      <c r="K37" s="95">
        <f t="shared" si="20"/>
        <v>0.26224500000000001</v>
      </c>
      <c r="L37" s="95">
        <f t="shared" si="20"/>
        <v>0.27386199999999999</v>
      </c>
      <c r="M37" s="95">
        <f t="shared" si="20"/>
        <v>0.261071</v>
      </c>
      <c r="N37" s="95">
        <f t="shared" si="20"/>
        <v>0.26504899999999998</v>
      </c>
      <c r="O37" s="95">
        <f>($C104*O35*$C83)</f>
        <v>0.232015</v>
      </c>
      <c r="P37" t="s">
        <v>1219</v>
      </c>
    </row>
    <row r="38" spans="1:18" ht="15">
      <c r="A38" s="83" t="s">
        <v>188</v>
      </c>
      <c r="B38" s="83"/>
      <c r="C38" s="113">
        <f t="shared" ref="C38:H38" si="21">C35*$C104*$C83*$C85</f>
        <v>5.78172</v>
      </c>
      <c r="D38" s="113">
        <f t="shared" si="21"/>
        <v>5.3206230000000003</v>
      </c>
      <c r="E38" s="113">
        <f t="shared" si="21"/>
        <v>5.23299</v>
      </c>
      <c r="F38" s="113">
        <f t="shared" si="21"/>
        <v>4.4387280000000002</v>
      </c>
      <c r="G38" s="113">
        <f t="shared" si="21"/>
        <v>5.5486620000000002</v>
      </c>
      <c r="H38" s="113">
        <f t="shared" si="21"/>
        <v>4.6905809999999999</v>
      </c>
      <c r="I38" s="113">
        <f t="shared" ref="I38:N38" si="22">I35*$C104*$C83*$C85</f>
        <v>5.4707729999999994</v>
      </c>
      <c r="J38" s="113">
        <f t="shared" si="22"/>
        <v>5.6055089999999996</v>
      </c>
      <c r="K38" s="113">
        <f t="shared" si="22"/>
        <v>5.5071450000000004</v>
      </c>
      <c r="L38" s="113">
        <f t="shared" si="22"/>
        <v>5.7511019999999995</v>
      </c>
      <c r="M38" s="113">
        <f t="shared" si="22"/>
        <v>5.4824909999999996</v>
      </c>
      <c r="N38" s="113">
        <f t="shared" si="22"/>
        <v>5.5660289999999994</v>
      </c>
      <c r="O38" s="113">
        <f>O35*$C104*$C83*$C85</f>
        <v>4.8723150000000004</v>
      </c>
    </row>
    <row r="39" spans="1:18" ht="15">
      <c r="A39" s="25" t="s">
        <v>859</v>
      </c>
      <c r="B39" s="25"/>
      <c r="C39" s="95">
        <f t="shared" ref="C39:H39" si="23">($C105*C35*$C83)</f>
        <v>1.6519200000000001E-2</v>
      </c>
      <c r="D39" s="95">
        <f t="shared" si="23"/>
        <v>1.5201779999999998E-2</v>
      </c>
      <c r="E39" s="95">
        <f t="shared" si="23"/>
        <v>1.4951399999999998E-2</v>
      </c>
      <c r="F39" s="95">
        <f t="shared" si="23"/>
        <v>1.268208E-2</v>
      </c>
      <c r="G39" s="95">
        <f t="shared" si="23"/>
        <v>1.5853320000000001E-2</v>
      </c>
      <c r="H39" s="95">
        <f t="shared" si="23"/>
        <v>1.3401659999999998E-2</v>
      </c>
      <c r="I39" s="95">
        <f t="shared" ref="I39:N39" si="24">($C105*I35*$C83)</f>
        <v>1.5630779999999997E-2</v>
      </c>
      <c r="J39" s="95">
        <f t="shared" si="24"/>
        <v>1.6015740000000001E-2</v>
      </c>
      <c r="K39" s="95">
        <f t="shared" si="24"/>
        <v>1.5734699999999997E-2</v>
      </c>
      <c r="L39" s="95">
        <f t="shared" si="24"/>
        <v>1.643172E-2</v>
      </c>
      <c r="M39" s="95">
        <f t="shared" si="24"/>
        <v>1.5664259999999999E-2</v>
      </c>
      <c r="N39" s="95">
        <f t="shared" si="24"/>
        <v>1.5902940000000001E-2</v>
      </c>
      <c r="O39" s="95">
        <f>($C105*O35*$C83)</f>
        <v>1.3920899999999998E-2</v>
      </c>
    </row>
    <row r="40" spans="1:18" ht="15">
      <c r="A40" s="10" t="s">
        <v>190</v>
      </c>
      <c r="B40" s="10"/>
      <c r="C40" s="18">
        <f t="shared" ref="C40:H40" si="25">C35*$C105*$C83*$C86</f>
        <v>5.1209519999999999</v>
      </c>
      <c r="D40" s="18">
        <f t="shared" si="25"/>
        <v>4.7125517999999991</v>
      </c>
      <c r="E40" s="18">
        <f t="shared" si="25"/>
        <v>4.6349339999999994</v>
      </c>
      <c r="F40" s="18">
        <f t="shared" si="25"/>
        <v>3.9314448</v>
      </c>
      <c r="G40" s="18">
        <f t="shared" si="25"/>
        <v>4.9145292000000005</v>
      </c>
      <c r="H40" s="18">
        <f t="shared" si="25"/>
        <v>4.1545145999999988</v>
      </c>
      <c r="I40" s="18">
        <f t="shared" ref="I40:N40" si="26">I35*$C105*$C83*$C86</f>
        <v>4.8455417999999995</v>
      </c>
      <c r="J40" s="18">
        <f t="shared" si="26"/>
        <v>4.9648794000000001</v>
      </c>
      <c r="K40" s="18">
        <f t="shared" si="26"/>
        <v>4.877756999999999</v>
      </c>
      <c r="L40" s="18">
        <f t="shared" si="26"/>
        <v>5.0938331999999997</v>
      </c>
      <c r="M40" s="18">
        <f t="shared" si="26"/>
        <v>4.8559206000000001</v>
      </c>
      <c r="N40" s="18">
        <f t="shared" si="26"/>
        <v>4.9299113999999999</v>
      </c>
      <c r="O40" s="18">
        <f>O35*$C105*$C83*$C86</f>
        <v>4.3154789999999998</v>
      </c>
    </row>
    <row r="41" spans="1:18">
      <c r="A41" s="470" t="s">
        <v>482</v>
      </c>
      <c r="B41" s="470"/>
      <c r="C41" s="472">
        <f t="shared" ref="C41:H41" si="27">ROUND(C36+C38+C40, 1)</f>
        <v>2003.4</v>
      </c>
      <c r="D41" s="472">
        <f t="shared" si="27"/>
        <v>1843.6</v>
      </c>
      <c r="E41" s="472">
        <f t="shared" si="27"/>
        <v>1813.3</v>
      </c>
      <c r="F41" s="472">
        <f t="shared" si="27"/>
        <v>1538.1</v>
      </c>
      <c r="G41" s="472">
        <f t="shared" si="27"/>
        <v>1922.7</v>
      </c>
      <c r="H41" s="472">
        <f t="shared" si="27"/>
        <v>1625.3</v>
      </c>
      <c r="I41" s="472">
        <f t="shared" ref="I41:N41" si="28">ROUND(I36+I38+I40, 1)</f>
        <v>1895.6</v>
      </c>
      <c r="J41" s="472">
        <f t="shared" si="28"/>
        <v>1942.4</v>
      </c>
      <c r="K41" s="472">
        <f t="shared" si="28"/>
        <v>1908.3</v>
      </c>
      <c r="L41" s="472">
        <f t="shared" si="28"/>
        <v>1992.7</v>
      </c>
      <c r="M41" s="472">
        <f t="shared" si="28"/>
        <v>1899.7</v>
      </c>
      <c r="N41" s="472">
        <f t="shared" si="28"/>
        <v>1928.7</v>
      </c>
      <c r="O41" s="472">
        <f>ROUND(O36+O38+O40, 1)</f>
        <v>1688.3</v>
      </c>
    </row>
    <row r="43" spans="1:18" ht="16">
      <c r="A43" s="4" t="s">
        <v>412</v>
      </c>
      <c r="B43" s="4"/>
    </row>
    <row r="44" spans="1:18">
      <c r="A44" s="10"/>
      <c r="B44" s="10"/>
    </row>
    <row r="45" spans="1:18">
      <c r="A45" s="6" t="s">
        <v>628</v>
      </c>
      <c r="B45" s="6"/>
      <c r="C45" s="720" t="s">
        <v>310</v>
      </c>
      <c r="D45" s="720" t="s">
        <v>339</v>
      </c>
      <c r="E45" s="720" t="s">
        <v>731</v>
      </c>
      <c r="F45" s="615" t="s">
        <v>24</v>
      </c>
      <c r="G45" s="615" t="s">
        <v>1005</v>
      </c>
      <c r="H45" s="615" t="s">
        <v>970</v>
      </c>
      <c r="I45" s="615" t="s">
        <v>955</v>
      </c>
      <c r="J45" s="615" t="s">
        <v>1123</v>
      </c>
      <c r="K45" s="615" t="s">
        <v>1135</v>
      </c>
      <c r="L45" s="615" t="s">
        <v>1196</v>
      </c>
      <c r="M45" s="615" t="s">
        <v>1251</v>
      </c>
      <c r="N45" s="615" t="s">
        <v>1261</v>
      </c>
      <c r="O45" s="615" t="s">
        <v>1277</v>
      </c>
    </row>
    <row r="46" spans="1:18" ht="15">
      <c r="A46" s="100" t="s">
        <v>554</v>
      </c>
      <c r="B46" s="100"/>
      <c r="C46" s="109">
        <v>123902</v>
      </c>
      <c r="D46" s="27">
        <v>114042.9</v>
      </c>
      <c r="E46" s="409">
        <v>111960.2</v>
      </c>
      <c r="F46" s="454">
        <v>102932.67199999999</v>
      </c>
      <c r="G46" s="454">
        <v>113634</v>
      </c>
      <c r="H46" s="454">
        <v>114751.4</v>
      </c>
      <c r="I46" s="454">
        <v>106340.8</v>
      </c>
      <c r="J46" s="453">
        <v>66131.399999999994</v>
      </c>
      <c r="K46" s="453">
        <v>80602</v>
      </c>
      <c r="L46" s="705">
        <v>71843</v>
      </c>
      <c r="M46" s="705">
        <v>104242</v>
      </c>
      <c r="N46" s="705">
        <v>88510</v>
      </c>
      <c r="O46" s="705">
        <v>92405</v>
      </c>
    </row>
    <row r="47" spans="1:18" s="29" customFormat="1">
      <c r="A47" s="71" t="s">
        <v>405</v>
      </c>
      <c r="B47" s="71"/>
      <c r="C47" s="123">
        <f t="shared" ref="C47:H47" si="29">ROUND(C46*$C108,-1)</f>
        <v>11280</v>
      </c>
      <c r="D47" s="123">
        <f t="shared" si="29"/>
        <v>10380</v>
      </c>
      <c r="E47" s="123">
        <f t="shared" si="29"/>
        <v>10190</v>
      </c>
      <c r="F47" s="123">
        <f t="shared" si="29"/>
        <v>9370</v>
      </c>
      <c r="G47" s="123">
        <f t="shared" si="29"/>
        <v>10350</v>
      </c>
      <c r="H47" s="123">
        <f t="shared" si="29"/>
        <v>10450</v>
      </c>
      <c r="I47" s="123">
        <f t="shared" ref="I47:N47" si="30">ROUND(I46*$C108,-1)</f>
        <v>9680</v>
      </c>
      <c r="J47" s="123">
        <f t="shared" si="30"/>
        <v>6020</v>
      </c>
      <c r="K47" s="123">
        <f t="shared" si="30"/>
        <v>7340</v>
      </c>
      <c r="L47" s="123">
        <f t="shared" si="30"/>
        <v>6540</v>
      </c>
      <c r="M47" s="123">
        <f t="shared" si="30"/>
        <v>9490</v>
      </c>
      <c r="N47" s="123">
        <f t="shared" si="30"/>
        <v>8060</v>
      </c>
      <c r="O47" s="123">
        <f>ROUND(O46*$C108,-1)</f>
        <v>8410</v>
      </c>
      <c r="P47"/>
      <c r="Q47"/>
      <c r="R47"/>
    </row>
    <row r="48" spans="1:18" ht="15">
      <c r="A48" s="83" t="s">
        <v>173</v>
      </c>
      <c r="B48" s="83"/>
      <c r="C48" s="115">
        <f t="shared" ref="C48:H48" si="31">ROUND(C46*$C109,1)</f>
        <v>707.4</v>
      </c>
      <c r="D48" s="115">
        <f t="shared" si="31"/>
        <v>651.1</v>
      </c>
      <c r="E48" s="115">
        <f t="shared" si="31"/>
        <v>639.20000000000005</v>
      </c>
      <c r="F48" s="115">
        <f t="shared" si="31"/>
        <v>587.70000000000005</v>
      </c>
      <c r="G48" s="115">
        <f t="shared" si="31"/>
        <v>648.79999999999995</v>
      </c>
      <c r="H48" s="115">
        <f t="shared" si="31"/>
        <v>655.20000000000005</v>
      </c>
      <c r="I48" s="115">
        <f t="shared" ref="I48:N48" si="32">ROUND(I46*$C109,1)</f>
        <v>607.20000000000005</v>
      </c>
      <c r="J48" s="115">
        <f t="shared" si="32"/>
        <v>377.6</v>
      </c>
      <c r="K48" s="115">
        <f t="shared" si="32"/>
        <v>460.2</v>
      </c>
      <c r="L48" s="115">
        <f t="shared" si="32"/>
        <v>410.2</v>
      </c>
      <c r="M48" s="115">
        <f t="shared" si="32"/>
        <v>595.20000000000005</v>
      </c>
      <c r="N48" s="115">
        <f t="shared" si="32"/>
        <v>505.4</v>
      </c>
      <c r="O48" s="115">
        <f>ROUND(O46*$C109,1)</f>
        <v>527.6</v>
      </c>
    </row>
    <row r="49" spans="1:18" ht="15">
      <c r="A49" s="25" t="s">
        <v>866</v>
      </c>
      <c r="B49" s="25"/>
      <c r="C49" s="168">
        <f t="shared" ref="C49:H49" si="33">($C113*C47*$C83)</f>
        <v>0.1128</v>
      </c>
      <c r="D49" s="168">
        <f t="shared" si="33"/>
        <v>0.10379999999999999</v>
      </c>
      <c r="E49" s="168">
        <f t="shared" si="33"/>
        <v>0.10189999999999999</v>
      </c>
      <c r="F49" s="168">
        <f t="shared" si="33"/>
        <v>9.3699999999999992E-2</v>
      </c>
      <c r="G49" s="168">
        <f t="shared" si="33"/>
        <v>0.10349999999999999</v>
      </c>
      <c r="H49" s="168">
        <f t="shared" si="33"/>
        <v>0.1045</v>
      </c>
      <c r="I49" s="168">
        <f t="shared" ref="I49:N49" si="34">($C113*I47*$C83)</f>
        <v>9.6799999999999997E-2</v>
      </c>
      <c r="J49" s="168">
        <f t="shared" si="34"/>
        <v>6.0199999999999997E-2</v>
      </c>
      <c r="K49" s="168">
        <f t="shared" si="34"/>
        <v>7.3399999999999993E-2</v>
      </c>
      <c r="L49" s="168">
        <f t="shared" si="34"/>
        <v>6.54E-2</v>
      </c>
      <c r="M49" s="168">
        <f t="shared" si="34"/>
        <v>9.4899999999999998E-2</v>
      </c>
      <c r="N49" s="168">
        <f t="shared" si="34"/>
        <v>8.0599999999999991E-2</v>
      </c>
      <c r="O49" s="168">
        <f>($C113*O47*$C83)</f>
        <v>8.4099999999999994E-2</v>
      </c>
      <c r="R49" s="29"/>
    </row>
    <row r="50" spans="1:18" ht="15">
      <c r="A50" s="83" t="s">
        <v>188</v>
      </c>
      <c r="B50" s="83"/>
      <c r="C50" s="113">
        <f t="shared" ref="C50:H50" si="35">C47*$C83*$C85*$C113</f>
        <v>2.3688000000000002</v>
      </c>
      <c r="D50" s="113">
        <f t="shared" si="35"/>
        <v>2.1798000000000002</v>
      </c>
      <c r="E50" s="113">
        <f t="shared" si="35"/>
        <v>2.1398999999999999</v>
      </c>
      <c r="F50" s="113">
        <f t="shared" si="35"/>
        <v>1.9677</v>
      </c>
      <c r="G50" s="113">
        <f t="shared" si="35"/>
        <v>2.1734999999999998</v>
      </c>
      <c r="H50" s="113">
        <f t="shared" si="35"/>
        <v>2.1944999999999997</v>
      </c>
      <c r="I50" s="113">
        <f t="shared" ref="I50:N50" si="36">I47*$C83*$C85*$C113</f>
        <v>2.0327999999999999</v>
      </c>
      <c r="J50" s="113">
        <f t="shared" si="36"/>
        <v>1.2641999999999998</v>
      </c>
      <c r="K50" s="113">
        <f t="shared" si="36"/>
        <v>1.5413999999999999</v>
      </c>
      <c r="L50" s="113">
        <f t="shared" si="36"/>
        <v>1.3734</v>
      </c>
      <c r="M50" s="113">
        <f t="shared" si="36"/>
        <v>1.9928999999999999</v>
      </c>
      <c r="N50" s="113">
        <f t="shared" si="36"/>
        <v>1.6925999999999999</v>
      </c>
      <c r="O50" s="113">
        <f>O47*$C83*$C85*$C113</f>
        <v>1.7660999999999998</v>
      </c>
      <c r="P50" s="29"/>
      <c r="Q50" s="29"/>
    </row>
    <row r="51" spans="1:18" ht="15">
      <c r="A51" s="25" t="s">
        <v>859</v>
      </c>
      <c r="B51" s="25"/>
      <c r="C51" s="82">
        <f t="shared" ref="C51:H51" si="37">($C114*C47*$C83)</f>
        <v>6.7679999999999997E-3</v>
      </c>
      <c r="D51" s="82">
        <f t="shared" si="37"/>
        <v>6.228E-3</v>
      </c>
      <c r="E51" s="82">
        <f t="shared" si="37"/>
        <v>6.1139999999999996E-3</v>
      </c>
      <c r="F51" s="82">
        <f t="shared" si="37"/>
        <v>5.6219999999999994E-3</v>
      </c>
      <c r="G51" s="82">
        <f t="shared" si="37"/>
        <v>6.2099999999999994E-3</v>
      </c>
      <c r="H51" s="82">
        <f t="shared" si="37"/>
        <v>6.2699999999999995E-3</v>
      </c>
      <c r="I51" s="82">
        <f t="shared" ref="I51:N51" si="38">($C114*I47*$C83)</f>
        <v>5.8079999999999998E-3</v>
      </c>
      <c r="J51" s="82">
        <f t="shared" si="38"/>
        <v>3.6119999999999998E-3</v>
      </c>
      <c r="K51" s="82">
        <f t="shared" si="38"/>
        <v>4.4039999999999999E-3</v>
      </c>
      <c r="L51" s="82">
        <f t="shared" si="38"/>
        <v>3.9239999999999995E-3</v>
      </c>
      <c r="M51" s="82">
        <f t="shared" si="38"/>
        <v>5.6939999999999994E-3</v>
      </c>
      <c r="N51" s="82">
        <f t="shared" si="38"/>
        <v>4.836E-3</v>
      </c>
      <c r="O51" s="82">
        <f>($C114*O47*$C83)</f>
        <v>5.0460000000000001E-3</v>
      </c>
    </row>
    <row r="52" spans="1:18" ht="15">
      <c r="A52" s="83" t="s">
        <v>190</v>
      </c>
      <c r="B52" s="83"/>
      <c r="C52" s="113">
        <f t="shared" ref="C52:H52" si="39">C47*$C114*$C83*$C86</f>
        <v>2.0980799999999999</v>
      </c>
      <c r="D52" s="113">
        <f t="shared" si="39"/>
        <v>1.93068</v>
      </c>
      <c r="E52" s="113">
        <f t="shared" si="39"/>
        <v>1.8953399999999998</v>
      </c>
      <c r="F52" s="113">
        <f t="shared" si="39"/>
        <v>1.7428199999999998</v>
      </c>
      <c r="G52" s="113">
        <f t="shared" si="39"/>
        <v>1.9250999999999998</v>
      </c>
      <c r="H52" s="113">
        <f t="shared" si="39"/>
        <v>1.9436999999999998</v>
      </c>
      <c r="I52" s="113">
        <f t="shared" ref="I52:N52" si="40">I47*$C114*$C83*$C86</f>
        <v>1.8004799999999999</v>
      </c>
      <c r="J52" s="113">
        <f t="shared" si="40"/>
        <v>1.1197199999999998</v>
      </c>
      <c r="K52" s="113">
        <f t="shared" si="40"/>
        <v>1.36524</v>
      </c>
      <c r="L52" s="113">
        <f t="shared" si="40"/>
        <v>1.21644</v>
      </c>
      <c r="M52" s="113">
        <f t="shared" si="40"/>
        <v>1.7651399999999997</v>
      </c>
      <c r="N52" s="113">
        <f t="shared" si="40"/>
        <v>1.49916</v>
      </c>
      <c r="O52" s="113">
        <f>O47*$C114*$C83*$C86</f>
        <v>1.56426</v>
      </c>
    </row>
    <row r="53" spans="1:18">
      <c r="A53" s="470" t="s">
        <v>571</v>
      </c>
      <c r="B53" s="470"/>
      <c r="C53" s="472">
        <f t="shared" ref="C53:H53" si="41">C48+C50+C52</f>
        <v>711.86687999999992</v>
      </c>
      <c r="D53" s="472">
        <f t="shared" si="41"/>
        <v>655.21048000000008</v>
      </c>
      <c r="E53" s="472">
        <f t="shared" si="41"/>
        <v>643.23524000000009</v>
      </c>
      <c r="F53" s="472">
        <f t="shared" si="41"/>
        <v>591.41052000000013</v>
      </c>
      <c r="G53" s="472">
        <f t="shared" si="41"/>
        <v>652.89859999999999</v>
      </c>
      <c r="H53" s="472">
        <f t="shared" si="41"/>
        <v>659.33820000000003</v>
      </c>
      <c r="I53" s="472">
        <f t="shared" ref="I53:N53" si="42">I48+I50+I52</f>
        <v>611.03327999999999</v>
      </c>
      <c r="J53" s="472">
        <f t="shared" si="42"/>
        <v>379.98392000000001</v>
      </c>
      <c r="K53" s="472">
        <f t="shared" si="42"/>
        <v>463.10663999999997</v>
      </c>
      <c r="L53" s="472">
        <f t="shared" si="42"/>
        <v>412.78983999999997</v>
      </c>
      <c r="M53" s="472">
        <f t="shared" si="42"/>
        <v>598.95803999999998</v>
      </c>
      <c r="N53" s="472">
        <f t="shared" si="42"/>
        <v>508.59176000000002</v>
      </c>
      <c r="O53" s="472">
        <f>O48+O50+O52</f>
        <v>530.93036000000006</v>
      </c>
    </row>
    <row r="54" spans="1:18">
      <c r="A54" s="63"/>
      <c r="B54" s="63"/>
      <c r="C54" s="73"/>
      <c r="D54" s="73"/>
      <c r="E54" s="73"/>
      <c r="F54" s="73"/>
      <c r="G54" s="73"/>
    </row>
    <row r="55" spans="1:18" ht="16">
      <c r="A55" s="55" t="s">
        <v>330</v>
      </c>
      <c r="B55" s="55"/>
      <c r="C55" s="73"/>
      <c r="D55" s="73"/>
      <c r="E55" s="73"/>
      <c r="F55" s="73"/>
      <c r="G55" s="73"/>
    </row>
    <row r="56" spans="1:18" ht="16">
      <c r="A56" s="55"/>
      <c r="B56" s="55"/>
      <c r="C56" s="73"/>
      <c r="D56" s="73"/>
      <c r="E56" s="73"/>
      <c r="F56" s="73"/>
      <c r="G56" s="73"/>
    </row>
    <row r="57" spans="1:18">
      <c r="A57" s="6" t="s">
        <v>628</v>
      </c>
      <c r="B57" s="6"/>
      <c r="C57" s="720" t="s">
        <v>310</v>
      </c>
      <c r="D57" s="720" t="s">
        <v>339</v>
      </c>
      <c r="E57" s="720" t="s">
        <v>731</v>
      </c>
      <c r="F57" s="615" t="s">
        <v>24</v>
      </c>
      <c r="G57" s="615" t="s">
        <v>1005</v>
      </c>
      <c r="H57" s="615" t="s">
        <v>970</v>
      </c>
      <c r="I57" s="615" t="s">
        <v>955</v>
      </c>
      <c r="J57" s="615" t="s">
        <v>1123</v>
      </c>
      <c r="K57" s="615" t="s">
        <v>1135</v>
      </c>
      <c r="L57" s="615" t="s">
        <v>1196</v>
      </c>
      <c r="M57" s="615" t="s">
        <v>1251</v>
      </c>
      <c r="N57" s="615" t="s">
        <v>1261</v>
      </c>
      <c r="O57" s="615" t="s">
        <v>1277</v>
      </c>
    </row>
    <row r="58" spans="1:18" ht="15">
      <c r="A58" s="112" t="s">
        <v>1200</v>
      </c>
      <c r="B58" s="112"/>
      <c r="C58" s="112">
        <v>0</v>
      </c>
      <c r="D58" s="28">
        <v>0</v>
      </c>
      <c r="E58" s="28">
        <v>0</v>
      </c>
      <c r="F58" s="672">
        <v>0</v>
      </c>
      <c r="G58" s="672">
        <v>0</v>
      </c>
      <c r="H58" s="672">
        <v>0</v>
      </c>
      <c r="I58" s="672">
        <v>0</v>
      </c>
      <c r="J58" s="671">
        <v>0</v>
      </c>
      <c r="K58" s="671">
        <v>0</v>
      </c>
      <c r="L58" s="716">
        <v>70395</v>
      </c>
      <c r="M58" s="716">
        <v>56457</v>
      </c>
      <c r="N58" s="716">
        <v>82149</v>
      </c>
      <c r="O58" s="716">
        <f>94780+21</f>
        <v>94801</v>
      </c>
    </row>
    <row r="59" spans="1:18">
      <c r="A59" s="717" t="s">
        <v>405</v>
      </c>
      <c r="B59" s="717"/>
      <c r="C59" s="123">
        <f t="shared" ref="C59:K59" si="43">ROUND(C58*$C120,-1)</f>
        <v>0</v>
      </c>
      <c r="D59" s="123">
        <f t="shared" si="43"/>
        <v>0</v>
      </c>
      <c r="E59" s="123">
        <f t="shared" si="43"/>
        <v>0</v>
      </c>
      <c r="F59" s="123">
        <f t="shared" si="43"/>
        <v>0</v>
      </c>
      <c r="G59" s="123">
        <f t="shared" si="43"/>
        <v>0</v>
      </c>
      <c r="H59" s="123">
        <f t="shared" si="43"/>
        <v>0</v>
      </c>
      <c r="I59" s="123">
        <f t="shared" si="43"/>
        <v>0</v>
      </c>
      <c r="J59" s="123">
        <f t="shared" si="43"/>
        <v>0</v>
      </c>
      <c r="K59" s="123">
        <f t="shared" si="43"/>
        <v>0</v>
      </c>
      <c r="L59" s="123">
        <f>ROUND(L58*$C130,-1)</f>
        <v>72650</v>
      </c>
      <c r="M59" s="123">
        <f>ROUND(M58*$C130,-1)</f>
        <v>58260</v>
      </c>
      <c r="N59" s="123">
        <f>ROUND(N58*$C130,-1)</f>
        <v>84780</v>
      </c>
      <c r="O59" s="123">
        <f>ROUND(O58*$C130,-1)</f>
        <v>97830</v>
      </c>
    </row>
    <row r="60" spans="1:18" ht="15">
      <c r="A60" s="115" t="s">
        <v>173</v>
      </c>
      <c r="B60" s="115"/>
      <c r="C60" s="115">
        <f t="shared" ref="C60:K60" si="44">ROUND(C58*$C121,1)</f>
        <v>0</v>
      </c>
      <c r="D60" s="115">
        <f t="shared" si="44"/>
        <v>0</v>
      </c>
      <c r="E60" s="115">
        <f t="shared" si="44"/>
        <v>0</v>
      </c>
      <c r="F60" s="115">
        <f t="shared" si="44"/>
        <v>0</v>
      </c>
      <c r="G60" s="115">
        <f t="shared" si="44"/>
        <v>0</v>
      </c>
      <c r="H60" s="115">
        <f t="shared" si="44"/>
        <v>0</v>
      </c>
      <c r="I60" s="115">
        <f t="shared" si="44"/>
        <v>0</v>
      </c>
      <c r="J60" s="115">
        <f t="shared" si="44"/>
        <v>0</v>
      </c>
      <c r="K60" s="115">
        <f t="shared" si="44"/>
        <v>0</v>
      </c>
      <c r="L60" s="115">
        <f>ROUND(L58*$C131,1)</f>
        <v>3739.4</v>
      </c>
      <c r="M60" s="115">
        <f>ROUND(M58*$C131,1)</f>
        <v>2999</v>
      </c>
      <c r="N60" s="115">
        <f>ROUND(N58*$C131,1)</f>
        <v>4363.8</v>
      </c>
      <c r="O60" s="115">
        <f>ROUND(O58*$C131,1)</f>
        <v>5035.8</v>
      </c>
    </row>
    <row r="61" spans="1:18" ht="15">
      <c r="A61" s="718" t="s">
        <v>866</v>
      </c>
      <c r="B61" s="718"/>
      <c r="C61" s="134">
        <f t="shared" ref="C61:K61" si="45">($D125*C59*$C95)</f>
        <v>0</v>
      </c>
      <c r="D61" s="134">
        <f t="shared" si="45"/>
        <v>0</v>
      </c>
      <c r="E61" s="134">
        <f t="shared" si="45"/>
        <v>0</v>
      </c>
      <c r="F61" s="134">
        <f t="shared" si="45"/>
        <v>0</v>
      </c>
      <c r="G61" s="134">
        <f t="shared" si="45"/>
        <v>0</v>
      </c>
      <c r="H61" s="134">
        <f t="shared" si="45"/>
        <v>0</v>
      </c>
      <c r="I61" s="134">
        <f t="shared" si="45"/>
        <v>0</v>
      </c>
      <c r="J61" s="134">
        <f t="shared" si="45"/>
        <v>0</v>
      </c>
      <c r="K61" s="134">
        <f t="shared" si="45"/>
        <v>0</v>
      </c>
      <c r="L61" s="134">
        <f>($C134*L59*$C83)</f>
        <v>7.2649999999999992E-2</v>
      </c>
      <c r="M61" s="134">
        <f>($C134*M59*$C83)</f>
        <v>5.8259999999999999E-2</v>
      </c>
      <c r="N61" s="134">
        <f>($C134*N59*$C83)</f>
        <v>8.4779999999999994E-2</v>
      </c>
      <c r="O61" s="134">
        <f>($C134*O59*$C83)</f>
        <v>9.783E-2</v>
      </c>
    </row>
    <row r="62" spans="1:18" ht="15">
      <c r="A62" s="115" t="s">
        <v>188</v>
      </c>
      <c r="B62" s="115"/>
      <c r="C62" s="115">
        <f t="shared" ref="C62:K62" si="46">C59*$C95*$C97*$D125</f>
        <v>0</v>
      </c>
      <c r="D62" s="115">
        <f t="shared" si="46"/>
        <v>0</v>
      </c>
      <c r="E62" s="115">
        <f t="shared" si="46"/>
        <v>0</v>
      </c>
      <c r="F62" s="115">
        <f t="shared" si="46"/>
        <v>0</v>
      </c>
      <c r="G62" s="115">
        <f t="shared" si="46"/>
        <v>0</v>
      </c>
      <c r="H62" s="115">
        <f t="shared" si="46"/>
        <v>0</v>
      </c>
      <c r="I62" s="115">
        <f t="shared" si="46"/>
        <v>0</v>
      </c>
      <c r="J62" s="115">
        <f t="shared" si="46"/>
        <v>0</v>
      </c>
      <c r="K62" s="115">
        <f t="shared" si="46"/>
        <v>0</v>
      </c>
      <c r="L62" s="719">
        <f>L59*$C83*$C85*$C134</f>
        <v>1.5256499999999997</v>
      </c>
      <c r="M62" s="719">
        <f>M59*$C83*$C85*$C134</f>
        <v>1.22346</v>
      </c>
      <c r="N62" s="719">
        <f>N59*$C83*$C85*$C134</f>
        <v>1.7803799999999999</v>
      </c>
      <c r="O62" s="719">
        <f>O59*$C83*$C85*$C134</f>
        <v>2.05443</v>
      </c>
    </row>
    <row r="63" spans="1:18" ht="15">
      <c r="A63" s="718" t="s">
        <v>859</v>
      </c>
      <c r="B63" s="718"/>
      <c r="C63" s="123">
        <f t="shared" ref="C63:K63" si="47">($C126*C59*$C95)</f>
        <v>0</v>
      </c>
      <c r="D63" s="123">
        <f t="shared" si="47"/>
        <v>0</v>
      </c>
      <c r="E63" s="123">
        <f t="shared" si="47"/>
        <v>0</v>
      </c>
      <c r="F63" s="123">
        <f t="shared" si="47"/>
        <v>0</v>
      </c>
      <c r="G63" s="123">
        <f t="shared" si="47"/>
        <v>0</v>
      </c>
      <c r="H63" s="123">
        <f t="shared" si="47"/>
        <v>0</v>
      </c>
      <c r="I63" s="123">
        <f t="shared" si="47"/>
        <v>0</v>
      </c>
      <c r="J63" s="123">
        <f t="shared" si="47"/>
        <v>0</v>
      </c>
      <c r="K63" s="123">
        <f t="shared" si="47"/>
        <v>0</v>
      </c>
      <c r="L63" s="146">
        <f>($C135*L59*$C83)</f>
        <v>7.2649999999999992E-2</v>
      </c>
      <c r="M63" s="146">
        <f>($C135*M59*$C83)</f>
        <v>5.8259999999999999E-2</v>
      </c>
      <c r="N63" s="146">
        <f>($C135*N59*$C83)</f>
        <v>8.4779999999999994E-2</v>
      </c>
      <c r="O63" s="146">
        <f>($C135*O59*$C83)</f>
        <v>9.783E-2</v>
      </c>
    </row>
    <row r="64" spans="1:18" ht="15">
      <c r="A64" s="115" t="s">
        <v>190</v>
      </c>
      <c r="B64" s="115"/>
      <c r="C64" s="115">
        <f t="shared" ref="C64:K64" si="48">C59*$C126*$C95*$C98</f>
        <v>0</v>
      </c>
      <c r="D64" s="115">
        <f t="shared" si="48"/>
        <v>0</v>
      </c>
      <c r="E64" s="115">
        <f t="shared" si="48"/>
        <v>0</v>
      </c>
      <c r="F64" s="115">
        <f t="shared" si="48"/>
        <v>0</v>
      </c>
      <c r="G64" s="115">
        <f t="shared" si="48"/>
        <v>0</v>
      </c>
      <c r="H64" s="115">
        <f t="shared" si="48"/>
        <v>0</v>
      </c>
      <c r="I64" s="115">
        <f t="shared" si="48"/>
        <v>0</v>
      </c>
      <c r="J64" s="115">
        <f t="shared" si="48"/>
        <v>0</v>
      </c>
      <c r="K64" s="115">
        <f t="shared" si="48"/>
        <v>0</v>
      </c>
      <c r="L64" s="115">
        <f>L59*$C135*$C83*$C86</f>
        <v>22.521499999999996</v>
      </c>
      <c r="M64" s="115">
        <f>M59*$C135*$C83*$C86</f>
        <v>18.060600000000001</v>
      </c>
      <c r="N64" s="115">
        <f>N59*$C135*$C83*$C86</f>
        <v>26.281799999999997</v>
      </c>
      <c r="O64" s="115">
        <f>O59*$C135*$C83*$C86</f>
        <v>30.327300000000001</v>
      </c>
    </row>
    <row r="65" spans="1:20">
      <c r="A65" s="472" t="s">
        <v>1278</v>
      </c>
      <c r="B65" s="472"/>
      <c r="C65" s="472">
        <f t="shared" ref="C65:H65" si="49">C60+C62+C64</f>
        <v>0</v>
      </c>
      <c r="D65" s="472">
        <f t="shared" si="49"/>
        <v>0</v>
      </c>
      <c r="E65" s="472">
        <f t="shared" si="49"/>
        <v>0</v>
      </c>
      <c r="F65" s="472">
        <f t="shared" si="49"/>
        <v>0</v>
      </c>
      <c r="G65" s="472">
        <f t="shared" si="49"/>
        <v>0</v>
      </c>
      <c r="H65" s="472">
        <f t="shared" si="49"/>
        <v>0</v>
      </c>
      <c r="I65" s="472">
        <f t="shared" ref="I65:N65" si="50">I60+I62+I64</f>
        <v>0</v>
      </c>
      <c r="J65" s="472">
        <f t="shared" si="50"/>
        <v>0</v>
      </c>
      <c r="K65" s="472">
        <f t="shared" si="50"/>
        <v>0</v>
      </c>
      <c r="L65" s="472">
        <f t="shared" si="50"/>
        <v>3763.44715</v>
      </c>
      <c r="M65" s="472">
        <f t="shared" si="50"/>
        <v>3018.28406</v>
      </c>
      <c r="N65" s="472">
        <f t="shared" si="50"/>
        <v>4391.8621800000001</v>
      </c>
      <c r="O65" s="472">
        <f>O60+O62+O64</f>
        <v>5068.1817300000002</v>
      </c>
    </row>
    <row r="66" spans="1:20" ht="16">
      <c r="A66" s="55" t="s">
        <v>974</v>
      </c>
      <c r="B66" s="55"/>
      <c r="C66" s="73"/>
      <c r="D66" s="73"/>
      <c r="E66" s="73"/>
      <c r="F66" s="73"/>
      <c r="G66" s="73"/>
    </row>
    <row r="67" spans="1:20">
      <c r="A67" s="63"/>
      <c r="B67" s="63"/>
      <c r="C67" s="73"/>
      <c r="D67" s="73"/>
      <c r="E67" s="73"/>
      <c r="F67" s="73"/>
      <c r="G67" s="73"/>
    </row>
    <row r="68" spans="1:20">
      <c r="A68" s="126" t="s">
        <v>628</v>
      </c>
      <c r="B68" s="126"/>
      <c r="C68" s="735" t="s">
        <v>310</v>
      </c>
      <c r="D68" s="735" t="s">
        <v>339</v>
      </c>
      <c r="E68" s="735" t="s">
        <v>731</v>
      </c>
      <c r="F68" s="735" t="s">
        <v>24</v>
      </c>
      <c r="G68" s="735" t="s">
        <v>1005</v>
      </c>
      <c r="H68" s="615" t="s">
        <v>970</v>
      </c>
      <c r="I68" s="735" t="s">
        <v>955</v>
      </c>
      <c r="J68" s="735" t="s">
        <v>1123</v>
      </c>
      <c r="K68" s="735" t="s">
        <v>1154</v>
      </c>
      <c r="L68" s="735" t="s">
        <v>1197</v>
      </c>
      <c r="M68" s="759" t="s">
        <v>1251</v>
      </c>
      <c r="N68" s="759" t="s">
        <v>1261</v>
      </c>
      <c r="O68" s="615" t="s">
        <v>1277</v>
      </c>
    </row>
    <row r="69" spans="1:20">
      <c r="A69" s="126" t="s">
        <v>168</v>
      </c>
      <c r="B69" s="126"/>
      <c r="C69" s="386">
        <v>0</v>
      </c>
      <c r="D69" s="386">
        <v>0</v>
      </c>
      <c r="E69" s="386">
        <v>3209.090909090909</v>
      </c>
      <c r="F69" s="386">
        <v>13742.727272727272</v>
      </c>
      <c r="G69" s="386">
        <v>18775.454545454544</v>
      </c>
      <c r="H69" s="670">
        <v>15740.90909090909</v>
      </c>
      <c r="I69" s="670">
        <v>20769.090909090908</v>
      </c>
      <c r="J69" s="384">
        <v>25349.05</v>
      </c>
      <c r="K69" s="384">
        <v>24310</v>
      </c>
      <c r="L69" s="670">
        <v>19412</v>
      </c>
      <c r="M69" s="758">
        <v>21513.49</v>
      </c>
      <c r="N69" s="758">
        <v>20347</v>
      </c>
      <c r="O69" s="758">
        <v>21104</v>
      </c>
      <c r="S69" s="566">
        <v>17315</v>
      </c>
      <c r="T69" s="566">
        <v>22846</v>
      </c>
    </row>
    <row r="70" spans="1:20">
      <c r="A70" s="126" t="s">
        <v>405</v>
      </c>
      <c r="B70" s="126"/>
      <c r="C70" s="386">
        <v>0</v>
      </c>
      <c r="D70" s="386">
        <v>0</v>
      </c>
      <c r="E70" s="386">
        <f>E69*C117*2200</f>
        <v>61704.399999999994</v>
      </c>
      <c r="F70" s="386">
        <f>F69*C117*2200</f>
        <v>264245.15999999997</v>
      </c>
      <c r="G70" s="386">
        <f>G69*C117*2200</f>
        <v>361014.43999999994</v>
      </c>
      <c r="H70" s="386">
        <f>H69*C117*2200</f>
        <v>302666.2</v>
      </c>
      <c r="I70" s="386">
        <f>I69*C117*2200</f>
        <v>399348.07999999996</v>
      </c>
      <c r="J70" s="386">
        <f>J69*C117*2200</f>
        <v>487411.53339999996</v>
      </c>
      <c r="K70" s="386">
        <f>K69*C117*2200</f>
        <v>467432.67999999993</v>
      </c>
      <c r="L70" s="386">
        <f>L69*C117*2200</f>
        <v>373253.93599999999</v>
      </c>
      <c r="M70" s="386">
        <f>M69*C117*2200</f>
        <v>413661.38572000002</v>
      </c>
      <c r="N70" s="386">
        <f>N69*C117*2200</f>
        <v>391232.11599999998</v>
      </c>
      <c r="O70" s="386">
        <f>O69*D117*2200</f>
        <v>405787.712</v>
      </c>
      <c r="S70" s="5">
        <f>S69*(2000/2200)</f>
        <v>15740.90909090909</v>
      </c>
      <c r="T70" s="5">
        <f>T69*(2000/2200)</f>
        <v>20769.090909090908</v>
      </c>
    </row>
    <row r="71" spans="1:20">
      <c r="A71" s="779" t="s">
        <v>25</v>
      </c>
      <c r="B71" s="779"/>
      <c r="C71" s="780">
        <v>0</v>
      </c>
      <c r="D71" s="780">
        <v>0</v>
      </c>
      <c r="E71" s="780">
        <f>E69*(2200*C118)</f>
        <v>5789.2</v>
      </c>
      <c r="F71" s="780">
        <f>F69*(2200*C118)</f>
        <v>24791.88</v>
      </c>
      <c r="G71" s="780">
        <f>G69*(2200*C118)</f>
        <v>33870.92</v>
      </c>
      <c r="H71" s="780">
        <f>H69*(2200*C118)</f>
        <v>28396.6</v>
      </c>
      <c r="I71" s="780">
        <f>I69*(2200*C118)</f>
        <v>37467.440000000002</v>
      </c>
      <c r="J71" s="780">
        <f>J69*(2200*C118)</f>
        <v>45729.686199999996</v>
      </c>
      <c r="K71" s="780">
        <f>K69*(2200*C118)</f>
        <v>43855.24</v>
      </c>
      <c r="L71" s="780">
        <f>L69*(2200*C118)</f>
        <v>35019.248</v>
      </c>
      <c r="M71" s="780">
        <f>M69*(2200*C118)</f>
        <v>38810.335960000004</v>
      </c>
      <c r="N71" s="780">
        <f>N69*(2200*C118)</f>
        <v>36705.987999999998</v>
      </c>
      <c r="O71" s="780">
        <f>O69*(2200*C118)</f>
        <v>38071.616000000002</v>
      </c>
      <c r="R71" s="469">
        <v>20653</v>
      </c>
    </row>
    <row r="72" spans="1:20">
      <c r="A72" s="63" t="s">
        <v>169</v>
      </c>
      <c r="B72" s="63"/>
      <c r="C72" s="468">
        <v>0</v>
      </c>
      <c r="D72" s="468">
        <v>0</v>
      </c>
      <c r="E72" s="756">
        <f>(C122*E70)/1000000</f>
        <v>0.44477999999999995</v>
      </c>
      <c r="F72" s="756">
        <f>(C122*F70)/1000000</f>
        <v>1.9047419999999997</v>
      </c>
      <c r="G72" s="756">
        <f>(C122*G70)/1000000</f>
        <v>2.6022779999999996</v>
      </c>
      <c r="H72" s="756">
        <f>(C122*H70)/1000000</f>
        <v>2.1816900000000001</v>
      </c>
      <c r="I72" s="756">
        <f>(C122*I70)/1000000</f>
        <v>2.8785959999999995</v>
      </c>
      <c r="J72" s="756">
        <f>(C122*J70)/1000000</f>
        <v>3.5133783299999997</v>
      </c>
      <c r="K72" s="756">
        <f>(C122*K70)/1000000</f>
        <v>3.3693659999999994</v>
      </c>
      <c r="L72" s="756">
        <f>(C122*L70)/1000000</f>
        <v>2.6905031999999998</v>
      </c>
      <c r="M72" s="756">
        <f>(D122*M70)/1000000</f>
        <v>2.9824985910412005</v>
      </c>
      <c r="N72" s="756">
        <f>(D122*N70)/1000000</f>
        <v>2.8207835563599999</v>
      </c>
      <c r="O72" s="756">
        <f>(D122*O70)/1000000</f>
        <v>2.9257294035200001</v>
      </c>
      <c r="P72" s="469">
        <v>3530</v>
      </c>
      <c r="Q72" s="469">
        <v>15117</v>
      </c>
      <c r="R72" s="5">
        <f>R71*(2000/2200)</f>
        <v>18775.454545454544</v>
      </c>
    </row>
    <row r="73" spans="1:20">
      <c r="A73" s="63" t="s">
        <v>170</v>
      </c>
      <c r="B73" s="63"/>
      <c r="C73" s="468">
        <v>0</v>
      </c>
      <c r="D73" s="468">
        <v>0</v>
      </c>
      <c r="E73" s="468">
        <f>E72*C85</f>
        <v>9.3403799999999997</v>
      </c>
      <c r="F73" s="468">
        <f>F72*C85</f>
        <v>39.999581999999997</v>
      </c>
      <c r="G73" s="468">
        <f>G72*C85</f>
        <v>54.647837999999993</v>
      </c>
      <c r="H73" s="468">
        <f>H72*C85</f>
        <v>45.815490000000004</v>
      </c>
      <c r="I73" s="468">
        <f>I72*C85</f>
        <v>60.450515999999986</v>
      </c>
      <c r="J73" s="468">
        <f>J72*C85</f>
        <v>73.78094492999999</v>
      </c>
      <c r="K73" s="468">
        <f>K72*C85</f>
        <v>70.756685999999988</v>
      </c>
      <c r="L73" s="468">
        <f>L72*C85</f>
        <v>56.500567199999992</v>
      </c>
      <c r="M73" s="468">
        <f>M72*C85</f>
        <v>62.632470411865214</v>
      </c>
      <c r="N73" s="468">
        <f>N72*C85</f>
        <v>59.236454683559998</v>
      </c>
      <c r="O73" s="468">
        <f>O72*D85</f>
        <v>0</v>
      </c>
      <c r="P73" s="5">
        <f>P72*(2000/2200)</f>
        <v>3209.090909090909</v>
      </c>
      <c r="Q73" s="5">
        <f>Q72*(2000/2200)</f>
        <v>13742.727272727272</v>
      </c>
    </row>
    <row r="74" spans="1:20">
      <c r="A74" t="s">
        <v>171</v>
      </c>
      <c r="C74" s="5">
        <v>0</v>
      </c>
      <c r="D74" s="5">
        <v>0</v>
      </c>
      <c r="E74" s="757">
        <f>(C123*E70)/1000000</f>
        <v>0.22238999999999998</v>
      </c>
      <c r="F74" s="757">
        <f>(C123*F70)/1000000</f>
        <v>0.95237099999999986</v>
      </c>
      <c r="G74" s="757">
        <f>(C123*G70)/1000000</f>
        <v>1.3011389999999998</v>
      </c>
      <c r="H74" s="757">
        <f>(C123*H70)/1000000</f>
        <v>1.0908450000000001</v>
      </c>
      <c r="I74" s="757">
        <f>(C123*I70)/1000000</f>
        <v>1.4392979999999997</v>
      </c>
      <c r="J74" s="757">
        <f>(C123*J70)/1000000</f>
        <v>1.7566891649999998</v>
      </c>
      <c r="K74" s="757">
        <f>(C123*K70)/1000000</f>
        <v>1.6846829999999997</v>
      </c>
      <c r="L74" s="757">
        <f>(C123*L70)/1000000</f>
        <v>1.3452515999999999</v>
      </c>
      <c r="M74" s="757">
        <f>(D123*M70)/1000000</f>
        <v>1.4891809885920002</v>
      </c>
      <c r="N74" s="757">
        <f>(D123*N70)/1000000</f>
        <v>1.4084356175999999</v>
      </c>
      <c r="O74" s="757">
        <f>(D123*O70)/1000000</f>
        <v>1.4608357632</v>
      </c>
    </row>
    <row r="75" spans="1:20">
      <c r="A75" s="10" t="s">
        <v>172</v>
      </c>
      <c r="C75" s="5">
        <v>0</v>
      </c>
      <c r="D75" s="5">
        <v>0</v>
      </c>
      <c r="E75" s="11">
        <f>E74*C86</f>
        <v>68.940899999999999</v>
      </c>
      <c r="F75" s="11">
        <f>F74*C86</f>
        <v>295.23500999999993</v>
      </c>
      <c r="G75" s="11">
        <f>G74*C86</f>
        <v>403.35308999999995</v>
      </c>
      <c r="H75" s="11">
        <f>H74*C86</f>
        <v>338.16195000000005</v>
      </c>
      <c r="I75" s="11">
        <f>I74*C86</f>
        <v>446.18237999999991</v>
      </c>
      <c r="J75" s="11">
        <f>J74*C86</f>
        <v>544.57364114999996</v>
      </c>
      <c r="K75" s="11">
        <f>K74*C86</f>
        <v>522.25172999999995</v>
      </c>
      <c r="L75" s="11">
        <f>L74*C86</f>
        <v>417.02799599999997</v>
      </c>
      <c r="M75" s="11">
        <f>M74*C86</f>
        <v>461.64610646352008</v>
      </c>
      <c r="N75" s="11">
        <f>N74*C86</f>
        <v>436.61504145599997</v>
      </c>
      <c r="O75" s="11">
        <f>O74*D86</f>
        <v>0</v>
      </c>
    </row>
    <row r="76" spans="1:20">
      <c r="A76" s="470" t="s">
        <v>1248</v>
      </c>
      <c r="B76" s="470"/>
      <c r="C76" s="472">
        <v>0</v>
      </c>
      <c r="D76" s="472">
        <v>0</v>
      </c>
      <c r="E76" s="472">
        <f t="shared" ref="E76:J76" si="51">E71+E73+E75</f>
        <v>5867.4812799999991</v>
      </c>
      <c r="F76" s="472">
        <f t="shared" si="51"/>
        <v>25127.114592000002</v>
      </c>
      <c r="G76" s="472">
        <f t="shared" si="51"/>
        <v>34328.920927999992</v>
      </c>
      <c r="H76" s="472">
        <f t="shared" si="51"/>
        <v>28780.577440000001</v>
      </c>
      <c r="I76" s="472">
        <f t="shared" si="51"/>
        <v>37974.072895999998</v>
      </c>
      <c r="J76" s="472">
        <f t="shared" si="51"/>
        <v>46348.04078607999</v>
      </c>
      <c r="K76" s="472">
        <f>K71+K73+K75</f>
        <v>44448.248416000002</v>
      </c>
      <c r="L76" s="472">
        <f>L71+L73+L75</f>
        <v>35492.776563199994</v>
      </c>
      <c r="M76" s="472">
        <f>M71+M73+M75</f>
        <v>39334.614536875393</v>
      </c>
      <c r="N76" s="472">
        <f>N71+N73+N75</f>
        <v>37201.839496139561</v>
      </c>
      <c r="O76" s="472">
        <f>O71+O73+O75</f>
        <v>38071.616000000002</v>
      </c>
    </row>
    <row r="77" spans="1:20">
      <c r="A77" s="63"/>
      <c r="B77" s="63"/>
      <c r="C77" s="73"/>
      <c r="D77" s="73"/>
      <c r="E77" s="73"/>
      <c r="F77" s="73"/>
      <c r="G77" s="73"/>
      <c r="H77" s="73"/>
      <c r="I77" s="73"/>
      <c r="J77" s="73"/>
      <c r="K77" s="73"/>
      <c r="L77" s="73"/>
      <c r="M77" s="73"/>
      <c r="N77" s="73"/>
      <c r="O77" s="73"/>
    </row>
    <row r="78" spans="1:20">
      <c r="A78" s="470" t="s">
        <v>1249</v>
      </c>
      <c r="B78" s="470"/>
      <c r="C78" s="472"/>
      <c r="D78" s="472"/>
      <c r="E78" s="472">
        <f>E69*(2200*D118)+E73+E75</f>
        <v>907.92498545454532</v>
      </c>
      <c r="F78" s="472">
        <f>F69*(2200*D118)+F73+F75</f>
        <v>3888.1308796363628</v>
      </c>
      <c r="G78" s="472">
        <f>G69*(2200*D118)+G73+G75</f>
        <v>5312.0041712727252</v>
      </c>
      <c r="H78" s="472">
        <f>H69*(2200*D118)+H73+H75</f>
        <v>4453.462074545454</v>
      </c>
      <c r="I78" s="472">
        <f>I69*(2200*D118)+I73+I75</f>
        <v>5876.0493534545449</v>
      </c>
      <c r="J78" s="472">
        <f>J69*(2200*D118)+J73+J75</f>
        <v>7171.8242033399993</v>
      </c>
      <c r="K78" s="472">
        <f>K69*(2200*D118)+K73+K75</f>
        <v>6877.8532679999989</v>
      </c>
      <c r="L78" s="472">
        <f>L69*(2200*D118)+L73+L75</f>
        <v>5492.0973935999991</v>
      </c>
      <c r="M78" s="472">
        <f>M69*(2200*D118)+M73+M75</f>
        <v>6086.1439357833851</v>
      </c>
      <c r="N78" s="472">
        <f>N69*(2200*D118)+N73+N75</f>
        <v>5756.1451285395588</v>
      </c>
      <c r="O78" s="472">
        <f>O69*(2200*D118)+O73+O75</f>
        <v>5456.0002367999996</v>
      </c>
    </row>
    <row r="80" spans="1:20" ht="16">
      <c r="A80" s="835" t="s">
        <v>749</v>
      </c>
      <c r="B80" s="835"/>
      <c r="C80" s="835"/>
      <c r="G80" s="10"/>
    </row>
    <row r="81" spans="1:22" ht="16">
      <c r="A81" s="6" t="s">
        <v>511</v>
      </c>
      <c r="B81" s="6"/>
      <c r="J81" s="4"/>
      <c r="V81" s="4"/>
    </row>
    <row r="82" spans="1:22" ht="16">
      <c r="A82" s="104" t="s">
        <v>355</v>
      </c>
      <c r="B82" s="104"/>
      <c r="C82" s="82">
        <f>((1)/(42))</f>
        <v>2.3809523809523808E-2</v>
      </c>
      <c r="J82" s="4"/>
      <c r="V82" s="4"/>
    </row>
    <row r="83" spans="1:22" ht="16">
      <c r="A83" s="104" t="s">
        <v>719</v>
      </c>
      <c r="B83" s="104"/>
      <c r="C83" s="106">
        <v>9.9999999999999995E-7</v>
      </c>
      <c r="J83" s="4"/>
      <c r="V83" s="6"/>
    </row>
    <row r="84" spans="1:22">
      <c r="A84" s="104" t="s">
        <v>224</v>
      </c>
      <c r="B84" s="104"/>
      <c r="C84" s="24">
        <v>1E-3</v>
      </c>
      <c r="J84" s="6"/>
      <c r="V84" s="50"/>
    </row>
    <row r="85" spans="1:22" ht="15">
      <c r="A85" s="156" t="s">
        <v>876</v>
      </c>
      <c r="B85" s="156"/>
      <c r="C85" s="157">
        <v>21</v>
      </c>
      <c r="J85" s="6"/>
      <c r="K85" s="6"/>
      <c r="V85" s="50"/>
    </row>
    <row r="86" spans="1:22">
      <c r="A86" s="156" t="s">
        <v>1207</v>
      </c>
      <c r="B86" s="156"/>
      <c r="C86" s="157">
        <v>310</v>
      </c>
      <c r="K86" s="5"/>
      <c r="V86" s="50"/>
    </row>
    <row r="87" spans="1:22">
      <c r="A87" s="24"/>
      <c r="B87" s="24"/>
      <c r="C87" s="24"/>
      <c r="K87" s="5"/>
      <c r="V87" s="50"/>
    </row>
    <row r="88" spans="1:22">
      <c r="A88" s="6" t="s">
        <v>513</v>
      </c>
      <c r="B88" s="6"/>
      <c r="J88" s="50"/>
      <c r="K88" s="50"/>
      <c r="L88" s="50"/>
      <c r="M88" s="50"/>
      <c r="N88" s="50"/>
      <c r="O88" s="50"/>
      <c r="S88" s="50"/>
      <c r="T88" s="51"/>
      <c r="V88" s="50"/>
    </row>
    <row r="89" spans="1:22">
      <c r="A89" s="83" t="s">
        <v>231</v>
      </c>
      <c r="B89" s="83"/>
      <c r="C89" s="102">
        <f>C82*C91</f>
        <v>0.14969047619047618</v>
      </c>
    </row>
    <row r="90" spans="1:22" ht="16">
      <c r="A90" s="83" t="s">
        <v>863</v>
      </c>
      <c r="B90" s="83"/>
      <c r="C90" s="83">
        <f>(C82*C91*C92*C93*C94*C84)</f>
        <v>1.1669381806539836E-2</v>
      </c>
      <c r="J90" s="4"/>
      <c r="R90" s="50"/>
      <c r="V90" s="4"/>
    </row>
    <row r="91" spans="1:22" ht="16">
      <c r="A91" s="156" t="s">
        <v>489</v>
      </c>
      <c r="B91" s="156"/>
      <c r="C91" s="157">
        <v>6.2869999999999999</v>
      </c>
      <c r="J91" s="4"/>
      <c r="K91" s="6"/>
      <c r="P91" s="50"/>
      <c r="Q91" s="50"/>
      <c r="V91" s="4"/>
    </row>
    <row r="92" spans="1:22">
      <c r="A92" s="156" t="s">
        <v>430</v>
      </c>
      <c r="B92" s="156"/>
      <c r="C92" s="157">
        <v>21.49</v>
      </c>
      <c r="J92" s="6"/>
      <c r="K92" s="50"/>
      <c r="L92" s="50"/>
      <c r="M92" s="50"/>
      <c r="N92" s="50"/>
      <c r="O92" s="50"/>
      <c r="S92" s="50"/>
      <c r="T92" s="50"/>
      <c r="V92" s="6"/>
    </row>
    <row r="93" spans="1:22">
      <c r="A93" s="156" t="s">
        <v>625</v>
      </c>
      <c r="B93" s="156"/>
      <c r="C93" s="157">
        <v>0.99</v>
      </c>
    </row>
    <row r="94" spans="1:22" ht="15">
      <c r="A94" s="156" t="s">
        <v>947</v>
      </c>
      <c r="B94" s="156"/>
      <c r="C94" s="158">
        <f>((12.011+32)/12.011)</f>
        <v>3.6642244609108316</v>
      </c>
      <c r="R94" s="50"/>
    </row>
    <row r="95" spans="1:22" ht="15">
      <c r="A95" s="156" t="s">
        <v>633</v>
      </c>
      <c r="B95" s="156"/>
      <c r="C95" s="159">
        <v>2</v>
      </c>
      <c r="P95" s="50"/>
      <c r="Q95" s="50"/>
    </row>
    <row r="96" spans="1:22" ht="15">
      <c r="A96" s="156" t="s">
        <v>55</v>
      </c>
      <c r="B96" s="156"/>
      <c r="C96" s="158">
        <v>0.6</v>
      </c>
    </row>
    <row r="98" spans="1:10">
      <c r="A98" s="154" t="s">
        <v>117</v>
      </c>
      <c r="B98" s="154"/>
    </row>
    <row r="99" spans="1:10">
      <c r="A99" s="83" t="s">
        <v>373</v>
      </c>
      <c r="B99" s="83"/>
      <c r="C99" s="102">
        <f>C82*C101</f>
        <v>0.1386904761904762</v>
      </c>
    </row>
    <row r="100" spans="1:10" ht="15">
      <c r="A100" s="83" t="s">
        <v>127</v>
      </c>
      <c r="B100" s="83"/>
      <c r="C100" s="102">
        <f>(C82*C101*C102*C103*C94*C84)</f>
        <v>1.0037066544729831E-2</v>
      </c>
    </row>
    <row r="101" spans="1:10">
      <c r="A101" s="156" t="s">
        <v>489</v>
      </c>
      <c r="B101" s="156"/>
      <c r="C101" s="156">
        <v>5.8250000000000002</v>
      </c>
    </row>
    <row r="102" spans="1:10">
      <c r="A102" s="156" t="s">
        <v>430</v>
      </c>
      <c r="B102" s="156"/>
      <c r="C102" s="156">
        <v>19.95</v>
      </c>
    </row>
    <row r="103" spans="1:10">
      <c r="A103" s="156" t="s">
        <v>625</v>
      </c>
      <c r="B103" s="156"/>
      <c r="C103" s="156">
        <v>0.99</v>
      </c>
    </row>
    <row r="104" spans="1:10" ht="15">
      <c r="A104" s="160" t="s">
        <v>633</v>
      </c>
      <c r="B104" s="160"/>
      <c r="C104" s="744">
        <v>10</v>
      </c>
      <c r="F104">
        <f>4500/1000000</f>
        <v>4.4999999999999997E-3</v>
      </c>
    </row>
    <row r="105" spans="1:10" ht="15">
      <c r="A105" s="156" t="s">
        <v>55</v>
      </c>
      <c r="B105" s="156"/>
      <c r="C105" s="156">
        <v>0.6</v>
      </c>
    </row>
    <row r="106" spans="1:10" ht="16">
      <c r="I106" s="20"/>
    </row>
    <row r="107" spans="1:10">
      <c r="A107" s="6" t="s">
        <v>512</v>
      </c>
      <c r="B107" s="6"/>
    </row>
    <row r="108" spans="1:10">
      <c r="A108" s="83" t="s">
        <v>374</v>
      </c>
      <c r="B108" s="83"/>
      <c r="C108" s="102">
        <f>C82*C110</f>
        <v>9.1047619047619044E-2</v>
      </c>
    </row>
    <row r="109" spans="1:10" ht="15">
      <c r="A109" s="83" t="s">
        <v>251</v>
      </c>
      <c r="B109" s="83"/>
      <c r="C109" s="102">
        <f>(C82*C110*C111*C112*C94*C84)</f>
        <v>5.7095540740353086E-3</v>
      </c>
      <c r="I109">
        <f>1.58/2200</f>
        <v>7.1818181818181822E-4</v>
      </c>
      <c r="J109" t="s">
        <v>1082</v>
      </c>
    </row>
    <row r="110" spans="1:10">
      <c r="A110" s="156" t="s">
        <v>489</v>
      </c>
      <c r="B110" s="156"/>
      <c r="C110" s="157">
        <v>3.8239999999999998</v>
      </c>
      <c r="I110">
        <f>1.04/2200</f>
        <v>4.7272727272727272E-4</v>
      </c>
    </row>
    <row r="111" spans="1:10">
      <c r="A111" s="156" t="s">
        <v>430</v>
      </c>
      <c r="B111" s="156"/>
      <c r="C111" s="156">
        <v>17.2</v>
      </c>
    </row>
    <row r="112" spans="1:10">
      <c r="A112" s="156" t="s">
        <v>625</v>
      </c>
      <c r="B112" s="156"/>
      <c r="C112" s="156">
        <v>0.995</v>
      </c>
    </row>
    <row r="113" spans="1:11" ht="16">
      <c r="A113" s="160" t="s">
        <v>633</v>
      </c>
      <c r="B113" s="160"/>
      <c r="C113" s="744">
        <v>10</v>
      </c>
      <c r="I113" s="12" t="s">
        <v>1218</v>
      </c>
    </row>
    <row r="114" spans="1:11" ht="15">
      <c r="A114" s="156" t="s">
        <v>55</v>
      </c>
      <c r="B114" s="156"/>
      <c r="C114" s="156">
        <v>0.6</v>
      </c>
    </row>
    <row r="115" spans="1:11">
      <c r="F115" t="s">
        <v>1237</v>
      </c>
    </row>
    <row r="116" spans="1:11">
      <c r="A116" s="6" t="s">
        <v>164</v>
      </c>
      <c r="B116" s="6"/>
      <c r="C116" s="6" t="s">
        <v>1236</v>
      </c>
      <c r="D116" s="10" t="s">
        <v>1239</v>
      </c>
      <c r="G116" s="570" t="s">
        <v>1226</v>
      </c>
      <c r="H116" s="570" t="s">
        <v>1232</v>
      </c>
      <c r="I116" s="570" t="s">
        <v>1233</v>
      </c>
    </row>
    <row r="117" spans="1:11">
      <c r="A117" s="83" t="s">
        <v>165</v>
      </c>
      <c r="B117" s="83"/>
      <c r="C117" s="83">
        <v>8.7399999999999995E-3</v>
      </c>
      <c r="D117" s="746">
        <v>8.7399999999999995E-3</v>
      </c>
      <c r="E117" t="s">
        <v>1240</v>
      </c>
      <c r="G117" s="592"/>
      <c r="H117" s="742" t="s">
        <v>1227</v>
      </c>
      <c r="I117" s="742" t="s">
        <v>1229</v>
      </c>
      <c r="J117" s="742" t="s">
        <v>1230</v>
      </c>
      <c r="K117" s="742" t="s">
        <v>1231</v>
      </c>
    </row>
    <row r="118" spans="1:11" ht="15">
      <c r="A118" s="83" t="s">
        <v>166</v>
      </c>
      <c r="B118" s="83"/>
      <c r="C118" s="83">
        <v>8.1999999999999998E-4</v>
      </c>
      <c r="D118" s="747">
        <f>C117*(F122/2200)</f>
        <v>1.1751327272727272E-4</v>
      </c>
      <c r="E118" t="s">
        <v>1241</v>
      </c>
    </row>
    <row r="119" spans="1:11">
      <c r="A119" s="156" t="s">
        <v>167</v>
      </c>
      <c r="B119" s="156"/>
      <c r="C119" s="156">
        <v>17.48</v>
      </c>
      <c r="D119" s="755">
        <v>17.48</v>
      </c>
      <c r="E119" s="29" t="s">
        <v>1240</v>
      </c>
      <c r="G119" s="570" t="s">
        <v>1228</v>
      </c>
      <c r="H119" s="570">
        <v>17.48</v>
      </c>
      <c r="I119" s="573">
        <v>1640</v>
      </c>
      <c r="J119" s="570">
        <v>126</v>
      </c>
      <c r="K119" s="570">
        <v>63</v>
      </c>
    </row>
    <row r="120" spans="1:11" ht="14">
      <c r="A120" s="156" t="s">
        <v>430</v>
      </c>
      <c r="B120" s="156"/>
      <c r="C120" s="745">
        <f>(1/(H119/I119))/3.34</f>
        <v>28.090272544156537</v>
      </c>
      <c r="D120" s="755">
        <v>28.09</v>
      </c>
      <c r="E120" s="172" t="s">
        <v>1240</v>
      </c>
      <c r="H120" s="741"/>
      <c r="I120" s="741"/>
      <c r="J120" s="741"/>
    </row>
    <row r="121" spans="1:11" ht="17" customHeight="1">
      <c r="A121" s="156" t="s">
        <v>625</v>
      </c>
      <c r="B121" s="156"/>
      <c r="C121" s="160">
        <v>0.99</v>
      </c>
      <c r="D121" s="755">
        <v>0.99</v>
      </c>
      <c r="F121" t="s">
        <v>1238</v>
      </c>
      <c r="I121" s="740"/>
      <c r="J121" s="740"/>
    </row>
    <row r="122" spans="1:11" ht="15">
      <c r="A122" s="160" t="s">
        <v>633</v>
      </c>
      <c r="B122" s="160"/>
      <c r="C122" s="745">
        <f>J119/H119</f>
        <v>7.2082379862700225</v>
      </c>
      <c r="D122" s="755">
        <v>7.21</v>
      </c>
      <c r="E122" s="172" t="s">
        <v>1240</v>
      </c>
      <c r="F122">
        <v>29.58</v>
      </c>
      <c r="G122" t="s">
        <v>1242</v>
      </c>
      <c r="J122">
        <f>17.48/2000</f>
        <v>8.7399999999999995E-3</v>
      </c>
    </row>
    <row r="123" spans="1:11" ht="15">
      <c r="A123" s="156" t="s">
        <v>55</v>
      </c>
      <c r="B123" s="156"/>
      <c r="C123" s="745">
        <f>K119/H119</f>
        <v>3.6041189931350113</v>
      </c>
      <c r="D123" s="755">
        <v>3.6</v>
      </c>
      <c r="E123" t="s">
        <v>1240</v>
      </c>
    </row>
    <row r="124" spans="1:11">
      <c r="G124" t="s">
        <v>1267</v>
      </c>
    </row>
    <row r="125" spans="1:11">
      <c r="A125" s="6" t="s">
        <v>975</v>
      </c>
      <c r="B125" s="6"/>
      <c r="C125" s="6"/>
      <c r="G125">
        <v>116.27</v>
      </c>
      <c r="H125" t="s">
        <v>1268</v>
      </c>
    </row>
    <row r="126" spans="1:11">
      <c r="A126" s="156" t="s">
        <v>1026</v>
      </c>
      <c r="B126" s="156"/>
      <c r="C126" s="10">
        <v>1.0149999999999999E-2</v>
      </c>
      <c r="D126" t="s">
        <v>1027</v>
      </c>
      <c r="G126">
        <f>G125*0.001*C117</f>
        <v>1.0161998E-3</v>
      </c>
      <c r="H126" t="s">
        <v>1269</v>
      </c>
    </row>
    <row r="129" spans="1:6">
      <c r="A129" s="6" t="s">
        <v>330</v>
      </c>
      <c r="B129" s="6"/>
      <c r="C129" s="6"/>
    </row>
    <row r="130" spans="1:6">
      <c r="A130" s="10" t="s">
        <v>1205</v>
      </c>
      <c r="B130" s="10"/>
      <c r="C130" s="10">
        <v>1.032</v>
      </c>
    </row>
    <row r="131" spans="1:6">
      <c r="A131" s="10" t="s">
        <v>1206</v>
      </c>
      <c r="B131" s="10"/>
      <c r="C131" s="10">
        <f>(53.12*2.2)/2200</f>
        <v>5.3120000000000001E-2</v>
      </c>
    </row>
    <row r="132" spans="1:6">
      <c r="A132" s="743" t="s">
        <v>1158</v>
      </c>
      <c r="B132" s="743"/>
      <c r="C132" s="743">
        <v>53.07</v>
      </c>
    </row>
    <row r="133" spans="1:6">
      <c r="A133" s="743" t="s">
        <v>1159</v>
      </c>
      <c r="B133" s="743"/>
      <c r="C133" s="743">
        <v>0.995</v>
      </c>
    </row>
    <row r="134" spans="1:6">
      <c r="A134" s="743" t="s">
        <v>1160</v>
      </c>
      <c r="B134" s="743"/>
      <c r="C134" s="743">
        <v>1</v>
      </c>
    </row>
    <row r="135" spans="1:6">
      <c r="A135" s="743" t="s">
        <v>1161</v>
      </c>
      <c r="B135" s="743"/>
      <c r="C135" s="743">
        <v>1</v>
      </c>
    </row>
    <row r="138" spans="1:6">
      <c r="B138" s="10"/>
    </row>
    <row r="140" spans="1:6" ht="30">
      <c r="A140" s="10" t="s">
        <v>1172</v>
      </c>
      <c r="B140" s="683"/>
      <c r="C140" s="683" t="s">
        <v>1168</v>
      </c>
      <c r="D140" s="683" t="s">
        <v>1169</v>
      </c>
      <c r="E140" s="683" t="s">
        <v>1168</v>
      </c>
      <c r="F140" s="683" t="s">
        <v>1169</v>
      </c>
    </row>
    <row r="141" spans="1:6" ht="42">
      <c r="A141" s="683" t="s">
        <v>1170</v>
      </c>
      <c r="B141" s="683"/>
      <c r="C141" s="683" t="s">
        <v>1201</v>
      </c>
      <c r="D141" s="683" t="s">
        <v>1202</v>
      </c>
      <c r="E141" s="683" t="s">
        <v>1171</v>
      </c>
      <c r="F141" s="683" t="s">
        <v>1171</v>
      </c>
    </row>
    <row r="142" spans="1:6" ht="12" customHeight="1">
      <c r="A142" s="684" t="s">
        <v>330</v>
      </c>
      <c r="B142" s="684"/>
      <c r="C142" s="684">
        <v>117.1</v>
      </c>
      <c r="D142" s="684">
        <v>53.12</v>
      </c>
      <c r="E142" s="684">
        <v>117</v>
      </c>
      <c r="F142" s="684">
        <v>53.07</v>
      </c>
    </row>
    <row r="144" spans="1:6">
      <c r="A144" t="s">
        <v>1203</v>
      </c>
    </row>
    <row r="146" spans="1:2">
      <c r="A146" s="515" t="s">
        <v>1204</v>
      </c>
      <c r="B146" s="515"/>
    </row>
  </sheetData>
  <mergeCells count="2">
    <mergeCell ref="A2:H4"/>
    <mergeCell ref="A80:C80"/>
  </mergeCells>
  <phoneticPr fontId="3" type="noConversion"/>
  <hyperlinks>
    <hyperlink ref="A146" r:id="rId1"/>
  </hyperlinks>
  <pageMargins left="0.5" right="0.5" top="0.5" bottom="0.5" header="0.5" footer="0.5"/>
  <pageSetup orientation="portrait"/>
  <headerFooter alignWithMargins="0">
    <oddHeader>&amp;L&amp;"Arial,Bold"&amp;12MC GHG DRAFT August 14, 2010. Do not Circulate until final.</oddHead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18"/>
  <sheetViews>
    <sheetView zoomScale="125" zoomScaleNormal="100" workbookViewId="0">
      <selection activeCell="A116" sqref="A116"/>
    </sheetView>
  </sheetViews>
  <sheetFormatPr baseColWidth="10" defaultColWidth="8.83203125" defaultRowHeight="13"/>
  <cols>
    <col min="1" max="1" width="23.6640625" customWidth="1"/>
  </cols>
  <sheetData>
    <row r="1" spans="1:8" ht="18">
      <c r="A1" s="843" t="s">
        <v>16</v>
      </c>
      <c r="B1" s="843"/>
      <c r="C1" s="843"/>
      <c r="D1" s="843"/>
      <c r="E1" s="843"/>
      <c r="F1" s="843"/>
      <c r="G1" s="843"/>
      <c r="H1" s="843"/>
    </row>
    <row r="2" spans="1:8" ht="12.75" customHeight="1">
      <c r="A2" s="839" t="s">
        <v>694</v>
      </c>
      <c r="B2" s="839"/>
      <c r="C2" s="839"/>
      <c r="D2" s="839"/>
      <c r="E2" s="839"/>
      <c r="F2" s="839"/>
      <c r="G2" s="839"/>
      <c r="H2" s="839"/>
    </row>
    <row r="3" spans="1:8">
      <c r="A3" s="839"/>
      <c r="B3" s="839"/>
      <c r="C3" s="839"/>
      <c r="D3" s="839"/>
      <c r="E3" s="839"/>
      <c r="F3" s="839"/>
      <c r="G3" s="839"/>
      <c r="H3" s="839"/>
    </row>
    <row r="4" spans="1:8">
      <c r="A4" s="839"/>
      <c r="B4" s="839"/>
      <c r="C4" s="839"/>
      <c r="D4" s="839"/>
      <c r="E4" s="839"/>
      <c r="F4" s="839"/>
      <c r="G4" s="839"/>
      <c r="H4" s="839"/>
    </row>
    <row r="6" spans="1:8" ht="12.75" customHeight="1"/>
    <row r="7" spans="1:8" ht="12.75" customHeight="1"/>
    <row r="20" spans="1:6" ht="12.75" customHeight="1">
      <c r="A20" s="844" t="s">
        <v>786</v>
      </c>
      <c r="B20" s="844"/>
      <c r="C20" s="844"/>
      <c r="D20" s="844"/>
      <c r="E20" s="844"/>
      <c r="F20" s="844"/>
    </row>
    <row r="21" spans="1:6" ht="12.75" customHeight="1">
      <c r="A21" s="844"/>
      <c r="B21" s="844"/>
      <c r="C21" s="844"/>
      <c r="D21" s="844"/>
      <c r="E21" s="844"/>
      <c r="F21" s="844"/>
    </row>
    <row r="22" spans="1:6">
      <c r="A22" s="844"/>
      <c r="B22" s="844"/>
      <c r="C22" s="844"/>
      <c r="D22" s="844"/>
      <c r="E22" s="844"/>
      <c r="F22" s="844"/>
    </row>
    <row r="35" spans="1:8" ht="12.75" customHeight="1">
      <c r="A35" s="844" t="s">
        <v>730</v>
      </c>
      <c r="B35" s="844"/>
      <c r="C35" s="844"/>
      <c r="D35" s="844"/>
      <c r="E35" s="844"/>
      <c r="F35" s="844"/>
      <c r="G35" s="844"/>
      <c r="H35" s="844"/>
    </row>
    <row r="36" spans="1:8">
      <c r="A36" s="844"/>
      <c r="B36" s="844"/>
      <c r="C36" s="844"/>
      <c r="D36" s="844"/>
      <c r="E36" s="844"/>
      <c r="F36" s="844"/>
      <c r="G36" s="844"/>
      <c r="H36" s="844"/>
    </row>
    <row r="37" spans="1:8">
      <c r="A37" s="844"/>
      <c r="B37" s="844"/>
      <c r="C37" s="844"/>
      <c r="D37" s="844"/>
      <c r="E37" s="844"/>
      <c r="F37" s="844"/>
      <c r="G37" s="844"/>
      <c r="H37" s="844"/>
    </row>
    <row r="39" spans="1:8" ht="16">
      <c r="A39" s="4" t="s">
        <v>749</v>
      </c>
    </row>
    <row r="40" spans="1:8" ht="12.75" customHeight="1">
      <c r="A40" t="s">
        <v>489</v>
      </c>
      <c r="B40" s="842" t="s">
        <v>562</v>
      </c>
      <c r="C40" s="842"/>
      <c r="D40" s="842"/>
      <c r="E40" s="842"/>
      <c r="F40" s="842"/>
      <c r="G40" s="842"/>
      <c r="H40" s="842"/>
    </row>
    <row r="41" spans="1:8">
      <c r="B41" s="842"/>
      <c r="C41" s="842"/>
      <c r="D41" s="842"/>
      <c r="E41" s="842"/>
      <c r="F41" s="842"/>
      <c r="G41" s="842"/>
      <c r="H41" s="842"/>
    </row>
    <row r="42" spans="1:8">
      <c r="B42" s="842"/>
      <c r="C42" s="842"/>
      <c r="D42" s="842"/>
      <c r="E42" s="842"/>
      <c r="F42" s="842"/>
      <c r="G42" s="842"/>
      <c r="H42" s="842"/>
    </row>
    <row r="43" spans="1:8" ht="12.75" customHeight="1">
      <c r="A43" t="s">
        <v>430</v>
      </c>
      <c r="B43" s="842" t="s">
        <v>23</v>
      </c>
      <c r="C43" s="842"/>
      <c r="D43" s="842"/>
      <c r="E43" s="842"/>
      <c r="F43" s="842"/>
      <c r="G43" s="842"/>
      <c r="H43" s="842"/>
    </row>
    <row r="44" spans="1:8">
      <c r="B44" s="842"/>
      <c r="C44" s="842"/>
      <c r="D44" s="842"/>
      <c r="E44" s="842"/>
      <c r="F44" s="842"/>
      <c r="G44" s="842"/>
      <c r="H44" s="842"/>
    </row>
    <row r="45" spans="1:8" ht="12.75" customHeight="1">
      <c r="A45" t="s">
        <v>625</v>
      </c>
      <c r="B45" s="842" t="s">
        <v>23</v>
      </c>
      <c r="C45" s="842"/>
      <c r="D45" s="842"/>
      <c r="E45" s="842"/>
      <c r="F45" s="842"/>
      <c r="G45" s="842"/>
      <c r="H45" s="842"/>
    </row>
    <row r="46" spans="1:8">
      <c r="B46" s="842"/>
      <c r="C46" s="842"/>
      <c r="D46" s="842"/>
      <c r="E46" s="842"/>
      <c r="F46" s="842"/>
      <c r="G46" s="842"/>
      <c r="H46" s="842"/>
    </row>
    <row r="47" spans="1:8" ht="12.75" customHeight="1">
      <c r="A47" t="s">
        <v>747</v>
      </c>
      <c r="B47" s="842" t="s">
        <v>664</v>
      </c>
      <c r="C47" s="842"/>
      <c r="D47" s="842"/>
      <c r="E47" s="842"/>
      <c r="F47" s="842"/>
      <c r="G47" s="842"/>
      <c r="H47" s="842"/>
    </row>
    <row r="48" spans="1:8">
      <c r="B48" s="842"/>
      <c r="C48" s="842"/>
      <c r="D48" s="842"/>
      <c r="E48" s="842"/>
      <c r="F48" s="842"/>
      <c r="G48" s="842"/>
      <c r="H48" s="842"/>
    </row>
    <row r="49" spans="1:8" ht="15">
      <c r="A49" t="s">
        <v>431</v>
      </c>
      <c r="B49" s="842" t="s">
        <v>314</v>
      </c>
      <c r="C49" s="842"/>
      <c r="D49" s="842"/>
      <c r="E49" s="842"/>
      <c r="F49" s="842"/>
      <c r="G49" s="842"/>
      <c r="H49" s="842"/>
    </row>
    <row r="50" spans="1:8">
      <c r="B50" s="842"/>
      <c r="C50" s="842"/>
      <c r="D50" s="842"/>
      <c r="E50" s="842"/>
      <c r="F50" s="842"/>
      <c r="G50" s="842"/>
      <c r="H50" s="842"/>
    </row>
    <row r="51" spans="1:8">
      <c r="B51" s="842"/>
      <c r="C51" s="842"/>
      <c r="D51" s="842"/>
      <c r="E51" s="842"/>
      <c r="F51" s="842"/>
      <c r="G51" s="842"/>
      <c r="H51" s="842"/>
    </row>
    <row r="52" spans="1:8" ht="15">
      <c r="A52" t="s">
        <v>432</v>
      </c>
      <c r="B52" s="842" t="s">
        <v>20</v>
      </c>
      <c r="C52" s="842"/>
      <c r="D52" s="842"/>
      <c r="E52" s="842"/>
      <c r="F52" s="842"/>
      <c r="G52" s="842"/>
      <c r="H52" s="842"/>
    </row>
    <row r="53" spans="1:8">
      <c r="B53" s="842"/>
      <c r="C53" s="842"/>
      <c r="D53" s="842"/>
      <c r="E53" s="842"/>
      <c r="F53" s="842"/>
      <c r="G53" s="842"/>
      <c r="H53" s="842"/>
    </row>
    <row r="54" spans="1:8">
      <c r="B54" s="842"/>
      <c r="C54" s="842"/>
      <c r="D54" s="842"/>
      <c r="E54" s="842"/>
      <c r="F54" s="842"/>
      <c r="G54" s="842"/>
      <c r="H54" s="842"/>
    </row>
    <row r="55" spans="1:8" ht="15" customHeight="1">
      <c r="B55" s="842"/>
      <c r="C55" s="842"/>
      <c r="D55" s="842"/>
      <c r="E55" s="842"/>
      <c r="F55" s="842"/>
      <c r="G55" s="842"/>
      <c r="H55" s="842"/>
    </row>
    <row r="56" spans="1:8" ht="15">
      <c r="A56" t="s">
        <v>433</v>
      </c>
      <c r="B56" s="842" t="s">
        <v>205</v>
      </c>
      <c r="C56" s="842"/>
      <c r="D56" s="842"/>
      <c r="E56" s="842"/>
      <c r="F56" s="842"/>
      <c r="G56" s="842"/>
      <c r="H56" s="842"/>
    </row>
    <row r="57" spans="1:8">
      <c r="B57" s="842"/>
      <c r="C57" s="842"/>
      <c r="D57" s="842"/>
      <c r="E57" s="842"/>
      <c r="F57" s="842"/>
      <c r="G57" s="842"/>
      <c r="H57" s="842"/>
    </row>
    <row r="58" spans="1:8" ht="39" customHeight="1">
      <c r="B58" s="842"/>
      <c r="C58" s="842"/>
      <c r="D58" s="842"/>
      <c r="E58" s="842"/>
      <c r="F58" s="842"/>
      <c r="G58" s="842"/>
      <c r="H58" s="842"/>
    </row>
    <row r="59" spans="1:8" ht="15">
      <c r="A59" t="s">
        <v>431</v>
      </c>
      <c r="B59" s="842" t="s">
        <v>198</v>
      </c>
      <c r="C59" s="842"/>
      <c r="D59" s="842"/>
      <c r="E59" s="842"/>
      <c r="F59" s="842"/>
      <c r="G59" s="842"/>
      <c r="H59" s="842"/>
    </row>
    <row r="60" spans="1:8">
      <c r="B60" s="842"/>
      <c r="C60" s="842"/>
      <c r="D60" s="842"/>
      <c r="E60" s="842"/>
      <c r="F60" s="842"/>
      <c r="G60" s="842"/>
      <c r="H60" s="842"/>
    </row>
    <row r="61" spans="1:8">
      <c r="B61" s="842"/>
      <c r="C61" s="842"/>
      <c r="D61" s="842"/>
      <c r="E61" s="842"/>
      <c r="F61" s="842"/>
      <c r="G61" s="842"/>
      <c r="H61" s="842"/>
    </row>
    <row r="62" spans="1:8" ht="24.75" customHeight="1">
      <c r="B62" s="842"/>
      <c r="C62" s="842"/>
      <c r="D62" s="842"/>
      <c r="E62" s="842"/>
      <c r="F62" s="842"/>
      <c r="G62" s="842"/>
      <c r="H62" s="842"/>
    </row>
    <row r="63" spans="1:8" ht="15">
      <c r="A63" t="s">
        <v>457</v>
      </c>
      <c r="B63" s="842" t="s">
        <v>336</v>
      </c>
      <c r="C63" s="842"/>
      <c r="D63" s="842"/>
      <c r="E63" s="842"/>
      <c r="F63" s="842"/>
      <c r="G63" s="842"/>
      <c r="H63" s="842"/>
    </row>
    <row r="64" spans="1:8">
      <c r="B64" s="842"/>
      <c r="C64" s="842"/>
      <c r="D64" s="842"/>
      <c r="E64" s="842"/>
      <c r="F64" s="842"/>
      <c r="G64" s="842"/>
      <c r="H64" s="842"/>
    </row>
    <row r="65" spans="1:8">
      <c r="B65" s="842"/>
      <c r="C65" s="842"/>
      <c r="D65" s="842"/>
      <c r="E65" s="842"/>
      <c r="F65" s="842"/>
      <c r="G65" s="842"/>
      <c r="H65" s="842"/>
    </row>
    <row r="66" spans="1:8" ht="15.75" customHeight="1">
      <c r="B66" s="842"/>
      <c r="C66" s="842"/>
      <c r="D66" s="842"/>
      <c r="E66" s="842"/>
      <c r="F66" s="842"/>
      <c r="G66" s="842"/>
      <c r="H66" s="842"/>
    </row>
    <row r="67" spans="1:8" ht="12.75" customHeight="1">
      <c r="A67" t="s">
        <v>224</v>
      </c>
      <c r="B67" s="81" t="s">
        <v>620</v>
      </c>
      <c r="C67" s="81"/>
      <c r="D67" s="37"/>
      <c r="E67" s="37"/>
      <c r="F67" s="37"/>
      <c r="G67" s="37"/>
      <c r="H67" s="37"/>
    </row>
    <row r="68" spans="1:8">
      <c r="A68" t="s">
        <v>355</v>
      </c>
      <c r="B68" s="840" t="s">
        <v>620</v>
      </c>
      <c r="C68" s="840"/>
      <c r="D68" s="37"/>
      <c r="E68" s="37"/>
      <c r="F68" s="37"/>
      <c r="G68" s="37"/>
      <c r="H68" s="37"/>
    </row>
    <row r="69" spans="1:8" ht="12.75" customHeight="1">
      <c r="D69" s="37"/>
      <c r="E69" s="37"/>
      <c r="F69" s="37"/>
      <c r="G69" s="37"/>
      <c r="H69" s="37"/>
    </row>
    <row r="70" spans="1:8" ht="16">
      <c r="A70" s="4" t="s">
        <v>280</v>
      </c>
    </row>
    <row r="71" spans="1:8" ht="12.75" customHeight="1">
      <c r="A71" s="26" t="s">
        <v>688</v>
      </c>
      <c r="B71" s="841" t="s">
        <v>965</v>
      </c>
      <c r="C71" s="841"/>
      <c r="D71" s="841"/>
      <c r="E71" s="841"/>
      <c r="F71" s="841"/>
      <c r="G71" s="841"/>
      <c r="H71" s="841"/>
    </row>
    <row r="72" spans="1:8">
      <c r="A72" s="26"/>
      <c r="B72" s="841"/>
      <c r="C72" s="841"/>
      <c r="D72" s="841"/>
      <c r="E72" s="841"/>
      <c r="F72" s="841"/>
      <c r="G72" s="841"/>
      <c r="H72" s="841"/>
    </row>
    <row r="73" spans="1:8">
      <c r="A73" t="s">
        <v>231</v>
      </c>
      <c r="B73" s="840" t="s">
        <v>725</v>
      </c>
      <c r="C73" s="840"/>
      <c r="D73" s="840"/>
    </row>
    <row r="74" spans="1:8">
      <c r="A74" t="s">
        <v>883</v>
      </c>
      <c r="B74" s="840" t="s">
        <v>725</v>
      </c>
      <c r="C74" s="840"/>
      <c r="D74" s="840"/>
    </row>
    <row r="76" spans="1:8" ht="16">
      <c r="A76" s="835" t="s">
        <v>359</v>
      </c>
      <c r="B76" s="835"/>
    </row>
    <row r="77" spans="1:8">
      <c r="A77" s="26" t="s">
        <v>695</v>
      </c>
      <c r="B77" s="841" t="s">
        <v>965</v>
      </c>
      <c r="C77" s="841"/>
      <c r="D77" s="841"/>
      <c r="E77" s="841"/>
      <c r="F77" s="841"/>
      <c r="G77" s="841"/>
      <c r="H77" s="841"/>
    </row>
    <row r="78" spans="1:8">
      <c r="A78" s="26"/>
      <c r="B78" s="841"/>
      <c r="C78" s="841"/>
      <c r="D78" s="841"/>
      <c r="E78" s="841"/>
      <c r="F78" s="841"/>
      <c r="G78" s="841"/>
      <c r="H78" s="841"/>
    </row>
    <row r="79" spans="1:8" ht="12.75" customHeight="1">
      <c r="A79" s="26" t="s">
        <v>526</v>
      </c>
      <c r="B79" s="841" t="s">
        <v>965</v>
      </c>
      <c r="C79" s="841"/>
      <c r="D79" s="841"/>
      <c r="E79" s="841"/>
      <c r="F79" s="841"/>
      <c r="G79" s="841"/>
      <c r="H79" s="841"/>
    </row>
    <row r="80" spans="1:8" ht="12.75" customHeight="1">
      <c r="A80" s="26"/>
      <c r="B80" s="841"/>
      <c r="C80" s="841"/>
      <c r="D80" s="841"/>
      <c r="E80" s="841"/>
      <c r="F80" s="841"/>
      <c r="G80" s="841"/>
      <c r="H80" s="841"/>
    </row>
    <row r="81" spans="1:8" ht="12.75" customHeight="1">
      <c r="A81" s="26" t="s">
        <v>693</v>
      </c>
      <c r="B81" s="841" t="s">
        <v>965</v>
      </c>
      <c r="C81" s="841"/>
      <c r="D81" s="841"/>
      <c r="E81" s="841"/>
      <c r="F81" s="841"/>
      <c r="G81" s="841"/>
      <c r="H81" s="841"/>
    </row>
    <row r="82" spans="1:8">
      <c r="A82" s="26"/>
      <c r="B82" s="841"/>
      <c r="C82" s="841"/>
      <c r="D82" s="841"/>
      <c r="E82" s="841"/>
      <c r="F82" s="841"/>
      <c r="G82" s="841"/>
      <c r="H82" s="841"/>
    </row>
    <row r="83" spans="1:8" ht="12.75" customHeight="1">
      <c r="A83" s="26" t="s">
        <v>617</v>
      </c>
      <c r="B83" s="841" t="s">
        <v>965</v>
      </c>
      <c r="C83" s="841"/>
      <c r="D83" s="841"/>
      <c r="E83" s="841"/>
      <c r="F83" s="841"/>
      <c r="G83" s="841"/>
      <c r="H83" s="841"/>
    </row>
    <row r="84" spans="1:8" ht="12.75" customHeight="1">
      <c r="A84" s="26"/>
      <c r="B84" s="841"/>
      <c r="C84" s="841"/>
      <c r="D84" s="841"/>
      <c r="E84" s="841"/>
      <c r="F84" s="841"/>
      <c r="G84" s="841"/>
      <c r="H84" s="841"/>
    </row>
    <row r="85" spans="1:8">
      <c r="A85" t="s">
        <v>373</v>
      </c>
      <c r="B85" s="840" t="s">
        <v>725</v>
      </c>
      <c r="C85" s="840"/>
      <c r="D85" s="840"/>
    </row>
    <row r="86" spans="1:8">
      <c r="A86" t="s">
        <v>884</v>
      </c>
      <c r="B86" s="840" t="s">
        <v>725</v>
      </c>
      <c r="C86" s="840"/>
      <c r="D86" s="840"/>
    </row>
    <row r="87" spans="1:8">
      <c r="B87" s="81"/>
      <c r="C87" s="81"/>
      <c r="D87" s="81"/>
    </row>
    <row r="88" spans="1:8" ht="16">
      <c r="A88" s="4" t="s">
        <v>412</v>
      </c>
      <c r="B88" s="81"/>
      <c r="C88" s="81"/>
      <c r="D88" s="81"/>
    </row>
    <row r="89" spans="1:8">
      <c r="A89" s="26" t="s">
        <v>466</v>
      </c>
      <c r="B89" s="841" t="s">
        <v>965</v>
      </c>
      <c r="C89" s="841"/>
      <c r="D89" s="841"/>
      <c r="E89" s="841"/>
      <c r="F89" s="841"/>
      <c r="G89" s="841"/>
      <c r="H89" s="841"/>
    </row>
    <row r="90" spans="1:8">
      <c r="A90" s="26"/>
      <c r="B90" s="841"/>
      <c r="C90" s="841"/>
      <c r="D90" s="841"/>
      <c r="E90" s="841"/>
      <c r="F90" s="841"/>
      <c r="G90" s="841"/>
      <c r="H90" s="841"/>
    </row>
    <row r="91" spans="1:8">
      <c r="A91" t="s">
        <v>374</v>
      </c>
      <c r="B91" t="s">
        <v>725</v>
      </c>
    </row>
    <row r="92" spans="1:8">
      <c r="A92" t="s">
        <v>805</v>
      </c>
      <c r="B92" t="s">
        <v>725</v>
      </c>
    </row>
    <row r="94" spans="1:8" ht="16">
      <c r="A94" s="835" t="s">
        <v>257</v>
      </c>
      <c r="B94" s="835"/>
      <c r="C94" s="835"/>
    </row>
    <row r="95" spans="1:8">
      <c r="A95" s="10" t="s">
        <v>621</v>
      </c>
    </row>
    <row r="96" spans="1:8">
      <c r="A96" s="845" t="s">
        <v>858</v>
      </c>
      <c r="B96" s="845"/>
      <c r="C96" s="845"/>
      <c r="D96" s="845"/>
      <c r="E96" s="845"/>
      <c r="F96" s="845"/>
      <c r="G96" s="845"/>
      <c r="H96" s="845"/>
    </row>
    <row r="97" spans="1:8">
      <c r="A97" s="845"/>
      <c r="B97" s="845"/>
      <c r="C97" s="845"/>
      <c r="D97" s="845"/>
      <c r="E97" s="845"/>
      <c r="F97" s="845"/>
      <c r="G97" s="845"/>
      <c r="H97" s="845"/>
    </row>
    <row r="98" spans="1:8">
      <c r="A98" s="845"/>
      <c r="B98" s="845"/>
      <c r="C98" s="845"/>
      <c r="D98" s="845"/>
      <c r="E98" s="845"/>
      <c r="F98" s="845"/>
      <c r="G98" s="845"/>
      <c r="H98" s="845"/>
    </row>
    <row r="99" spans="1:8">
      <c r="A99" s="842" t="s">
        <v>838</v>
      </c>
      <c r="B99" s="842"/>
      <c r="C99" s="842"/>
      <c r="D99" s="842"/>
      <c r="E99" s="842"/>
      <c r="F99" s="842"/>
      <c r="G99" s="842"/>
      <c r="H99" s="842"/>
    </row>
    <row r="100" spans="1:8">
      <c r="A100" s="842"/>
      <c r="B100" s="842"/>
      <c r="C100" s="842"/>
      <c r="D100" s="842"/>
      <c r="E100" s="842"/>
      <c r="F100" s="842"/>
      <c r="G100" s="842"/>
      <c r="H100" s="842"/>
    </row>
    <row r="101" spans="1:8">
      <c r="A101" s="842"/>
      <c r="B101" s="842"/>
      <c r="C101" s="842"/>
      <c r="D101" s="842"/>
      <c r="E101" s="842"/>
      <c r="F101" s="842"/>
      <c r="G101" s="842"/>
      <c r="H101" s="842"/>
    </row>
    <row r="102" spans="1:8">
      <c r="A102" s="10" t="s">
        <v>218</v>
      </c>
    </row>
    <row r="103" spans="1:8">
      <c r="A103" s="842" t="s">
        <v>887</v>
      </c>
      <c r="B103" s="842"/>
      <c r="C103" s="842"/>
      <c r="D103" s="842"/>
      <c r="E103" s="842"/>
      <c r="F103" s="842"/>
      <c r="G103" s="842"/>
      <c r="H103" s="842"/>
    </row>
    <row r="104" spans="1:8">
      <c r="A104" s="842"/>
      <c r="B104" s="842"/>
      <c r="C104" s="842"/>
      <c r="D104" s="842"/>
      <c r="E104" s="842"/>
      <c r="F104" s="842"/>
      <c r="G104" s="842"/>
      <c r="H104" s="842"/>
    </row>
    <row r="105" spans="1:8">
      <c r="A105" s="842" t="s">
        <v>894</v>
      </c>
      <c r="B105" s="842"/>
      <c r="C105" s="842"/>
      <c r="D105" s="842"/>
      <c r="E105" s="842"/>
      <c r="F105" s="842"/>
      <c r="G105" s="842"/>
      <c r="H105" s="842"/>
    </row>
    <row r="106" spans="1:8">
      <c r="A106" s="842"/>
      <c r="B106" s="842"/>
      <c r="C106" s="842"/>
      <c r="D106" s="842"/>
      <c r="E106" s="842"/>
      <c r="F106" s="842"/>
      <c r="G106" s="842"/>
      <c r="H106" s="842"/>
    </row>
    <row r="108" spans="1:8">
      <c r="A108" s="10" t="s">
        <v>186</v>
      </c>
    </row>
    <row r="109" spans="1:8">
      <c r="A109" s="838" t="s">
        <v>1235</v>
      </c>
      <c r="B109" s="838"/>
      <c r="C109" s="838"/>
      <c r="D109" s="838"/>
      <c r="E109" s="838"/>
      <c r="F109" s="838"/>
      <c r="G109" s="838"/>
      <c r="H109" s="838"/>
    </row>
    <row r="110" spans="1:8">
      <c r="A110" s="838"/>
      <c r="B110" s="838"/>
      <c r="C110" s="838"/>
      <c r="D110" s="838"/>
      <c r="E110" s="838"/>
      <c r="F110" s="838"/>
      <c r="G110" s="838"/>
      <c r="H110" s="838"/>
    </row>
    <row r="111" spans="1:8">
      <c r="A111" s="838"/>
      <c r="B111" s="838"/>
      <c r="C111" s="838"/>
      <c r="D111" s="838"/>
      <c r="E111" s="838"/>
      <c r="F111" s="838"/>
      <c r="G111" s="838"/>
      <c r="H111" s="838"/>
    </row>
    <row r="112" spans="1:8">
      <c r="A112" s="838"/>
      <c r="B112" s="838"/>
      <c r="C112" s="838"/>
      <c r="D112" s="838"/>
      <c r="E112" s="838"/>
      <c r="F112" s="838"/>
      <c r="G112" s="838"/>
      <c r="H112" s="838"/>
    </row>
    <row r="113" spans="1:7">
      <c r="A113" t="s">
        <v>1234</v>
      </c>
    </row>
    <row r="114" spans="1:7">
      <c r="A114" t="s">
        <v>1246</v>
      </c>
    </row>
    <row r="115" spans="1:7">
      <c r="A115" s="750" t="s">
        <v>1245</v>
      </c>
    </row>
    <row r="116" spans="1:7">
      <c r="A116" s="750" t="s">
        <v>1247</v>
      </c>
    </row>
    <row r="117" spans="1:7" ht="21" customHeight="1">
      <c r="A117" s="750" t="s">
        <v>1244</v>
      </c>
    </row>
    <row r="118" spans="1:7" ht="80">
      <c r="A118" s="748" t="s">
        <v>1243</v>
      </c>
      <c r="B118" s="749"/>
      <c r="C118" s="749"/>
      <c r="D118" s="749"/>
      <c r="E118" s="749"/>
      <c r="F118" s="749"/>
      <c r="G118" s="749"/>
    </row>
  </sheetData>
  <mergeCells count="31">
    <mergeCell ref="A96:H98"/>
    <mergeCell ref="A99:H101"/>
    <mergeCell ref="A76:B76"/>
    <mergeCell ref="B81:H82"/>
    <mergeCell ref="A103:H104"/>
    <mergeCell ref="B83:H84"/>
    <mergeCell ref="B85:D85"/>
    <mergeCell ref="A1:H1"/>
    <mergeCell ref="A20:F22"/>
    <mergeCell ref="A2:H4"/>
    <mergeCell ref="A35:H37"/>
    <mergeCell ref="B49:H51"/>
    <mergeCell ref="B40:H42"/>
    <mergeCell ref="B43:H44"/>
    <mergeCell ref="B45:H46"/>
    <mergeCell ref="B52:H55"/>
    <mergeCell ref="B63:H66"/>
    <mergeCell ref="B56:H58"/>
    <mergeCell ref="B59:H62"/>
    <mergeCell ref="B47:H48"/>
    <mergeCell ref="B71:H72"/>
    <mergeCell ref="A109:H112"/>
    <mergeCell ref="B68:C68"/>
    <mergeCell ref="B73:D73"/>
    <mergeCell ref="B74:D74"/>
    <mergeCell ref="B86:D86"/>
    <mergeCell ref="B79:H80"/>
    <mergeCell ref="B77:H78"/>
    <mergeCell ref="A105:H106"/>
    <mergeCell ref="A94:C94"/>
    <mergeCell ref="B89:H90"/>
  </mergeCells>
  <phoneticPr fontId="3" type="noConversion"/>
  <pageMargins left="0.5" right="0.5" top="0.5" bottom="0.5" header="0.5" footer="0.5"/>
  <pageSetup orientation="portrait" horizontalDpi="4294967293" verticalDpi="4294967293"/>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52"/>
  </sheetPr>
  <dimension ref="A1:U92"/>
  <sheetViews>
    <sheetView topLeftCell="A9" zoomScale="113" zoomScaleNormal="113" workbookViewId="0">
      <pane xSplit="1" topLeftCell="H1" activePane="topRight" state="frozen"/>
      <selection pane="topRight" activeCell="O18" sqref="O18"/>
    </sheetView>
  </sheetViews>
  <sheetFormatPr baseColWidth="10" defaultColWidth="8.83203125" defaultRowHeight="13"/>
  <cols>
    <col min="1" max="1" width="33.6640625" customWidth="1"/>
    <col min="2" max="2" width="8.5" customWidth="1"/>
    <col min="3" max="3" width="17.1640625" customWidth="1"/>
    <col min="4" max="4" width="11.1640625" customWidth="1"/>
    <col min="5" max="5" width="11.6640625" customWidth="1"/>
    <col min="6" max="6" width="17" customWidth="1"/>
    <col min="7" max="7" width="11.5" customWidth="1"/>
    <col min="8" max="8" width="10.5" customWidth="1"/>
    <col min="9" max="9" width="9.6640625" customWidth="1"/>
    <col min="10" max="10" width="9" customWidth="1"/>
    <col min="11" max="11" width="9.1640625" bestFit="1" customWidth="1"/>
    <col min="12" max="12" width="9.1640625" customWidth="1"/>
    <col min="13" max="13" width="9.1640625" bestFit="1" customWidth="1"/>
    <col min="15" max="15" width="21" customWidth="1"/>
    <col min="18" max="18" width="20.33203125" customWidth="1"/>
    <col min="21" max="21" width="21.5" customWidth="1"/>
  </cols>
  <sheetData>
    <row r="1" spans="1:21" ht="27.75" customHeight="1">
      <c r="A1" s="846" t="s">
        <v>538</v>
      </c>
      <c r="B1" s="846"/>
      <c r="C1" s="846"/>
      <c r="D1" s="846"/>
      <c r="E1" s="846"/>
      <c r="F1" s="846"/>
      <c r="G1" s="846"/>
      <c r="H1" s="482"/>
      <c r="I1" s="482"/>
      <c r="J1" s="482"/>
    </row>
    <row r="2" spans="1:21" ht="12.75" customHeight="1">
      <c r="A2" s="847" t="s">
        <v>630</v>
      </c>
      <c r="B2" s="847"/>
      <c r="C2" s="847"/>
      <c r="D2" s="847"/>
      <c r="E2" s="847"/>
      <c r="F2" s="847"/>
      <c r="G2" s="847"/>
    </row>
    <row r="3" spans="1:21">
      <c r="A3" s="847"/>
      <c r="B3" s="847"/>
      <c r="C3" s="847"/>
      <c r="D3" s="847"/>
      <c r="E3" s="847"/>
      <c r="F3" s="847"/>
      <c r="G3" s="847"/>
    </row>
    <row r="4" spans="1:21">
      <c r="A4" s="847"/>
      <c r="B4" s="847"/>
      <c r="C4" s="847"/>
      <c r="D4" s="847"/>
      <c r="E4" s="847"/>
      <c r="F4" s="847"/>
      <c r="G4" s="847"/>
      <c r="Q4" s="24"/>
    </row>
    <row r="5" spans="1:21">
      <c r="A5" s="227"/>
      <c r="B5" s="227"/>
      <c r="C5" s="227"/>
      <c r="D5" s="227"/>
      <c r="E5" s="227"/>
      <c r="F5" s="227"/>
      <c r="G5" s="227"/>
      <c r="Q5" s="24"/>
      <c r="U5" s="10"/>
    </row>
    <row r="6" spans="1:21" ht="16">
      <c r="A6" s="228" t="s">
        <v>882</v>
      </c>
      <c r="B6" s="227"/>
      <c r="C6" s="227"/>
      <c r="D6" s="227"/>
      <c r="E6" s="227"/>
      <c r="F6" s="227"/>
      <c r="G6" s="227"/>
      <c r="Q6" s="24"/>
    </row>
    <row r="7" spans="1:21">
      <c r="A7" s="227"/>
      <c r="B7" s="229" t="s">
        <v>490</v>
      </c>
      <c r="C7" s="227"/>
      <c r="D7" s="227"/>
      <c r="E7" s="227"/>
      <c r="F7" s="227"/>
      <c r="G7" s="227"/>
      <c r="Q7" s="24"/>
    </row>
    <row r="8" spans="1:21">
      <c r="A8" s="229" t="s">
        <v>411</v>
      </c>
      <c r="B8" s="230" t="s">
        <v>310</v>
      </c>
      <c r="C8" s="22" t="s">
        <v>339</v>
      </c>
      <c r="D8" s="230" t="s">
        <v>731</v>
      </c>
      <c r="E8" s="10" t="s">
        <v>24</v>
      </c>
      <c r="F8" s="10" t="s">
        <v>175</v>
      </c>
      <c r="G8" s="10" t="s">
        <v>970</v>
      </c>
      <c r="H8" s="10" t="s">
        <v>955</v>
      </c>
      <c r="I8" s="10" t="s">
        <v>1123</v>
      </c>
      <c r="J8" s="10" t="s">
        <v>1154</v>
      </c>
      <c r="K8" s="10" t="s">
        <v>1197</v>
      </c>
      <c r="L8" s="10" t="s">
        <v>1251</v>
      </c>
      <c r="M8" s="10" t="s">
        <v>1261</v>
      </c>
      <c r="N8" s="10" t="s">
        <v>1277</v>
      </c>
    </row>
    <row r="9" spans="1:21">
      <c r="A9" s="227" t="s">
        <v>565</v>
      </c>
      <c r="B9" s="232">
        <f t="shared" ref="B9:G9" si="0">B28</f>
        <v>242.9</v>
      </c>
      <c r="C9" s="232">
        <f t="shared" si="0"/>
        <v>253.7</v>
      </c>
      <c r="D9" s="232">
        <f t="shared" si="0"/>
        <v>241.9</v>
      </c>
      <c r="E9" s="232">
        <f t="shared" si="0"/>
        <v>202.2</v>
      </c>
      <c r="F9" s="232">
        <f t="shared" si="0"/>
        <v>229.6</v>
      </c>
      <c r="G9" s="232">
        <f t="shared" si="0"/>
        <v>215.8</v>
      </c>
      <c r="H9" s="232">
        <f t="shared" ref="H9:M9" si="1">H28</f>
        <v>240.2</v>
      </c>
      <c r="I9" s="232">
        <f t="shared" si="1"/>
        <v>266.8</v>
      </c>
      <c r="J9" s="232">
        <f t="shared" si="1"/>
        <v>263.7</v>
      </c>
      <c r="K9" s="232">
        <f t="shared" si="1"/>
        <v>245</v>
      </c>
      <c r="L9" s="232">
        <f t="shared" si="1"/>
        <v>237.9</v>
      </c>
      <c r="M9" s="232">
        <f t="shared" si="1"/>
        <v>228.4</v>
      </c>
      <c r="N9" s="232">
        <f>N28</f>
        <v>205</v>
      </c>
    </row>
    <row r="10" spans="1:21">
      <c r="A10" s="227" t="s">
        <v>564</v>
      </c>
      <c r="B10" s="232">
        <f t="shared" ref="B10:G10" si="2">B45</f>
        <v>123.2</v>
      </c>
      <c r="C10" s="232">
        <f t="shared" si="2"/>
        <v>138.80000000000001</v>
      </c>
      <c r="D10" s="232">
        <f t="shared" si="2"/>
        <v>184.7</v>
      </c>
      <c r="E10" s="232">
        <f t="shared" si="2"/>
        <v>136.19999999999999</v>
      </c>
      <c r="F10" s="232">
        <f t="shared" si="2"/>
        <v>181.1</v>
      </c>
      <c r="G10" s="232">
        <f t="shared" si="2"/>
        <v>141.30000000000001</v>
      </c>
      <c r="H10" s="232">
        <f t="shared" ref="H10:M10" si="3">H45</f>
        <v>129.9</v>
      </c>
      <c r="I10" s="232">
        <f t="shared" si="3"/>
        <v>131.4</v>
      </c>
      <c r="J10" s="232">
        <f t="shared" si="3"/>
        <v>136.1</v>
      </c>
      <c r="K10" s="232">
        <f t="shared" si="3"/>
        <v>96.9</v>
      </c>
      <c r="L10" s="232">
        <f t="shared" si="3"/>
        <v>106.5</v>
      </c>
      <c r="M10" s="232">
        <f t="shared" si="3"/>
        <v>108.1</v>
      </c>
      <c r="N10" s="232">
        <f>N45</f>
        <v>104.4</v>
      </c>
    </row>
    <row r="11" spans="1:21">
      <c r="A11" s="478" t="s">
        <v>724</v>
      </c>
      <c r="B11" s="479">
        <f t="shared" ref="B11:G11" si="4">SUM(B9:B10)</f>
        <v>366.1</v>
      </c>
      <c r="C11" s="479">
        <f t="shared" si="4"/>
        <v>392.5</v>
      </c>
      <c r="D11" s="479">
        <f t="shared" si="4"/>
        <v>426.6</v>
      </c>
      <c r="E11" s="479">
        <f t="shared" si="4"/>
        <v>338.4</v>
      </c>
      <c r="F11" s="479">
        <f t="shared" si="4"/>
        <v>410.7</v>
      </c>
      <c r="G11" s="479">
        <f t="shared" si="4"/>
        <v>357.1</v>
      </c>
      <c r="H11" s="479">
        <f t="shared" ref="H11:M11" si="5">SUM(H9:H10)</f>
        <v>370.1</v>
      </c>
      <c r="I11" s="479">
        <f t="shared" si="5"/>
        <v>398.20000000000005</v>
      </c>
      <c r="J11" s="479">
        <f t="shared" si="5"/>
        <v>399.79999999999995</v>
      </c>
      <c r="K11" s="479">
        <f t="shared" si="5"/>
        <v>341.9</v>
      </c>
      <c r="L11" s="479">
        <f t="shared" si="5"/>
        <v>344.4</v>
      </c>
      <c r="M11" s="479">
        <f t="shared" si="5"/>
        <v>336.5</v>
      </c>
      <c r="N11" s="479">
        <f>SUM(N9:N10)</f>
        <v>309.39999999999998</v>
      </c>
    </row>
    <row r="12" spans="1:21">
      <c r="A12" s="227"/>
      <c r="B12" s="227"/>
      <c r="C12" s="227"/>
      <c r="D12" s="227"/>
      <c r="E12" s="227"/>
      <c r="F12" s="227"/>
      <c r="G12" s="227"/>
    </row>
    <row r="13" spans="1:21" ht="16">
      <c r="A13" s="228" t="s">
        <v>542</v>
      </c>
      <c r="B13" s="233"/>
      <c r="C13" s="233"/>
      <c r="D13" s="233"/>
      <c r="E13" s="233"/>
      <c r="F13" s="233"/>
      <c r="G13" s="227"/>
      <c r="H13" s="29"/>
      <c r="I13" s="29"/>
      <c r="J13" s="29"/>
    </row>
    <row r="14" spans="1:21">
      <c r="A14" s="229" t="s">
        <v>27</v>
      </c>
      <c r="B14" s="227"/>
      <c r="C14" s="227"/>
      <c r="D14" s="227"/>
      <c r="E14" s="227"/>
      <c r="F14" s="227"/>
      <c r="G14" s="227"/>
      <c r="H14" s="29"/>
      <c r="I14" s="29"/>
      <c r="J14" s="29"/>
    </row>
    <row r="15" spans="1:21">
      <c r="A15" s="229"/>
      <c r="B15" s="234" t="s">
        <v>629</v>
      </c>
      <c r="C15" s="227"/>
      <c r="D15" s="227"/>
      <c r="E15" s="227"/>
      <c r="F15" s="227"/>
      <c r="G15" s="227" t="s">
        <v>957</v>
      </c>
      <c r="U15" s="10"/>
    </row>
    <row r="16" spans="1:21">
      <c r="A16" s="234" t="s">
        <v>628</v>
      </c>
      <c r="B16" s="760" t="s">
        <v>310</v>
      </c>
      <c r="C16" s="761" t="s">
        <v>339</v>
      </c>
      <c r="D16" s="760" t="s">
        <v>731</v>
      </c>
      <c r="E16" s="614" t="s">
        <v>24</v>
      </c>
      <c r="F16" s="614" t="s">
        <v>1005</v>
      </c>
      <c r="G16" s="614" t="s">
        <v>970</v>
      </c>
      <c r="H16" s="614" t="s">
        <v>955</v>
      </c>
      <c r="I16" s="614" t="s">
        <v>1123</v>
      </c>
      <c r="J16" s="614" t="s">
        <v>1154</v>
      </c>
      <c r="K16" s="614" t="s">
        <v>1197</v>
      </c>
      <c r="L16" s="614" t="s">
        <v>1251</v>
      </c>
      <c r="M16" s="614" t="s">
        <v>1261</v>
      </c>
      <c r="N16" s="614" t="s">
        <v>1277</v>
      </c>
    </row>
    <row r="17" spans="1:14" s="29" customFormat="1" ht="12.75" customHeight="1">
      <c r="A17" s="533" t="s">
        <v>19</v>
      </c>
      <c r="B17" s="91"/>
      <c r="C17" s="91"/>
      <c r="D17" s="91"/>
      <c r="E17" s="91"/>
      <c r="F17" s="91">
        <v>2793.6</v>
      </c>
      <c r="G17" s="91">
        <v>23531.7</v>
      </c>
      <c r="H17" s="91">
        <v>24978.400000000001</v>
      </c>
      <c r="I17" s="791">
        <v>29824.400000000001</v>
      </c>
      <c r="J17" s="791">
        <v>29481</v>
      </c>
      <c r="K17" s="561">
        <v>22244</v>
      </c>
      <c r="L17" s="561">
        <v>21387</v>
      </c>
      <c r="M17" s="561">
        <v>25540</v>
      </c>
      <c r="N17" s="561">
        <v>19128</v>
      </c>
    </row>
    <row r="18" spans="1:14" s="29" customFormat="1" ht="12.75" customHeight="1">
      <c r="A18" s="236" t="s">
        <v>49</v>
      </c>
      <c r="B18" s="239">
        <v>24567.1</v>
      </c>
      <c r="C18" s="379">
        <v>25650.9</v>
      </c>
      <c r="D18" s="27">
        <v>24462.1</v>
      </c>
      <c r="E18" s="454">
        <v>20447</v>
      </c>
      <c r="F18" s="454">
        <v>20585.3</v>
      </c>
      <c r="G18" s="454">
        <v>530.70000000000005</v>
      </c>
      <c r="H18" s="454">
        <v>1679.4</v>
      </c>
      <c r="I18" s="792">
        <v>0</v>
      </c>
      <c r="J18" s="792">
        <v>0</v>
      </c>
      <c r="K18" s="792">
        <v>4631</v>
      </c>
      <c r="L18" s="792">
        <v>4685</v>
      </c>
      <c r="M18" s="792">
        <v>0</v>
      </c>
      <c r="N18" s="792">
        <v>3410</v>
      </c>
    </row>
    <row r="19" spans="1:14" ht="12.75" customHeight="1">
      <c r="A19" s="530" t="s">
        <v>46</v>
      </c>
      <c r="B19" s="552">
        <f t="shared" ref="B19:G19" si="6">(B17*0.9)+B18</f>
        <v>24567.1</v>
      </c>
      <c r="C19" s="552">
        <f t="shared" si="6"/>
        <v>25650.9</v>
      </c>
      <c r="D19" s="552">
        <f t="shared" si="6"/>
        <v>24462.1</v>
      </c>
      <c r="E19" s="552">
        <f t="shared" si="6"/>
        <v>20447</v>
      </c>
      <c r="F19" s="552">
        <f t="shared" si="6"/>
        <v>23099.54</v>
      </c>
      <c r="G19" s="552">
        <f t="shared" si="6"/>
        <v>21709.230000000003</v>
      </c>
      <c r="H19" s="552">
        <f t="shared" ref="H19:M19" si="7">(H17*0.9)+H18</f>
        <v>24159.960000000003</v>
      </c>
      <c r="I19" s="552">
        <f t="shared" si="7"/>
        <v>26841.960000000003</v>
      </c>
      <c r="J19" s="552">
        <f t="shared" si="7"/>
        <v>26532.9</v>
      </c>
      <c r="K19" s="552">
        <f t="shared" si="7"/>
        <v>24650.600000000002</v>
      </c>
      <c r="L19" s="552">
        <f t="shared" si="7"/>
        <v>23933.3</v>
      </c>
      <c r="M19" s="552">
        <f t="shared" si="7"/>
        <v>22986</v>
      </c>
      <c r="N19" s="552">
        <f>(N17*0.9)+N18</f>
        <v>20625.2</v>
      </c>
    </row>
    <row r="20" spans="1:14">
      <c r="A20" s="242" t="s">
        <v>405</v>
      </c>
      <c r="B20" s="243">
        <f t="shared" ref="B20:G20" si="8">ROUND(B19*$B59,1)</f>
        <v>3052.2</v>
      </c>
      <c r="C20" s="243">
        <f t="shared" si="8"/>
        <v>3186.8</v>
      </c>
      <c r="D20" s="243">
        <f t="shared" si="8"/>
        <v>3039.1</v>
      </c>
      <c r="E20" s="243">
        <f t="shared" si="8"/>
        <v>2540.3000000000002</v>
      </c>
      <c r="F20" s="243">
        <f t="shared" si="8"/>
        <v>2869.8</v>
      </c>
      <c r="G20" s="243">
        <f t="shared" si="8"/>
        <v>2697.1</v>
      </c>
      <c r="H20" s="243">
        <f t="shared" ref="H20:M20" si="9">ROUND(H19*$B59,1)</f>
        <v>3001.6</v>
      </c>
      <c r="I20" s="243">
        <f t="shared" si="9"/>
        <v>3334.8</v>
      </c>
      <c r="J20" s="243">
        <f t="shared" si="9"/>
        <v>3296.4</v>
      </c>
      <c r="K20" s="243">
        <f t="shared" si="9"/>
        <v>3062.5</v>
      </c>
      <c r="L20" s="243">
        <f t="shared" si="9"/>
        <v>2973.4</v>
      </c>
      <c r="M20" s="243">
        <f t="shared" si="9"/>
        <v>2855.7</v>
      </c>
      <c r="N20" s="243">
        <f>ROUND(N19*$B59,1)</f>
        <v>2562.4</v>
      </c>
    </row>
    <row r="21" spans="1:14" ht="15">
      <c r="A21" s="244" t="s">
        <v>173</v>
      </c>
      <c r="B21" s="245">
        <f t="shared" ref="B21:G21" si="10">ROUND(B19*$B60,1)</f>
        <v>214</v>
      </c>
      <c r="C21" s="245">
        <f t="shared" si="10"/>
        <v>223.5</v>
      </c>
      <c r="D21" s="245">
        <f t="shared" si="10"/>
        <v>213.1</v>
      </c>
      <c r="E21" s="245">
        <f t="shared" si="10"/>
        <v>178.1</v>
      </c>
      <c r="F21" s="245">
        <f t="shared" si="10"/>
        <v>201.2</v>
      </c>
      <c r="G21" s="245">
        <f t="shared" si="10"/>
        <v>189.1</v>
      </c>
      <c r="H21" s="245">
        <f t="shared" ref="H21:M21" si="11">ROUND(H19*$B60,1)</f>
        <v>210.5</v>
      </c>
      <c r="I21" s="245">
        <f t="shared" si="11"/>
        <v>233.8</v>
      </c>
      <c r="J21" s="245">
        <f t="shared" si="11"/>
        <v>231.1</v>
      </c>
      <c r="K21" s="245">
        <f t="shared" si="11"/>
        <v>214.7</v>
      </c>
      <c r="L21" s="245">
        <f t="shared" si="11"/>
        <v>208.5</v>
      </c>
      <c r="M21" s="245">
        <f t="shared" si="11"/>
        <v>200.2</v>
      </c>
      <c r="N21" s="245">
        <f>ROUND(N19*$B60,1)</f>
        <v>179.7</v>
      </c>
    </row>
    <row r="22" spans="1:14" s="29" customFormat="1">
      <c r="A22" s="246" t="s">
        <v>714</v>
      </c>
      <c r="B22" s="235">
        <v>23</v>
      </c>
      <c r="C22" s="235">
        <v>23</v>
      </c>
      <c r="D22" s="235">
        <v>23</v>
      </c>
      <c r="E22" s="449">
        <v>23</v>
      </c>
      <c r="F22" s="449">
        <v>24</v>
      </c>
      <c r="G22" s="449">
        <v>24</v>
      </c>
      <c r="H22" s="449">
        <v>24</v>
      </c>
      <c r="I22" s="673">
        <v>24</v>
      </c>
      <c r="J22" s="673">
        <v>24</v>
      </c>
      <c r="K22" s="673">
        <v>24</v>
      </c>
      <c r="L22" s="673">
        <v>24</v>
      </c>
      <c r="M22" s="673">
        <v>24</v>
      </c>
      <c r="N22" s="673">
        <v>24</v>
      </c>
    </row>
    <row r="23" spans="1:14">
      <c r="A23" s="247" t="s">
        <v>582</v>
      </c>
      <c r="B23" s="241">
        <f t="shared" ref="B23:G23" si="12">B19*B22</f>
        <v>565043.29999999993</v>
      </c>
      <c r="C23" s="241">
        <f t="shared" si="12"/>
        <v>589970.70000000007</v>
      </c>
      <c r="D23" s="241">
        <f t="shared" si="12"/>
        <v>562628.29999999993</v>
      </c>
      <c r="E23" s="241">
        <f t="shared" si="12"/>
        <v>470281</v>
      </c>
      <c r="F23" s="241">
        <f t="shared" si="12"/>
        <v>554388.96</v>
      </c>
      <c r="G23" s="241">
        <f t="shared" si="12"/>
        <v>521021.52000000008</v>
      </c>
      <c r="H23" s="241">
        <f t="shared" ref="H23:M23" si="13">H19*H22</f>
        <v>579839.04</v>
      </c>
      <c r="I23" s="243">
        <f t="shared" si="13"/>
        <v>644207.04</v>
      </c>
      <c r="J23" s="243">
        <f t="shared" si="13"/>
        <v>636789.60000000009</v>
      </c>
      <c r="K23" s="243">
        <f t="shared" si="13"/>
        <v>591614.4</v>
      </c>
      <c r="L23" s="243">
        <f t="shared" si="13"/>
        <v>574399.19999999995</v>
      </c>
      <c r="M23" s="243">
        <f t="shared" si="13"/>
        <v>551664</v>
      </c>
      <c r="N23" s="243">
        <f>N19*N22</f>
        <v>495004.80000000005</v>
      </c>
    </row>
    <row r="24" spans="1:14" ht="15">
      <c r="A24" s="240" t="s">
        <v>866</v>
      </c>
      <c r="B24" s="248">
        <f t="shared" ref="B24:G24" si="14">($B61*B23*$B54)</f>
        <v>0.11210459071999997</v>
      </c>
      <c r="C24" s="248">
        <f t="shared" si="14"/>
        <v>0.11705018688</v>
      </c>
      <c r="D24" s="248">
        <f t="shared" si="14"/>
        <v>0.11162545471999998</v>
      </c>
      <c r="E24" s="248">
        <f t="shared" si="14"/>
        <v>9.3303750399999982E-2</v>
      </c>
      <c r="F24" s="248">
        <f t="shared" si="14"/>
        <v>0.10999076966399998</v>
      </c>
      <c r="G24" s="248">
        <f t="shared" si="14"/>
        <v>0.10337066956800001</v>
      </c>
      <c r="H24" s="248">
        <f t="shared" ref="H24:M24" si="15">($B61*H23*$B54)</f>
        <v>0.11504006553600001</v>
      </c>
      <c r="I24" s="243">
        <f t="shared" si="15"/>
        <v>0.127810676736</v>
      </c>
      <c r="J24" s="243">
        <f t="shared" si="15"/>
        <v>0.12633905664</v>
      </c>
      <c r="K24" s="243">
        <f t="shared" si="15"/>
        <v>0.11737629696</v>
      </c>
      <c r="L24" s="243">
        <f t="shared" si="15"/>
        <v>0.11396080127999998</v>
      </c>
      <c r="M24" s="243">
        <f t="shared" si="15"/>
        <v>0.1094501376</v>
      </c>
      <c r="N24" s="243">
        <f>($B61*N23*$B54)</f>
        <v>9.8208952320000001E-2</v>
      </c>
    </row>
    <row r="25" spans="1:14" ht="15">
      <c r="A25" s="244" t="s">
        <v>188</v>
      </c>
      <c r="B25" s="249">
        <f t="shared" ref="B25:G25" si="16">B23*$B61*$B54*$B55</f>
        <v>2.3541964051199993</v>
      </c>
      <c r="C25" s="249">
        <f t="shared" si="16"/>
        <v>2.4580539244800002</v>
      </c>
      <c r="D25" s="249">
        <f t="shared" si="16"/>
        <v>2.3441345491199996</v>
      </c>
      <c r="E25" s="249">
        <f t="shared" si="16"/>
        <v>1.9593787583999995</v>
      </c>
      <c r="F25" s="249">
        <f t="shared" si="16"/>
        <v>2.3098061629439997</v>
      </c>
      <c r="G25" s="249">
        <f t="shared" si="16"/>
        <v>2.1707840609280002</v>
      </c>
      <c r="H25" s="249">
        <f t="shared" ref="H25:M25" si="17">H23*$B61*$B54*$B55</f>
        <v>2.415841376256</v>
      </c>
      <c r="I25" s="245">
        <f t="shared" si="17"/>
        <v>2.6840242114559998</v>
      </c>
      <c r="J25" s="245">
        <f t="shared" si="17"/>
        <v>2.6531201894400001</v>
      </c>
      <c r="K25" s="245">
        <f t="shared" si="17"/>
        <v>2.4649022361599999</v>
      </c>
      <c r="L25" s="245">
        <f t="shared" si="17"/>
        <v>2.3931768268799996</v>
      </c>
      <c r="M25" s="245">
        <f t="shared" si="17"/>
        <v>2.2984528896</v>
      </c>
      <c r="N25" s="245">
        <f>N23*$B61*$B54*$B55</f>
        <v>2.0623879987200002</v>
      </c>
    </row>
    <row r="26" spans="1:14" ht="15">
      <c r="A26" s="240" t="s">
        <v>859</v>
      </c>
      <c r="B26" s="248">
        <f t="shared" ref="B26:G26" si="18">($B62*B23*$B54)</f>
        <v>8.5717068609999988E-2</v>
      </c>
      <c r="C26" s="248">
        <f t="shared" si="18"/>
        <v>8.9498555190000009E-2</v>
      </c>
      <c r="D26" s="248">
        <f t="shared" si="18"/>
        <v>8.535071310999999E-2</v>
      </c>
      <c r="E26" s="248">
        <f t="shared" si="18"/>
        <v>7.1341627699999993E-2</v>
      </c>
      <c r="F26" s="248">
        <f t="shared" si="18"/>
        <v>8.4100805231999989E-2</v>
      </c>
      <c r="G26" s="248">
        <f t="shared" si="18"/>
        <v>7.9038964584000018E-2</v>
      </c>
      <c r="H26" s="248">
        <f t="shared" ref="H26:M26" si="19">($B62*H23*$B54)</f>
        <v>8.7961582368000002E-2</v>
      </c>
      <c r="I26" s="243">
        <f t="shared" si="19"/>
        <v>9.7726207967999995E-2</v>
      </c>
      <c r="J26" s="243">
        <f t="shared" si="19"/>
        <v>9.6600982320000001E-2</v>
      </c>
      <c r="K26" s="243">
        <f t="shared" si="19"/>
        <v>8.9747904479999988E-2</v>
      </c>
      <c r="L26" s="243">
        <f t="shared" si="19"/>
        <v>8.7136358639999981E-2</v>
      </c>
      <c r="M26" s="243">
        <f t="shared" si="19"/>
        <v>8.3687428799999991E-2</v>
      </c>
      <c r="N26" s="243">
        <f>($B62*N23*$B54)</f>
        <v>7.509222816000001E-2</v>
      </c>
    </row>
    <row r="27" spans="1:14" ht="15">
      <c r="A27" s="229" t="s">
        <v>190</v>
      </c>
      <c r="B27" s="250">
        <f t="shared" ref="B27:G27" si="20">B23*$B62*$B54*$B56</f>
        <v>26.572291269099996</v>
      </c>
      <c r="C27" s="250">
        <f t="shared" si="20"/>
        <v>27.744552108900002</v>
      </c>
      <c r="D27" s="250">
        <f t="shared" si="20"/>
        <v>26.458721064099997</v>
      </c>
      <c r="E27" s="250">
        <f t="shared" si="20"/>
        <v>22.115904586999999</v>
      </c>
      <c r="F27" s="250">
        <f t="shared" si="20"/>
        <v>26.071249621919996</v>
      </c>
      <c r="G27" s="250">
        <f t="shared" si="20"/>
        <v>24.502079021040007</v>
      </c>
      <c r="H27" s="250">
        <f t="shared" ref="H27:M27" si="21">H23*$B62*$B54*$B56</f>
        <v>27.268090534080002</v>
      </c>
      <c r="I27" s="252">
        <f t="shared" si="21"/>
        <v>30.295124470079998</v>
      </c>
      <c r="J27" s="252">
        <f t="shared" si="21"/>
        <v>29.946304519200002</v>
      </c>
      <c r="K27" s="252">
        <f t="shared" si="21"/>
        <v>27.821850388799994</v>
      </c>
      <c r="L27" s="252">
        <f t="shared" si="21"/>
        <v>27.012271178399995</v>
      </c>
      <c r="M27" s="252">
        <f t="shared" si="21"/>
        <v>25.943102927999998</v>
      </c>
      <c r="N27" s="252">
        <f>N23*$B62*$B54*$B56</f>
        <v>23.278590729600005</v>
      </c>
    </row>
    <row r="28" spans="1:14">
      <c r="A28" s="480" t="s">
        <v>551</v>
      </c>
      <c r="B28" s="481">
        <f t="shared" ref="B28:G28" si="22">ROUND(B21+B25+B27,1)</f>
        <v>242.9</v>
      </c>
      <c r="C28" s="481">
        <f t="shared" si="22"/>
        <v>253.7</v>
      </c>
      <c r="D28" s="481">
        <f t="shared" si="22"/>
        <v>241.9</v>
      </c>
      <c r="E28" s="481">
        <f t="shared" si="22"/>
        <v>202.2</v>
      </c>
      <c r="F28" s="481">
        <f t="shared" si="22"/>
        <v>229.6</v>
      </c>
      <c r="G28" s="481">
        <f t="shared" si="22"/>
        <v>215.8</v>
      </c>
      <c r="H28" s="481">
        <f t="shared" ref="H28:M28" si="23">ROUND(H21+H25+H27,1)</f>
        <v>240.2</v>
      </c>
      <c r="I28" s="481">
        <f t="shared" si="23"/>
        <v>266.8</v>
      </c>
      <c r="J28" s="481">
        <f t="shared" si="23"/>
        <v>263.7</v>
      </c>
      <c r="K28" s="481">
        <f t="shared" si="23"/>
        <v>245</v>
      </c>
      <c r="L28" s="481">
        <f t="shared" si="23"/>
        <v>237.9</v>
      </c>
      <c r="M28" s="481">
        <f t="shared" si="23"/>
        <v>228.4</v>
      </c>
      <c r="N28" s="481">
        <f>ROUND(N21+N25+N27,1)</f>
        <v>205</v>
      </c>
    </row>
    <row r="29" spans="1:14">
      <c r="A29" s="227"/>
      <c r="B29" s="227"/>
      <c r="I29" s="17"/>
      <c r="J29" s="17"/>
    </row>
    <row r="30" spans="1:14" ht="16">
      <c r="A30" s="228" t="s">
        <v>737</v>
      </c>
      <c r="B30" s="227"/>
      <c r="I30" s="17"/>
      <c r="J30" s="17"/>
    </row>
    <row r="31" spans="1:14">
      <c r="A31" s="229"/>
      <c r="B31" s="227"/>
      <c r="I31" s="17"/>
      <c r="J31" s="17"/>
    </row>
    <row r="32" spans="1:14" s="29" customFormat="1">
      <c r="A32" s="251" t="s">
        <v>70</v>
      </c>
      <c r="B32" s="762" t="s">
        <v>310</v>
      </c>
      <c r="C32" s="763" t="s">
        <v>339</v>
      </c>
      <c r="D32" s="762" t="s">
        <v>731</v>
      </c>
      <c r="E32" s="764" t="s">
        <v>24</v>
      </c>
      <c r="F32" s="764" t="s">
        <v>175</v>
      </c>
      <c r="G32" s="764" t="s">
        <v>970</v>
      </c>
      <c r="H32" s="764" t="s">
        <v>955</v>
      </c>
      <c r="I32" s="765" t="s">
        <v>1123</v>
      </c>
      <c r="J32" s="765" t="s">
        <v>1154</v>
      </c>
      <c r="K32" s="614" t="s">
        <v>1197</v>
      </c>
      <c r="L32" s="614" t="s">
        <v>1251</v>
      </c>
      <c r="M32" s="614" t="s">
        <v>1261</v>
      </c>
      <c r="N32" s="614" t="s">
        <v>1277</v>
      </c>
    </row>
    <row r="33" spans="1:15" s="29" customFormat="1" ht="15">
      <c r="A33" s="236" t="s">
        <v>520</v>
      </c>
      <c r="B33" s="237">
        <v>11243.7</v>
      </c>
      <c r="C33" s="379">
        <v>13054</v>
      </c>
      <c r="D33" s="409">
        <v>16881.2</v>
      </c>
      <c r="E33" s="454">
        <v>12266.4</v>
      </c>
      <c r="F33" s="454">
        <v>17066</v>
      </c>
      <c r="G33" s="454">
        <v>12950.2</v>
      </c>
      <c r="H33" s="454">
        <v>12434.5</v>
      </c>
      <c r="I33" s="791">
        <v>12586</v>
      </c>
      <c r="J33" s="791">
        <v>13029</v>
      </c>
      <c r="K33" s="790">
        <v>9266</v>
      </c>
      <c r="L33" s="790">
        <v>10164.200000000001</v>
      </c>
      <c r="M33" s="790">
        <v>10312</v>
      </c>
      <c r="N33" s="790">
        <v>9968</v>
      </c>
    </row>
    <row r="34" spans="1:15" s="29" customFormat="1">
      <c r="A34" s="236" t="s">
        <v>624</v>
      </c>
      <c r="B34" s="237">
        <v>714.2</v>
      </c>
      <c r="C34" s="381">
        <v>325.89999999999998</v>
      </c>
      <c r="D34" s="409">
        <v>1047.5999999999999</v>
      </c>
      <c r="E34" s="26">
        <v>994.9</v>
      </c>
      <c r="F34" s="26">
        <v>340.1</v>
      </c>
      <c r="G34" s="26">
        <v>718.6</v>
      </c>
      <c r="H34" s="26">
        <v>0</v>
      </c>
      <c r="I34" s="28">
        <v>0</v>
      </c>
      <c r="J34" s="28">
        <v>0</v>
      </c>
      <c r="K34" s="26">
        <v>0</v>
      </c>
      <c r="L34" s="26">
        <v>0</v>
      </c>
      <c r="M34" s="26">
        <v>0</v>
      </c>
      <c r="N34" s="26">
        <v>0</v>
      </c>
      <c r="O34" s="29" t="s">
        <v>71</v>
      </c>
    </row>
    <row r="35" spans="1:15" ht="13.5" customHeight="1">
      <c r="A35" s="227" t="s">
        <v>552</v>
      </c>
      <c r="B35" s="232">
        <f>('FY 02-06 reference'!B37*0.05)+(B34*0.2)</f>
        <v>142.84</v>
      </c>
      <c r="C35" s="232">
        <f>('FY 02-06 reference'!C37*0.05)+(C34*0.2)</f>
        <v>65.179999999999993</v>
      </c>
      <c r="D35" s="232">
        <f>('FY 02-06 reference'!D37*0.05)+(D34*0.2)</f>
        <v>209.51999999999998</v>
      </c>
      <c r="E35" s="232">
        <f>('FY 02-06 reference'!E37*0.05)+(E34*0.2)</f>
        <v>198.98000000000002</v>
      </c>
      <c r="F35" s="232">
        <f>('FY 02-06 reference'!F37*0.05)+(F34*0.2)</f>
        <v>68.02000000000001</v>
      </c>
      <c r="G35" s="232">
        <f>('FY 02-06 reference'!G37*0.05)+(G34*0.2)</f>
        <v>143.72</v>
      </c>
      <c r="H35" s="232">
        <f>('FY 02-06 reference'!H37*0.05)+(H34*0.2)</f>
        <v>0</v>
      </c>
      <c r="I35" s="232">
        <f>('FY 02-06 reference'!I37*0.05)+(I34*0.2)</f>
        <v>0</v>
      </c>
      <c r="J35" s="232">
        <f>('FY 02-06 reference'!J37*0.05)+(J34*0.2)</f>
        <v>0</v>
      </c>
      <c r="K35" s="232">
        <f>('FY 02-06 reference'!K37*0.05)+(K34*0.2)</f>
        <v>0</v>
      </c>
      <c r="L35" s="232">
        <f>('FY 02-06 reference'!L37*0.05)+(L34*0.2)</f>
        <v>0</v>
      </c>
      <c r="M35" s="232">
        <f>('FY 02-06 reference'!M37*0.05)+(M34*0.2)</f>
        <v>0</v>
      </c>
      <c r="N35" s="232">
        <f>('FY 02-06 reference'!N37*0.05)+(N34*0.2)</f>
        <v>0</v>
      </c>
    </row>
    <row r="36" spans="1:15">
      <c r="A36" s="247" t="s">
        <v>581</v>
      </c>
      <c r="B36" s="231">
        <f t="shared" ref="B36:G36" si="24">(B33+(B34*0.8))</f>
        <v>11815.060000000001</v>
      </c>
      <c r="C36" s="231">
        <f t="shared" si="24"/>
        <v>13314.72</v>
      </c>
      <c r="D36" s="231">
        <f t="shared" si="24"/>
        <v>17719.28</v>
      </c>
      <c r="E36" s="231">
        <f t="shared" si="24"/>
        <v>13062.32</v>
      </c>
      <c r="F36" s="231">
        <f t="shared" si="24"/>
        <v>17338.080000000002</v>
      </c>
      <c r="G36" s="231">
        <f t="shared" si="24"/>
        <v>13525.08</v>
      </c>
      <c r="H36" s="231">
        <f t="shared" ref="H36:M36" si="25">(H33+(H34*0.8))</f>
        <v>12434.5</v>
      </c>
      <c r="I36" s="232">
        <f t="shared" si="25"/>
        <v>12586</v>
      </c>
      <c r="J36" s="232">
        <f t="shared" si="25"/>
        <v>13029</v>
      </c>
      <c r="K36" s="232">
        <f t="shared" si="25"/>
        <v>9266</v>
      </c>
      <c r="L36" s="232">
        <f t="shared" si="25"/>
        <v>10164.200000000001</v>
      </c>
      <c r="M36" s="232">
        <f t="shared" si="25"/>
        <v>10312</v>
      </c>
      <c r="N36" s="232">
        <f>(N33+(N34*0.8))</f>
        <v>9968</v>
      </c>
    </row>
    <row r="37" spans="1:15">
      <c r="A37" s="242" t="s">
        <v>405</v>
      </c>
      <c r="B37" s="243">
        <f t="shared" ref="B37:G37" si="26">ROUND(B36*$B69,1)</f>
        <v>1638.6</v>
      </c>
      <c r="C37" s="243">
        <f t="shared" si="26"/>
        <v>1846.6</v>
      </c>
      <c r="D37" s="243">
        <f t="shared" si="26"/>
        <v>2457.5</v>
      </c>
      <c r="E37" s="243">
        <f t="shared" si="26"/>
        <v>1811.6</v>
      </c>
      <c r="F37" s="243">
        <f t="shared" si="26"/>
        <v>2404.6</v>
      </c>
      <c r="G37" s="243">
        <f t="shared" si="26"/>
        <v>1875.8</v>
      </c>
      <c r="H37" s="243">
        <f t="shared" ref="H37:M37" si="27">ROUND(H36*$B69,1)</f>
        <v>1724.5</v>
      </c>
      <c r="I37" s="243">
        <f t="shared" si="27"/>
        <v>1745.6</v>
      </c>
      <c r="J37" s="243">
        <f t="shared" si="27"/>
        <v>1807</v>
      </c>
      <c r="K37" s="243">
        <f t="shared" si="27"/>
        <v>1285.0999999999999</v>
      </c>
      <c r="L37" s="243">
        <f t="shared" si="27"/>
        <v>1409.7</v>
      </c>
      <c r="M37" s="243">
        <f t="shared" si="27"/>
        <v>1430.2</v>
      </c>
      <c r="N37" s="243">
        <f>ROUND(N36*$B69,1)</f>
        <v>1382.5</v>
      </c>
    </row>
    <row r="38" spans="1:15" ht="16" thickBot="1">
      <c r="A38" s="229" t="s">
        <v>173</v>
      </c>
      <c r="B38" s="252">
        <f t="shared" ref="B38:G38" si="28">ROUND(B36*$B70,1)</f>
        <v>118.6</v>
      </c>
      <c r="C38" s="252">
        <f t="shared" si="28"/>
        <v>133.6</v>
      </c>
      <c r="D38" s="252">
        <f t="shared" si="28"/>
        <v>177.8</v>
      </c>
      <c r="E38" s="252">
        <f t="shared" si="28"/>
        <v>131.1</v>
      </c>
      <c r="F38" s="252">
        <f t="shared" si="28"/>
        <v>174</v>
      </c>
      <c r="G38" s="252">
        <f t="shared" si="28"/>
        <v>135.80000000000001</v>
      </c>
      <c r="H38" s="252">
        <f t="shared" ref="H38:M38" si="29">ROUND(H36*$B70,1)</f>
        <v>124.8</v>
      </c>
      <c r="I38" s="252">
        <f t="shared" si="29"/>
        <v>126.3</v>
      </c>
      <c r="J38" s="252">
        <f t="shared" si="29"/>
        <v>130.80000000000001</v>
      </c>
      <c r="K38" s="252">
        <f t="shared" si="29"/>
        <v>93</v>
      </c>
      <c r="L38" s="252">
        <f t="shared" si="29"/>
        <v>102</v>
      </c>
      <c r="M38" s="252">
        <f t="shared" si="29"/>
        <v>103.5</v>
      </c>
      <c r="N38" s="252">
        <f>ROUND(N36*$B70,1)</f>
        <v>100</v>
      </c>
    </row>
    <row r="39" spans="1:15" s="47" customFormat="1" ht="14" thickBot="1">
      <c r="A39" s="253" t="s">
        <v>714</v>
      </c>
      <c r="B39" s="254">
        <v>23</v>
      </c>
      <c r="C39" s="114">
        <v>23</v>
      </c>
      <c r="D39" s="114">
        <v>23</v>
      </c>
      <c r="E39" s="450">
        <v>23</v>
      </c>
      <c r="F39" s="450">
        <v>24</v>
      </c>
      <c r="G39" s="450">
        <v>24</v>
      </c>
      <c r="H39" s="450">
        <v>24</v>
      </c>
      <c r="I39" s="674">
        <v>24</v>
      </c>
      <c r="J39" s="674">
        <v>24</v>
      </c>
      <c r="K39" s="674">
        <v>25</v>
      </c>
      <c r="L39" s="674">
        <v>26</v>
      </c>
      <c r="M39" s="674">
        <v>26</v>
      </c>
      <c r="N39" s="674">
        <v>26</v>
      </c>
    </row>
    <row r="40" spans="1:15" s="8" customFormat="1">
      <c r="A40" s="227" t="s">
        <v>582</v>
      </c>
      <c r="B40" s="231">
        <f t="shared" ref="B40:G40" si="30">B36*B39</f>
        <v>271746.38</v>
      </c>
      <c r="C40" s="231">
        <f t="shared" si="30"/>
        <v>306238.56</v>
      </c>
      <c r="D40" s="231">
        <f t="shared" si="30"/>
        <v>407543.43999999994</v>
      </c>
      <c r="E40" s="231">
        <f t="shared" si="30"/>
        <v>300433.36</v>
      </c>
      <c r="F40" s="231">
        <f t="shared" si="30"/>
        <v>416113.92000000004</v>
      </c>
      <c r="G40" s="231">
        <f t="shared" si="30"/>
        <v>324601.92</v>
      </c>
      <c r="H40" s="231">
        <f t="shared" ref="H40:M40" si="31">H36*H39</f>
        <v>298428</v>
      </c>
      <c r="I40" s="232">
        <f t="shared" si="31"/>
        <v>302064</v>
      </c>
      <c r="J40" s="232">
        <f t="shared" si="31"/>
        <v>312696</v>
      </c>
      <c r="K40" s="232">
        <f t="shared" si="31"/>
        <v>231650</v>
      </c>
      <c r="L40" s="232">
        <f t="shared" si="31"/>
        <v>264269.2</v>
      </c>
      <c r="M40" s="232">
        <f t="shared" si="31"/>
        <v>268112</v>
      </c>
      <c r="N40" s="232">
        <f>N36*N39</f>
        <v>259168</v>
      </c>
    </row>
    <row r="41" spans="1:15" ht="15">
      <c r="A41" s="240" t="s">
        <v>866</v>
      </c>
      <c r="B41" s="248">
        <f t="shared" ref="B41:G41" si="32">($B71*B40*$B54)</f>
        <v>2.6250700308000002E-2</v>
      </c>
      <c r="C41" s="248">
        <f t="shared" si="32"/>
        <v>2.9582644896000002E-2</v>
      </c>
      <c r="D41" s="248">
        <f t="shared" si="32"/>
        <v>3.9368696303999993E-2</v>
      </c>
      <c r="E41" s="248">
        <f t="shared" si="32"/>
        <v>2.9021862575999997E-2</v>
      </c>
      <c r="F41" s="248">
        <f t="shared" si="32"/>
        <v>4.0196604672000008E-2</v>
      </c>
      <c r="G41" s="248">
        <f t="shared" si="32"/>
        <v>3.1356545472000001E-2</v>
      </c>
      <c r="H41" s="248">
        <f t="shared" ref="H41:M41" si="33">($B71*H40*$B54)</f>
        <v>2.88281448E-2</v>
      </c>
      <c r="I41" s="243">
        <f t="shared" si="33"/>
        <v>2.9179382400000002E-2</v>
      </c>
      <c r="J41" s="243">
        <f t="shared" si="33"/>
        <v>3.0206433599999999E-2</v>
      </c>
      <c r="K41" s="243">
        <f t="shared" si="33"/>
        <v>2.2377389999999997E-2</v>
      </c>
      <c r="L41" s="243">
        <f t="shared" si="33"/>
        <v>2.5528404720000002E-2</v>
      </c>
      <c r="M41" s="243">
        <f t="shared" si="33"/>
        <v>2.5899619200000001E-2</v>
      </c>
      <c r="N41" s="243">
        <f>($B71*N40*$B54)</f>
        <v>2.5035628800000001E-2</v>
      </c>
    </row>
    <row r="42" spans="1:15" ht="15">
      <c r="A42" s="244" t="s">
        <v>188</v>
      </c>
      <c r="B42" s="249">
        <f t="shared" ref="B42:G42" si="34">B40*$B71*$B54*$B55</f>
        <v>0.55126470646800008</v>
      </c>
      <c r="C42" s="249">
        <f t="shared" si="34"/>
        <v>0.62123554281600002</v>
      </c>
      <c r="D42" s="249">
        <f t="shared" si="34"/>
        <v>0.82674262238399987</v>
      </c>
      <c r="E42" s="249">
        <f t="shared" si="34"/>
        <v>0.60945911409599995</v>
      </c>
      <c r="F42" s="249">
        <f t="shared" si="34"/>
        <v>0.8441286981120002</v>
      </c>
      <c r="G42" s="249">
        <f t="shared" si="34"/>
        <v>0.658487454912</v>
      </c>
      <c r="H42" s="249">
        <f t="shared" ref="H42:M42" si="35">H40*$B71*$B54*$B55</f>
        <v>0.60539104080000006</v>
      </c>
      <c r="I42" s="245">
        <f t="shared" si="35"/>
        <v>0.61276703040000002</v>
      </c>
      <c r="J42" s="245">
        <f t="shared" si="35"/>
        <v>0.63433510559999995</v>
      </c>
      <c r="K42" s="245">
        <f t="shared" si="35"/>
        <v>0.46992518999999994</v>
      </c>
      <c r="L42" s="245">
        <f t="shared" si="35"/>
        <v>0.53609649912000001</v>
      </c>
      <c r="M42" s="245">
        <f t="shared" si="35"/>
        <v>0.54389200320000008</v>
      </c>
      <c r="N42" s="245">
        <f>N40*$B71*$B54*$B55</f>
        <v>0.52574820480000006</v>
      </c>
    </row>
    <row r="43" spans="1:15" ht="15">
      <c r="A43" s="240" t="s">
        <v>859</v>
      </c>
      <c r="B43" s="248">
        <f t="shared" ref="B43:G43" si="36">($B72*B40*$B54)</f>
        <v>1.3125350154000001E-2</v>
      </c>
      <c r="C43" s="248">
        <f t="shared" si="36"/>
        <v>1.4791322448000001E-2</v>
      </c>
      <c r="D43" s="248">
        <f t="shared" si="36"/>
        <v>1.9684348151999997E-2</v>
      </c>
      <c r="E43" s="248">
        <f t="shared" si="36"/>
        <v>1.4510931287999998E-2</v>
      </c>
      <c r="F43" s="248">
        <f t="shared" si="36"/>
        <v>2.0098302336000004E-2</v>
      </c>
      <c r="G43" s="248">
        <f t="shared" si="36"/>
        <v>1.5678272736000001E-2</v>
      </c>
      <c r="H43" s="248">
        <f t="shared" ref="H43:M43" si="37">($B72*H40*$B54)</f>
        <v>1.44140724E-2</v>
      </c>
      <c r="I43" s="243">
        <f t="shared" si="37"/>
        <v>1.4589691200000001E-2</v>
      </c>
      <c r="J43" s="243">
        <f t="shared" si="37"/>
        <v>1.5103216799999999E-2</v>
      </c>
      <c r="K43" s="243">
        <f t="shared" si="37"/>
        <v>1.1188694999999999E-2</v>
      </c>
      <c r="L43" s="243">
        <f t="shared" si="37"/>
        <v>1.2764202360000001E-2</v>
      </c>
      <c r="M43" s="243">
        <f t="shared" si="37"/>
        <v>1.2949809600000001E-2</v>
      </c>
      <c r="N43" s="243">
        <f>($B72*N40*$B54)</f>
        <v>1.2517814400000001E-2</v>
      </c>
    </row>
    <row r="44" spans="1:15" ht="15">
      <c r="A44" s="244" t="s">
        <v>190</v>
      </c>
      <c r="B44" s="255">
        <f t="shared" ref="B44:G44" si="38">B40*$B72*$B54*$B56</f>
        <v>4.0688585477400006</v>
      </c>
      <c r="C44" s="255">
        <f t="shared" si="38"/>
        <v>4.5853099588799999</v>
      </c>
      <c r="D44" s="255">
        <f t="shared" si="38"/>
        <v>6.102147927119999</v>
      </c>
      <c r="E44" s="255">
        <f t="shared" si="38"/>
        <v>4.4983886992799995</v>
      </c>
      <c r="F44" s="255">
        <f t="shared" si="38"/>
        <v>6.2304737241600012</v>
      </c>
      <c r="G44" s="255">
        <f t="shared" si="38"/>
        <v>4.86026454816</v>
      </c>
      <c r="H44" s="255">
        <f t="shared" ref="H44:M44" si="39">H40*$B72*$B54*$B56</f>
        <v>4.4683624440000003</v>
      </c>
      <c r="I44" s="245">
        <f t="shared" si="39"/>
        <v>4.5228042720000001</v>
      </c>
      <c r="J44" s="245">
        <f t="shared" si="39"/>
        <v>4.6819972079999994</v>
      </c>
      <c r="K44" s="245">
        <f t="shared" si="39"/>
        <v>3.4684954499999994</v>
      </c>
      <c r="L44" s="245">
        <f t="shared" si="39"/>
        <v>3.9569027316000001</v>
      </c>
      <c r="M44" s="245">
        <f t="shared" si="39"/>
        <v>4.0144409760000004</v>
      </c>
      <c r="N44" s="245">
        <f>N40*$B72*$B54*$B56</f>
        <v>3.8805224640000002</v>
      </c>
    </row>
    <row r="45" spans="1:15">
      <c r="A45" s="538" t="s">
        <v>529</v>
      </c>
      <c r="B45" s="539">
        <f t="shared" ref="B45:G45" si="40">ROUND(B38+B42+B44,1)</f>
        <v>123.2</v>
      </c>
      <c r="C45" s="539">
        <f t="shared" si="40"/>
        <v>138.80000000000001</v>
      </c>
      <c r="D45" s="539">
        <f t="shared" si="40"/>
        <v>184.7</v>
      </c>
      <c r="E45" s="539">
        <f t="shared" si="40"/>
        <v>136.19999999999999</v>
      </c>
      <c r="F45" s="539">
        <f t="shared" si="40"/>
        <v>181.1</v>
      </c>
      <c r="G45" s="539">
        <f t="shared" si="40"/>
        <v>141.30000000000001</v>
      </c>
      <c r="H45" s="539">
        <f t="shared" ref="H45:M45" si="41">ROUND(H38+H42+H44,1)</f>
        <v>129.9</v>
      </c>
      <c r="I45" s="539">
        <f t="shared" si="41"/>
        <v>131.4</v>
      </c>
      <c r="J45" s="539">
        <f t="shared" si="41"/>
        <v>136.1</v>
      </c>
      <c r="K45" s="539">
        <f t="shared" si="41"/>
        <v>96.9</v>
      </c>
      <c r="L45" s="539">
        <f t="shared" si="41"/>
        <v>106.5</v>
      </c>
      <c r="M45" s="539">
        <f t="shared" si="41"/>
        <v>108.1</v>
      </c>
      <c r="N45" s="539">
        <f>ROUND(N38+N42+N44,1)</f>
        <v>104.4</v>
      </c>
    </row>
    <row r="46" spans="1:15">
      <c r="A46" s="247"/>
      <c r="B46" s="247"/>
      <c r="C46" s="247"/>
      <c r="D46" s="247"/>
      <c r="E46" s="247"/>
      <c r="F46" s="247"/>
      <c r="G46" s="227"/>
    </row>
    <row r="47" spans="1:15">
      <c r="A47" s="247"/>
      <c r="B47" s="247"/>
      <c r="C47" s="247"/>
      <c r="D47" s="247"/>
      <c r="E47" s="247"/>
      <c r="F47" s="247"/>
      <c r="G47" s="227"/>
    </row>
    <row r="48" spans="1:15">
      <c r="A48" s="227"/>
      <c r="B48" s="227"/>
      <c r="C48" s="227"/>
      <c r="D48" s="227"/>
      <c r="E48" s="227"/>
      <c r="F48" s="227"/>
      <c r="G48" s="227"/>
    </row>
    <row r="49" spans="1:12" ht="16">
      <c r="A49" s="256" t="s">
        <v>749</v>
      </c>
      <c r="B49" s="256"/>
      <c r="C49" s="227"/>
      <c r="D49" s="227"/>
      <c r="E49" s="227"/>
      <c r="F49" s="227"/>
      <c r="G49" s="227"/>
    </row>
    <row r="50" spans="1:12">
      <c r="A50" s="227"/>
      <c r="B50" s="227"/>
      <c r="C50" s="227"/>
      <c r="D50" s="227"/>
      <c r="E50" s="227"/>
      <c r="F50" s="227"/>
      <c r="G50" s="227"/>
    </row>
    <row r="51" spans="1:12">
      <c r="A51" s="234" t="s">
        <v>511</v>
      </c>
      <c r="B51" s="227"/>
      <c r="C51" s="227"/>
      <c r="D51" s="227"/>
      <c r="E51" s="227"/>
      <c r="F51" s="227"/>
      <c r="G51" s="227"/>
    </row>
    <row r="52" spans="1:12">
      <c r="A52" s="257" t="s">
        <v>355</v>
      </c>
      <c r="B52" s="258">
        <f>((1)/(42))</f>
        <v>2.3809523809523808E-2</v>
      </c>
      <c r="C52" s="227"/>
      <c r="D52" s="227"/>
      <c r="E52" s="227"/>
      <c r="F52" s="227"/>
      <c r="G52" s="227"/>
    </row>
    <row r="53" spans="1:12">
      <c r="A53" s="259" t="s">
        <v>286</v>
      </c>
      <c r="B53" s="247">
        <v>1E-3</v>
      </c>
      <c r="C53" s="227"/>
      <c r="D53" s="227"/>
      <c r="E53" s="227"/>
      <c r="F53" s="227"/>
      <c r="G53" s="227"/>
    </row>
    <row r="54" spans="1:12" ht="15">
      <c r="A54" s="257" t="s">
        <v>719</v>
      </c>
      <c r="B54" s="260">
        <v>9.9999999999999995E-7</v>
      </c>
      <c r="C54" s="261"/>
      <c r="D54" s="227"/>
      <c r="E54" s="227"/>
      <c r="F54" s="261"/>
      <c r="G54" s="227"/>
    </row>
    <row r="55" spans="1:12" ht="15">
      <c r="A55" s="262" t="s">
        <v>876</v>
      </c>
      <c r="B55" s="263">
        <v>21</v>
      </c>
      <c r="C55" s="247"/>
      <c r="D55" s="227"/>
      <c r="E55" s="227"/>
      <c r="F55" s="247"/>
      <c r="G55" s="227"/>
    </row>
    <row r="56" spans="1:12" ht="15">
      <c r="A56" s="262" t="s">
        <v>56</v>
      </c>
      <c r="B56" s="263">
        <v>310</v>
      </c>
      <c r="C56" s="261"/>
      <c r="D56" s="227"/>
      <c r="E56" s="227"/>
      <c r="F56" s="261"/>
      <c r="G56" s="227"/>
    </row>
    <row r="57" spans="1:12">
      <c r="A57" s="227"/>
      <c r="B57" s="227"/>
      <c r="C57" s="247"/>
      <c r="D57" s="227"/>
      <c r="E57" s="227"/>
      <c r="F57" s="247"/>
      <c r="G57" s="261"/>
      <c r="H57" s="9"/>
      <c r="I57" s="9"/>
      <c r="J57" s="9"/>
      <c r="K57" s="9"/>
      <c r="L57" s="9"/>
    </row>
    <row r="58" spans="1:12">
      <c r="A58" s="234" t="s">
        <v>118</v>
      </c>
      <c r="B58" s="227"/>
      <c r="C58" s="261"/>
      <c r="D58" s="261"/>
      <c r="E58" s="261"/>
      <c r="F58" s="261"/>
      <c r="G58" s="247"/>
      <c r="H58" s="24"/>
      <c r="I58" s="24"/>
      <c r="J58" s="24"/>
      <c r="K58" s="24"/>
      <c r="L58" s="24"/>
    </row>
    <row r="59" spans="1:12">
      <c r="A59" s="244" t="s">
        <v>338</v>
      </c>
      <c r="B59" s="264">
        <f>B52*B63</f>
        <v>0.12423809523809523</v>
      </c>
      <c r="C59" s="261"/>
      <c r="D59" s="261"/>
      <c r="E59" s="261"/>
      <c r="F59" s="261"/>
      <c r="G59" s="247"/>
      <c r="H59" s="24"/>
      <c r="I59" s="24"/>
      <c r="J59" s="24"/>
      <c r="K59" s="24"/>
      <c r="L59" s="24"/>
    </row>
    <row r="60" spans="1:12" ht="15">
      <c r="A60" s="244" t="s">
        <v>207</v>
      </c>
      <c r="B60" s="244">
        <f>(B52*B63*B64*B65*B66*B53)</f>
        <v>8.7117198811934304E-3</v>
      </c>
      <c r="C60" s="227"/>
      <c r="D60" s="227"/>
      <c r="E60" s="227"/>
      <c r="F60" s="227"/>
      <c r="G60" s="247"/>
      <c r="H60" s="24"/>
      <c r="I60" s="24"/>
      <c r="J60" s="24"/>
      <c r="K60" s="24"/>
      <c r="L60" s="24"/>
    </row>
    <row r="61" spans="1:12" ht="15">
      <c r="A61" s="262" t="s">
        <v>106</v>
      </c>
      <c r="B61" s="265">
        <v>0.19839999999999999</v>
      </c>
      <c r="C61" s="261"/>
      <c r="D61" s="261"/>
      <c r="E61" s="261"/>
      <c r="F61" s="261"/>
      <c r="G61" s="247"/>
      <c r="H61" s="24"/>
      <c r="I61" s="24"/>
      <c r="J61" s="24"/>
      <c r="K61" s="24"/>
      <c r="L61" s="24"/>
    </row>
    <row r="62" spans="1:12" ht="15">
      <c r="A62" s="262" t="s">
        <v>368</v>
      </c>
      <c r="B62" s="265">
        <v>0.1517</v>
      </c>
      <c r="C62" s="247"/>
      <c r="D62" s="247"/>
      <c r="E62" s="247"/>
      <c r="F62" s="247"/>
      <c r="G62" s="227"/>
    </row>
    <row r="63" spans="1:12">
      <c r="A63" s="262" t="s">
        <v>489</v>
      </c>
      <c r="B63" s="263">
        <v>5.218</v>
      </c>
      <c r="C63" s="227"/>
      <c r="D63" s="227"/>
      <c r="E63" s="227"/>
      <c r="F63" s="227"/>
      <c r="G63" s="227"/>
    </row>
    <row r="64" spans="1:12">
      <c r="A64" s="262" t="s">
        <v>430</v>
      </c>
      <c r="B64" s="263">
        <v>19.329999999999998</v>
      </c>
      <c r="C64" s="266"/>
      <c r="D64" s="266"/>
      <c r="E64" s="227"/>
      <c r="F64" s="227"/>
      <c r="G64" s="227"/>
    </row>
    <row r="65" spans="1:7">
      <c r="A65" s="262" t="s">
        <v>625</v>
      </c>
      <c r="B65" s="263">
        <v>0.99</v>
      </c>
      <c r="C65" s="260"/>
      <c r="D65" s="260"/>
      <c r="E65" s="227"/>
      <c r="F65" s="227"/>
      <c r="G65" s="227"/>
    </row>
    <row r="66" spans="1:7" ht="15">
      <c r="A66" s="262" t="s">
        <v>947</v>
      </c>
      <c r="B66" s="267">
        <f>((12.011+32)/12.011)</f>
        <v>3.6642244609108316</v>
      </c>
      <c r="C66" s="227"/>
      <c r="D66" s="227"/>
      <c r="E66" s="227"/>
      <c r="F66" s="227"/>
      <c r="G66" s="227"/>
    </row>
    <row r="67" spans="1:7">
      <c r="A67" s="227"/>
      <c r="B67" s="227"/>
      <c r="C67" s="261"/>
      <c r="D67" s="261"/>
      <c r="E67" s="227"/>
      <c r="F67" s="227"/>
      <c r="G67" s="227"/>
    </row>
    <row r="68" spans="1:7">
      <c r="A68" s="268" t="s">
        <v>290</v>
      </c>
      <c r="B68" s="269"/>
      <c r="C68" s="247"/>
      <c r="D68" s="247"/>
      <c r="E68" s="247"/>
      <c r="F68" s="247"/>
      <c r="G68" s="227"/>
    </row>
    <row r="69" spans="1:7">
      <c r="A69" s="244" t="s">
        <v>530</v>
      </c>
      <c r="B69" s="264">
        <f>$B52*B73</f>
        <v>0.1386904761904762</v>
      </c>
      <c r="C69" s="227"/>
      <c r="D69" s="227"/>
      <c r="E69" s="227"/>
      <c r="F69" s="227"/>
      <c r="G69" s="227"/>
    </row>
    <row r="70" spans="1:7" ht="15">
      <c r="A70" s="244" t="s">
        <v>767</v>
      </c>
      <c r="B70" s="244">
        <f>($B52*B73*B74*B75*B76*$B53)</f>
        <v>1.0037066544729831E-2</v>
      </c>
      <c r="C70" s="261"/>
      <c r="D70" s="227"/>
      <c r="E70" s="261"/>
      <c r="F70" s="227"/>
      <c r="G70" s="227"/>
    </row>
    <row r="71" spans="1:7" ht="15">
      <c r="A71" s="262" t="s">
        <v>106</v>
      </c>
      <c r="B71" s="265">
        <v>9.6600000000000005E-2</v>
      </c>
      <c r="C71" s="260"/>
      <c r="D71" s="260"/>
      <c r="E71" s="260"/>
      <c r="F71" s="260"/>
      <c r="G71" s="227"/>
    </row>
    <row r="72" spans="1:7" ht="15">
      <c r="A72" s="262" t="s">
        <v>368</v>
      </c>
      <c r="B72" s="265">
        <v>4.8300000000000003E-2</v>
      </c>
      <c r="C72" s="227"/>
      <c r="D72" s="227"/>
      <c r="E72" s="227"/>
      <c r="F72" s="227"/>
      <c r="G72" s="227"/>
    </row>
    <row r="73" spans="1:7">
      <c r="A73" s="262" t="s">
        <v>489</v>
      </c>
      <c r="B73" s="263">
        <v>5.8250000000000002</v>
      </c>
      <c r="C73" s="261"/>
      <c r="D73" s="261"/>
      <c r="E73" s="261"/>
      <c r="F73" s="261"/>
      <c r="G73" s="227"/>
    </row>
    <row r="74" spans="1:7">
      <c r="A74" s="262" t="s">
        <v>430</v>
      </c>
      <c r="B74" s="263">
        <v>19.95</v>
      </c>
      <c r="C74" s="227"/>
      <c r="D74" s="227"/>
      <c r="E74" s="227"/>
      <c r="F74" s="227"/>
      <c r="G74" s="227"/>
    </row>
    <row r="75" spans="1:7">
      <c r="A75" s="262" t="s">
        <v>625</v>
      </c>
      <c r="B75" s="263">
        <v>0.99</v>
      </c>
      <c r="C75" s="227"/>
      <c r="D75" s="227"/>
      <c r="E75" s="227"/>
      <c r="F75" s="227"/>
      <c r="G75" s="227"/>
    </row>
    <row r="76" spans="1:7" ht="15">
      <c r="A76" s="262" t="s">
        <v>947</v>
      </c>
      <c r="B76" s="267">
        <v>3.6642244609108316</v>
      </c>
      <c r="C76" s="227"/>
      <c r="D76" s="227"/>
      <c r="E76" s="227"/>
      <c r="F76" s="227"/>
      <c r="G76" s="227"/>
    </row>
    <row r="77" spans="1:7">
      <c r="A77" s="227"/>
      <c r="B77" s="227"/>
      <c r="C77" s="227"/>
      <c r="D77" s="227"/>
      <c r="E77" s="227"/>
      <c r="F77" s="227"/>
      <c r="G77" s="227"/>
    </row>
    <row r="78" spans="1:7">
      <c r="A78" s="227"/>
      <c r="B78" s="227"/>
      <c r="C78" s="227"/>
      <c r="D78" s="227"/>
      <c r="E78" s="227"/>
      <c r="F78" s="227"/>
      <c r="G78" s="227"/>
    </row>
    <row r="79" spans="1:7">
      <c r="A79" s="227"/>
      <c r="B79" s="227"/>
      <c r="C79" s="227"/>
      <c r="D79" s="227"/>
      <c r="E79" s="227"/>
      <c r="F79" s="227"/>
      <c r="G79" s="227"/>
    </row>
    <row r="80" spans="1:7">
      <c r="A80" s="227"/>
      <c r="B80" s="227"/>
      <c r="C80" s="227"/>
      <c r="D80" s="227"/>
      <c r="E80" s="227"/>
      <c r="F80" s="227"/>
      <c r="G80" s="227"/>
    </row>
    <row r="81" spans="1:7">
      <c r="A81" s="227"/>
      <c r="B81" s="227"/>
      <c r="C81" s="227"/>
      <c r="D81" s="227"/>
      <c r="E81" s="227"/>
      <c r="F81" s="227"/>
      <c r="G81" s="227"/>
    </row>
    <row r="82" spans="1:7">
      <c r="A82" s="227"/>
      <c r="B82" s="227"/>
      <c r="C82" s="227"/>
      <c r="D82" s="227"/>
      <c r="E82" s="227"/>
      <c r="F82" s="227"/>
      <c r="G82" s="227"/>
    </row>
    <row r="83" spans="1:7">
      <c r="A83" s="227"/>
      <c r="B83" s="227"/>
      <c r="C83" s="227"/>
      <c r="D83" s="227"/>
      <c r="E83" s="227"/>
      <c r="F83" s="227"/>
      <c r="G83" s="227"/>
    </row>
    <row r="84" spans="1:7">
      <c r="A84" s="227"/>
      <c r="B84" s="227"/>
      <c r="C84" s="227"/>
      <c r="D84" s="227"/>
      <c r="E84" s="227"/>
      <c r="F84" s="227"/>
      <c r="G84" s="227"/>
    </row>
    <row r="85" spans="1:7">
      <c r="A85" s="227"/>
      <c r="B85" s="227"/>
      <c r="C85" s="227"/>
      <c r="D85" s="227"/>
      <c r="E85" s="227"/>
      <c r="F85" s="227"/>
      <c r="G85" s="227"/>
    </row>
    <row r="86" spans="1:7">
      <c r="A86" s="227"/>
      <c r="B86" s="227"/>
      <c r="C86" s="227"/>
      <c r="D86" s="227"/>
      <c r="E86" s="227"/>
      <c r="F86" s="227"/>
      <c r="G86" s="227"/>
    </row>
    <row r="87" spans="1:7">
      <c r="A87" s="227"/>
      <c r="B87" s="227"/>
      <c r="C87" s="227"/>
      <c r="D87" s="227"/>
      <c r="E87" s="227"/>
      <c r="F87" s="227"/>
      <c r="G87" s="227"/>
    </row>
    <row r="88" spans="1:7">
      <c r="A88" s="227"/>
      <c r="B88" s="227"/>
      <c r="C88" s="227"/>
      <c r="D88" s="227"/>
      <c r="E88" s="227"/>
      <c r="F88" s="227"/>
      <c r="G88" s="227"/>
    </row>
    <row r="89" spans="1:7">
      <c r="A89" s="227"/>
      <c r="B89" s="227"/>
      <c r="C89" s="227"/>
      <c r="D89" s="227"/>
      <c r="E89" s="227"/>
      <c r="F89" s="227"/>
      <c r="G89" s="227"/>
    </row>
    <row r="90" spans="1:7">
      <c r="A90" s="227"/>
      <c r="B90" s="227"/>
      <c r="C90" s="227"/>
      <c r="D90" s="227"/>
      <c r="E90" s="227"/>
      <c r="F90" s="227"/>
      <c r="G90" s="227"/>
    </row>
    <row r="91" spans="1:7">
      <c r="A91" s="227"/>
      <c r="B91" s="227"/>
      <c r="C91" s="227"/>
      <c r="D91" s="227"/>
      <c r="E91" s="227"/>
      <c r="F91" s="227"/>
      <c r="G91" s="227"/>
    </row>
    <row r="92" spans="1:7">
      <c r="A92" s="227"/>
      <c r="B92" s="227"/>
      <c r="C92" s="227"/>
      <c r="D92" s="227"/>
      <c r="E92" s="227"/>
      <c r="F92" s="227"/>
      <c r="G92" s="227"/>
    </row>
  </sheetData>
  <mergeCells count="2">
    <mergeCell ref="A1:G1"/>
    <mergeCell ref="A2:G4"/>
  </mergeCells>
  <phoneticPr fontId="3" type="noConversion"/>
  <pageMargins left="0.5" right="0.5" top="0.5" bottom="0.5"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23"/>
  <sheetViews>
    <sheetView topLeftCell="I66" zoomScaleNormal="100" workbookViewId="0">
      <selection activeCell="I66" sqref="I66"/>
    </sheetView>
  </sheetViews>
  <sheetFormatPr baseColWidth="10" defaultColWidth="7.33203125" defaultRowHeight="13"/>
  <cols>
    <col min="1" max="1" width="22.33203125" customWidth="1"/>
  </cols>
  <sheetData>
    <row r="1" spans="1:8" ht="18">
      <c r="A1" s="849" t="s">
        <v>538</v>
      </c>
      <c r="B1" s="849"/>
      <c r="C1" s="849"/>
      <c r="D1" s="849"/>
      <c r="E1" s="849"/>
      <c r="F1" s="849"/>
      <c r="G1" s="849"/>
      <c r="H1" s="849"/>
    </row>
    <row r="2" spans="1:8">
      <c r="A2" s="839" t="s">
        <v>536</v>
      </c>
      <c r="B2" s="839"/>
      <c r="C2" s="839"/>
      <c r="D2" s="839"/>
      <c r="E2" s="839"/>
      <c r="F2" s="839"/>
      <c r="G2" s="839"/>
      <c r="H2" s="839"/>
    </row>
    <row r="3" spans="1:8">
      <c r="A3" s="839"/>
      <c r="B3" s="839"/>
      <c r="C3" s="839"/>
      <c r="D3" s="839"/>
      <c r="E3" s="839"/>
      <c r="F3" s="839"/>
      <c r="G3" s="839"/>
      <c r="H3" s="839"/>
    </row>
    <row r="4" spans="1:8">
      <c r="A4" s="839"/>
      <c r="B4" s="839"/>
      <c r="C4" s="839"/>
      <c r="D4" s="839"/>
      <c r="E4" s="839"/>
      <c r="F4" s="839"/>
      <c r="G4" s="839"/>
      <c r="H4" s="839"/>
    </row>
    <row r="20" spans="1:6">
      <c r="A20" s="844" t="s">
        <v>780</v>
      </c>
      <c r="B20" s="842"/>
      <c r="C20" s="842"/>
      <c r="D20" s="842"/>
      <c r="E20" s="842"/>
      <c r="F20" s="842"/>
    </row>
    <row r="21" spans="1:6">
      <c r="A21" s="842"/>
      <c r="B21" s="842"/>
      <c r="C21" s="842"/>
      <c r="D21" s="842"/>
      <c r="E21" s="842"/>
      <c r="F21" s="842"/>
    </row>
    <row r="22" spans="1:6">
      <c r="A22" s="842"/>
      <c r="B22" s="842"/>
      <c r="C22" s="842"/>
      <c r="D22" s="842"/>
      <c r="E22" s="842"/>
      <c r="F22" s="842"/>
    </row>
    <row r="36" spans="1:8">
      <c r="A36" s="844" t="s">
        <v>206</v>
      </c>
      <c r="B36" s="842"/>
      <c r="C36" s="842"/>
      <c r="D36" s="842"/>
      <c r="E36" s="842"/>
      <c r="F36" s="842"/>
    </row>
    <row r="37" spans="1:8">
      <c r="A37" s="842"/>
      <c r="B37" s="842"/>
      <c r="C37" s="842"/>
      <c r="D37" s="842"/>
      <c r="E37" s="842"/>
      <c r="F37" s="842"/>
    </row>
    <row r="38" spans="1:8">
      <c r="A38" s="842"/>
      <c r="B38" s="842"/>
      <c r="C38" s="842"/>
      <c r="D38" s="842"/>
      <c r="E38" s="842"/>
      <c r="F38" s="842"/>
    </row>
    <row r="40" spans="1:8" ht="16">
      <c r="A40" s="4" t="s">
        <v>749</v>
      </c>
    </row>
    <row r="42" spans="1:8">
      <c r="A42" t="s">
        <v>489</v>
      </c>
      <c r="B42" s="842" t="s">
        <v>178</v>
      </c>
      <c r="C42" s="842"/>
      <c r="D42" s="842"/>
      <c r="E42" s="842"/>
      <c r="F42" s="842"/>
      <c r="G42" s="842"/>
      <c r="H42" s="842"/>
    </row>
    <row r="43" spans="1:8">
      <c r="B43" s="842"/>
      <c r="C43" s="842"/>
      <c r="D43" s="842"/>
      <c r="E43" s="842"/>
      <c r="F43" s="842"/>
      <c r="G43" s="842"/>
      <c r="H43" s="842"/>
    </row>
    <row r="44" spans="1:8">
      <c r="B44" s="842"/>
      <c r="C44" s="842"/>
      <c r="D44" s="842"/>
      <c r="E44" s="842"/>
      <c r="F44" s="842"/>
      <c r="G44" s="842"/>
      <c r="H44" s="842"/>
    </row>
    <row r="45" spans="1:8">
      <c r="A45" t="s">
        <v>430</v>
      </c>
      <c r="B45" s="842" t="s">
        <v>403</v>
      </c>
      <c r="C45" s="842"/>
      <c r="D45" s="842"/>
      <c r="E45" s="842"/>
      <c r="F45" s="842"/>
      <c r="G45" s="842"/>
      <c r="H45" s="842"/>
    </row>
    <row r="46" spans="1:8">
      <c r="B46" s="842"/>
      <c r="C46" s="842"/>
      <c r="D46" s="842"/>
      <c r="E46" s="842"/>
      <c r="F46" s="842"/>
      <c r="G46" s="842"/>
      <c r="H46" s="842"/>
    </row>
    <row r="47" spans="1:8">
      <c r="A47" t="s">
        <v>625</v>
      </c>
      <c r="B47" s="842" t="s">
        <v>403</v>
      </c>
      <c r="C47" s="842"/>
      <c r="D47" s="842"/>
      <c r="E47" s="842"/>
      <c r="F47" s="842"/>
      <c r="G47" s="842"/>
      <c r="H47" s="842"/>
    </row>
    <row r="48" spans="1:8">
      <c r="B48" s="842"/>
      <c r="C48" s="842"/>
      <c r="D48" s="842"/>
      <c r="E48" s="842"/>
      <c r="F48" s="842"/>
      <c r="G48" s="842"/>
      <c r="H48" s="842"/>
    </row>
    <row r="49" spans="1:8">
      <c r="A49" s="29" t="s">
        <v>747</v>
      </c>
      <c r="B49" s="850" t="s">
        <v>577</v>
      </c>
      <c r="C49" s="850"/>
      <c r="D49" s="850"/>
      <c r="E49" s="850"/>
      <c r="F49" s="850"/>
      <c r="G49" s="850"/>
      <c r="H49" s="850"/>
    </row>
    <row r="50" spans="1:8">
      <c r="A50" s="29"/>
      <c r="B50" s="850"/>
      <c r="C50" s="850"/>
      <c r="D50" s="850"/>
      <c r="E50" s="850"/>
      <c r="F50" s="850"/>
      <c r="G50" s="850"/>
      <c r="H50" s="850"/>
    </row>
    <row r="51" spans="1:8" ht="15">
      <c r="A51" t="s">
        <v>431</v>
      </c>
      <c r="B51" s="842" t="s">
        <v>258</v>
      </c>
      <c r="C51" s="842"/>
      <c r="D51" s="842"/>
      <c r="E51" s="842"/>
      <c r="F51" s="842"/>
      <c r="G51" s="842"/>
      <c r="H51" s="842"/>
    </row>
    <row r="52" spans="1:8">
      <c r="B52" s="842"/>
      <c r="C52" s="842"/>
      <c r="D52" s="842"/>
      <c r="E52" s="842"/>
      <c r="F52" s="842"/>
      <c r="G52" s="842"/>
      <c r="H52" s="842"/>
    </row>
    <row r="53" spans="1:8" ht="37.5" customHeight="1">
      <c r="B53" s="842"/>
      <c r="C53" s="842"/>
      <c r="D53" s="842"/>
      <c r="E53" s="842"/>
      <c r="F53" s="842"/>
      <c r="G53" s="842"/>
      <c r="H53" s="842"/>
    </row>
    <row r="54" spans="1:8" ht="15">
      <c r="A54" t="s">
        <v>432</v>
      </c>
      <c r="B54" s="842" t="s">
        <v>722</v>
      </c>
      <c r="C54" s="842"/>
      <c r="D54" s="842"/>
      <c r="E54" s="842"/>
      <c r="F54" s="842"/>
      <c r="G54" s="842"/>
      <c r="H54" s="842"/>
    </row>
    <row r="55" spans="1:8">
      <c r="B55" s="842"/>
      <c r="C55" s="842"/>
      <c r="D55" s="842"/>
      <c r="E55" s="842"/>
      <c r="F55" s="842"/>
      <c r="G55" s="842"/>
      <c r="H55" s="842"/>
    </row>
    <row r="56" spans="1:8">
      <c r="B56" s="842"/>
      <c r="C56" s="842"/>
      <c r="D56" s="842"/>
      <c r="E56" s="842"/>
      <c r="F56" s="842"/>
      <c r="G56" s="842"/>
      <c r="H56" s="842"/>
    </row>
    <row r="57" spans="1:8" ht="14.25" customHeight="1">
      <c r="B57" s="842"/>
      <c r="C57" s="842"/>
      <c r="D57" s="842"/>
      <c r="E57" s="842"/>
      <c r="F57" s="842"/>
      <c r="G57" s="842"/>
      <c r="H57" s="842"/>
    </row>
    <row r="58" spans="1:8" ht="15">
      <c r="A58" t="s">
        <v>433</v>
      </c>
      <c r="B58" s="842" t="s">
        <v>240</v>
      </c>
      <c r="C58" s="842"/>
      <c r="D58" s="842"/>
      <c r="E58" s="842"/>
      <c r="F58" s="842"/>
      <c r="G58" s="842"/>
      <c r="H58" s="842"/>
    </row>
    <row r="59" spans="1:8">
      <c r="B59" s="842"/>
      <c r="C59" s="842"/>
      <c r="D59" s="842"/>
      <c r="E59" s="842"/>
      <c r="F59" s="842"/>
      <c r="G59" s="842"/>
      <c r="H59" s="842"/>
    </row>
    <row r="60" spans="1:8">
      <c r="B60" s="842"/>
      <c r="C60" s="842"/>
      <c r="D60" s="842"/>
      <c r="E60" s="842"/>
      <c r="F60" s="842"/>
      <c r="G60" s="842"/>
      <c r="H60" s="842"/>
    </row>
    <row r="61" spans="1:8" ht="15">
      <c r="A61" t="s">
        <v>457</v>
      </c>
      <c r="B61" s="842" t="s">
        <v>722</v>
      </c>
      <c r="C61" s="842"/>
      <c r="D61" s="842"/>
      <c r="E61" s="842"/>
      <c r="F61" s="842"/>
      <c r="G61" s="842"/>
      <c r="H61" s="842"/>
    </row>
    <row r="62" spans="1:8">
      <c r="B62" s="842"/>
      <c r="C62" s="842"/>
      <c r="D62" s="842"/>
      <c r="E62" s="842"/>
      <c r="F62" s="842"/>
      <c r="G62" s="842"/>
      <c r="H62" s="842"/>
    </row>
    <row r="63" spans="1:8">
      <c r="B63" s="842"/>
      <c r="C63" s="842"/>
      <c r="D63" s="842"/>
      <c r="E63" s="842"/>
      <c r="F63" s="842"/>
      <c r="G63" s="842"/>
      <c r="H63" s="842"/>
    </row>
    <row r="64" spans="1:8" ht="15.75" customHeight="1">
      <c r="B64" s="842"/>
      <c r="C64" s="842"/>
      <c r="D64" s="842"/>
      <c r="E64" s="842"/>
      <c r="F64" s="842"/>
      <c r="G64" s="842"/>
      <c r="H64" s="842"/>
    </row>
    <row r="65" spans="1:8" ht="12" customHeight="1"/>
    <row r="66" spans="1:8">
      <c r="A66" t="s">
        <v>355</v>
      </c>
      <c r="B66" t="s">
        <v>620</v>
      </c>
    </row>
    <row r="67" spans="1:8">
      <c r="A67" t="s">
        <v>224</v>
      </c>
      <c r="B67" t="s">
        <v>620</v>
      </c>
    </row>
    <row r="69" spans="1:8" ht="16">
      <c r="A69" s="835" t="s">
        <v>542</v>
      </c>
      <c r="B69" s="835"/>
    </row>
    <row r="70" spans="1:8">
      <c r="A70" t="s">
        <v>27</v>
      </c>
    </row>
    <row r="71" spans="1:8">
      <c r="A71" s="10" t="s">
        <v>610</v>
      </c>
    </row>
    <row r="72" spans="1:8">
      <c r="A72" s="88" t="s">
        <v>377</v>
      </c>
      <c r="B72" s="848" t="s">
        <v>308</v>
      </c>
      <c r="C72" s="848"/>
      <c r="D72" s="848"/>
      <c r="E72" s="848"/>
      <c r="F72" s="848"/>
      <c r="G72" s="848"/>
      <c r="H72" s="848"/>
    </row>
    <row r="73" spans="1:8">
      <c r="A73" s="88"/>
      <c r="B73" s="848"/>
      <c r="C73" s="848"/>
      <c r="D73" s="848"/>
      <c r="E73" s="848"/>
      <c r="F73" s="848"/>
      <c r="G73" s="848"/>
      <c r="H73" s="848"/>
    </row>
    <row r="74" spans="1:8">
      <c r="A74" s="88" t="s">
        <v>112</v>
      </c>
      <c r="B74" s="848" t="s">
        <v>308</v>
      </c>
      <c r="C74" s="848"/>
      <c r="D74" s="848"/>
      <c r="E74" s="848"/>
      <c r="F74" s="848"/>
      <c r="G74" s="848"/>
      <c r="H74" s="848"/>
    </row>
    <row r="75" spans="1:8">
      <c r="A75" s="88"/>
      <c r="B75" s="848"/>
      <c r="C75" s="848"/>
      <c r="D75" s="848"/>
      <c r="E75" s="848"/>
      <c r="F75" s="848"/>
      <c r="G75" s="848"/>
      <c r="H75" s="848"/>
    </row>
    <row r="76" spans="1:8">
      <c r="A76" s="88" t="s">
        <v>587</v>
      </c>
      <c r="B76" s="848" t="s">
        <v>152</v>
      </c>
      <c r="C76" s="848"/>
      <c r="D76" s="848"/>
      <c r="E76" s="848"/>
      <c r="F76" s="848"/>
      <c r="G76" s="848"/>
      <c r="H76" s="848"/>
    </row>
    <row r="77" spans="1:8" ht="27" customHeight="1">
      <c r="A77" s="88"/>
      <c r="B77" s="848"/>
      <c r="C77" s="848"/>
      <c r="D77" s="848"/>
      <c r="E77" s="848"/>
      <c r="F77" s="848"/>
      <c r="G77" s="848"/>
      <c r="H77" s="848"/>
    </row>
    <row r="78" spans="1:8">
      <c r="A78" s="88" t="s">
        <v>261</v>
      </c>
      <c r="B78" s="848" t="s">
        <v>815</v>
      </c>
      <c r="C78" s="848"/>
      <c r="D78" s="848"/>
      <c r="E78" s="848"/>
      <c r="F78" s="848"/>
      <c r="G78" s="848"/>
      <c r="H78" s="848"/>
    </row>
    <row r="79" spans="1:8" ht="26.25" customHeight="1">
      <c r="A79" s="88"/>
      <c r="B79" s="848"/>
      <c r="C79" s="848"/>
      <c r="D79" s="848"/>
      <c r="E79" s="848"/>
      <c r="F79" s="848"/>
      <c r="G79" s="848"/>
      <c r="H79" s="848"/>
    </row>
    <row r="80" spans="1:8">
      <c r="A80" s="88" t="s">
        <v>440</v>
      </c>
      <c r="B80" s="848" t="s">
        <v>474</v>
      </c>
      <c r="C80" s="848"/>
      <c r="D80" s="848"/>
      <c r="E80" s="848"/>
      <c r="F80" s="848"/>
      <c r="G80" s="848"/>
      <c r="H80" s="848"/>
    </row>
    <row r="81" spans="1:8">
      <c r="A81" s="88"/>
      <c r="B81" s="848"/>
      <c r="C81" s="848"/>
      <c r="D81" s="848"/>
      <c r="E81" s="848"/>
      <c r="F81" s="848"/>
      <c r="G81" s="848"/>
      <c r="H81" s="848"/>
    </row>
    <row r="82" spans="1:8">
      <c r="A82" s="88" t="s">
        <v>113</v>
      </c>
      <c r="B82" s="851" t="s">
        <v>474</v>
      </c>
      <c r="C82" s="851"/>
      <c r="D82" s="851"/>
      <c r="E82" s="851"/>
      <c r="F82" s="851"/>
      <c r="G82" s="851"/>
      <c r="H82" s="851"/>
    </row>
    <row r="83" spans="1:8">
      <c r="A83" s="88"/>
      <c r="B83" s="851"/>
      <c r="C83" s="851"/>
      <c r="D83" s="851"/>
      <c r="E83" s="851"/>
      <c r="F83" s="851"/>
      <c r="G83" s="851"/>
      <c r="H83" s="851"/>
    </row>
    <row r="84" spans="1:8" ht="12.75" customHeight="1">
      <c r="A84" s="26" t="s">
        <v>28</v>
      </c>
      <c r="B84" s="841" t="s">
        <v>689</v>
      </c>
      <c r="C84" s="841"/>
      <c r="D84" s="841"/>
      <c r="E84" s="841"/>
      <c r="F84" s="841"/>
      <c r="G84" s="841"/>
      <c r="H84" s="841"/>
    </row>
    <row r="85" spans="1:8">
      <c r="A85" s="26"/>
      <c r="B85" s="841"/>
      <c r="C85" s="841"/>
      <c r="D85" s="841"/>
      <c r="E85" s="841"/>
      <c r="F85" s="841"/>
      <c r="G85" s="841"/>
      <c r="H85" s="841"/>
    </row>
    <row r="86" spans="1:8">
      <c r="A86" s="26"/>
      <c r="B86" s="841"/>
      <c r="C86" s="841"/>
      <c r="D86" s="841"/>
      <c r="E86" s="841"/>
      <c r="F86" s="841"/>
      <c r="G86" s="841"/>
      <c r="H86" s="841"/>
    </row>
    <row r="87" spans="1:8">
      <c r="A87" s="26" t="s">
        <v>87</v>
      </c>
      <c r="B87" s="841" t="s">
        <v>965</v>
      </c>
      <c r="C87" s="841"/>
      <c r="D87" s="841"/>
      <c r="E87" s="841"/>
      <c r="F87" s="841"/>
      <c r="G87" s="841"/>
      <c r="H87" s="841"/>
    </row>
    <row r="88" spans="1:8">
      <c r="A88" s="26"/>
      <c r="B88" s="841"/>
      <c r="C88" s="841"/>
      <c r="D88" s="841"/>
      <c r="E88" s="841"/>
      <c r="F88" s="841"/>
      <c r="G88" s="841"/>
      <c r="H88" s="841"/>
    </row>
    <row r="89" spans="1:8">
      <c r="A89" t="s">
        <v>338</v>
      </c>
      <c r="B89" t="s">
        <v>725</v>
      </c>
    </row>
    <row r="90" spans="1:8" ht="15">
      <c r="A90" t="s">
        <v>269</v>
      </c>
      <c r="B90" t="s">
        <v>725</v>
      </c>
    </row>
    <row r="91" spans="1:8">
      <c r="A91" s="88" t="s">
        <v>583</v>
      </c>
      <c r="B91" s="848" t="s">
        <v>655</v>
      </c>
      <c r="C91" s="848"/>
      <c r="D91" s="848"/>
      <c r="E91" s="848"/>
      <c r="F91" s="848"/>
      <c r="G91" s="848"/>
      <c r="H91" s="848"/>
    </row>
    <row r="92" spans="1:8">
      <c r="A92" s="88"/>
      <c r="B92" s="848"/>
      <c r="C92" s="848"/>
      <c r="D92" s="848"/>
      <c r="E92" s="848"/>
      <c r="F92" s="848"/>
      <c r="G92" s="848"/>
      <c r="H92" s="848"/>
    </row>
    <row r="93" spans="1:8">
      <c r="A93" t="s">
        <v>582</v>
      </c>
      <c r="B93" t="s">
        <v>725</v>
      </c>
    </row>
    <row r="95" spans="1:8" ht="16">
      <c r="A95" s="835" t="s">
        <v>737</v>
      </c>
      <c r="B95" s="835"/>
    </row>
    <row r="96" spans="1:8">
      <c r="A96" s="26" t="s">
        <v>652</v>
      </c>
      <c r="B96" s="841" t="s">
        <v>965</v>
      </c>
      <c r="C96" s="841"/>
      <c r="D96" s="841"/>
      <c r="E96" s="841"/>
      <c r="F96" s="841"/>
      <c r="G96" s="841"/>
      <c r="H96" s="841"/>
    </row>
    <row r="97" spans="1:9">
      <c r="A97" s="26"/>
      <c r="B97" s="841"/>
      <c r="C97" s="841"/>
      <c r="D97" s="841"/>
      <c r="E97" s="841"/>
      <c r="F97" s="841"/>
      <c r="G97" s="841"/>
      <c r="H97" s="841"/>
    </row>
    <row r="98" spans="1:9">
      <c r="A98" s="26" t="s">
        <v>653</v>
      </c>
      <c r="B98" s="841" t="s">
        <v>965</v>
      </c>
      <c r="C98" s="841"/>
      <c r="D98" s="841"/>
      <c r="E98" s="841"/>
      <c r="F98" s="841"/>
      <c r="G98" s="841"/>
      <c r="H98" s="841"/>
    </row>
    <row r="99" spans="1:9">
      <c r="A99" s="26"/>
      <c r="B99" s="841"/>
      <c r="C99" s="841"/>
      <c r="D99" s="841"/>
      <c r="E99" s="841"/>
      <c r="F99" s="841"/>
      <c r="G99" s="841"/>
      <c r="H99" s="841"/>
    </row>
    <row r="100" spans="1:9">
      <c r="A100" s="26" t="s">
        <v>369</v>
      </c>
      <c r="B100" s="841" t="s">
        <v>965</v>
      </c>
      <c r="C100" s="841"/>
      <c r="D100" s="841"/>
      <c r="E100" s="841"/>
      <c r="F100" s="841"/>
      <c r="G100" s="841"/>
      <c r="H100" s="841"/>
    </row>
    <row r="101" spans="1:9">
      <c r="A101" s="26"/>
      <c r="B101" s="841"/>
      <c r="C101" s="841"/>
      <c r="D101" s="841"/>
      <c r="E101" s="841"/>
      <c r="F101" s="841"/>
      <c r="G101" s="841"/>
      <c r="H101" s="841"/>
    </row>
    <row r="102" spans="1:9">
      <c r="A102" t="s">
        <v>530</v>
      </c>
      <c r="B102" s="840" t="s">
        <v>725</v>
      </c>
      <c r="C102" s="840"/>
      <c r="D102" s="840"/>
    </row>
    <row r="103" spans="1:9" ht="15">
      <c r="A103" t="s">
        <v>210</v>
      </c>
      <c r="B103" s="840" t="s">
        <v>725</v>
      </c>
      <c r="C103" s="840"/>
      <c r="D103" s="840"/>
    </row>
    <row r="104" spans="1:9">
      <c r="A104" s="88" t="s">
        <v>583</v>
      </c>
      <c r="B104" s="848" t="s">
        <v>886</v>
      </c>
      <c r="C104" s="848"/>
      <c r="D104" s="848"/>
      <c r="E104" s="848"/>
      <c r="F104" s="848"/>
      <c r="G104" s="848"/>
      <c r="H104" s="848"/>
    </row>
    <row r="105" spans="1:9">
      <c r="A105" s="88"/>
      <c r="B105" s="848"/>
      <c r="C105" s="848"/>
      <c r="D105" s="848"/>
      <c r="E105" s="848"/>
      <c r="F105" s="848"/>
      <c r="G105" s="848"/>
      <c r="H105" s="848"/>
    </row>
    <row r="106" spans="1:9">
      <c r="A106" t="s">
        <v>582</v>
      </c>
      <c r="B106" s="840" t="s">
        <v>725</v>
      </c>
      <c r="C106" s="840"/>
      <c r="D106" s="840"/>
    </row>
    <row r="108" spans="1:9" ht="16">
      <c r="A108" s="835" t="s">
        <v>257</v>
      </c>
      <c r="B108" s="835"/>
      <c r="C108" s="835"/>
      <c r="D108" s="835"/>
    </row>
    <row r="109" spans="1:9" ht="12.75" customHeight="1">
      <c r="A109" s="842" t="s">
        <v>599</v>
      </c>
      <c r="B109" s="842"/>
      <c r="C109" s="842"/>
      <c r="D109" s="842"/>
      <c r="E109" s="842"/>
      <c r="F109" s="842"/>
      <c r="G109" s="842"/>
      <c r="H109" s="842"/>
      <c r="I109" s="37"/>
    </row>
    <row r="110" spans="1:9">
      <c r="A110" s="842"/>
      <c r="B110" s="842"/>
      <c r="C110" s="842"/>
      <c r="D110" s="842"/>
      <c r="E110" s="842"/>
      <c r="F110" s="842"/>
      <c r="G110" s="842"/>
      <c r="H110" s="842"/>
      <c r="I110" s="37"/>
    </row>
    <row r="111" spans="1:9">
      <c r="A111" s="842"/>
      <c r="B111" s="842"/>
      <c r="C111" s="842"/>
      <c r="D111" s="842"/>
      <c r="E111" s="842"/>
      <c r="F111" s="842"/>
      <c r="G111" s="842"/>
      <c r="H111" s="842"/>
      <c r="I111" s="37"/>
    </row>
    <row r="112" spans="1:9">
      <c r="A112" s="842"/>
      <c r="B112" s="842"/>
      <c r="C112" s="842"/>
      <c r="D112" s="842"/>
      <c r="E112" s="842"/>
      <c r="F112" s="842"/>
      <c r="G112" s="842"/>
      <c r="H112" s="842"/>
      <c r="I112" s="37"/>
    </row>
    <row r="113" spans="1:8">
      <c r="A113" s="10" t="s">
        <v>621</v>
      </c>
    </row>
    <row r="114" spans="1:8" ht="12.75" customHeight="1">
      <c r="A114" s="842" t="s">
        <v>661</v>
      </c>
      <c r="B114" s="842"/>
      <c r="C114" s="842"/>
      <c r="D114" s="842"/>
      <c r="E114" s="842"/>
      <c r="F114" s="842"/>
      <c r="G114" s="842"/>
      <c r="H114" s="842"/>
    </row>
    <row r="115" spans="1:8">
      <c r="A115" s="842"/>
      <c r="B115" s="842"/>
      <c r="C115" s="842"/>
      <c r="D115" s="842"/>
      <c r="E115" s="842"/>
      <c r="F115" s="842"/>
      <c r="G115" s="842"/>
      <c r="H115" s="842"/>
    </row>
    <row r="116" spans="1:8" ht="12.75" customHeight="1">
      <c r="A116" s="842" t="s">
        <v>838</v>
      </c>
      <c r="B116" s="842"/>
      <c r="C116" s="842"/>
      <c r="D116" s="842"/>
      <c r="E116" s="842"/>
      <c r="F116" s="842"/>
      <c r="G116" s="842"/>
      <c r="H116" s="842"/>
    </row>
    <row r="117" spans="1:8">
      <c r="A117" s="842"/>
      <c r="B117" s="842"/>
      <c r="C117" s="842"/>
      <c r="D117" s="842"/>
      <c r="E117" s="842"/>
      <c r="F117" s="842"/>
      <c r="G117" s="842"/>
      <c r="H117" s="842"/>
    </row>
    <row r="118" spans="1:8">
      <c r="A118" s="842"/>
      <c r="B118" s="842"/>
      <c r="C118" s="842"/>
      <c r="D118" s="842"/>
      <c r="E118" s="842"/>
      <c r="F118" s="842"/>
      <c r="G118" s="842"/>
      <c r="H118" s="842"/>
    </row>
    <row r="119" spans="1:8">
      <c r="A119" s="10" t="s">
        <v>218</v>
      </c>
    </row>
    <row r="120" spans="1:8">
      <c r="A120" s="842" t="s">
        <v>887</v>
      </c>
      <c r="B120" s="842"/>
      <c r="C120" s="842"/>
      <c r="D120" s="842"/>
      <c r="E120" s="842"/>
      <c r="F120" s="842"/>
      <c r="G120" s="842"/>
      <c r="H120" s="842"/>
    </row>
    <row r="121" spans="1:8">
      <c r="A121" s="842"/>
      <c r="B121" s="842"/>
      <c r="C121" s="842"/>
      <c r="D121" s="842"/>
      <c r="E121" s="842"/>
      <c r="F121" s="842"/>
      <c r="G121" s="842"/>
      <c r="H121" s="842"/>
    </row>
    <row r="122" spans="1:8">
      <c r="A122" s="842" t="s">
        <v>894</v>
      </c>
      <c r="B122" s="842"/>
      <c r="C122" s="842"/>
      <c r="D122" s="842"/>
      <c r="E122" s="842"/>
      <c r="F122" s="842"/>
      <c r="G122" s="842"/>
      <c r="H122" s="842"/>
    </row>
    <row r="123" spans="1:8">
      <c r="A123" s="842"/>
      <c r="B123" s="842"/>
      <c r="C123" s="842"/>
      <c r="D123" s="842"/>
      <c r="E123" s="842"/>
      <c r="F123" s="842"/>
      <c r="G123" s="842"/>
      <c r="H123" s="842"/>
    </row>
  </sheetData>
  <mergeCells count="36">
    <mergeCell ref="B82:H83"/>
    <mergeCell ref="A120:H121"/>
    <mergeCell ref="A122:H123"/>
    <mergeCell ref="A114:H115"/>
    <mergeCell ref="A116:H118"/>
    <mergeCell ref="A109:H112"/>
    <mergeCell ref="B96:H97"/>
    <mergeCell ref="A108:D108"/>
    <mergeCell ref="B87:H88"/>
    <mergeCell ref="A95:B95"/>
    <mergeCell ref="B80:H81"/>
    <mergeCell ref="B42:H44"/>
    <mergeCell ref="B45:H46"/>
    <mergeCell ref="B47:H48"/>
    <mergeCell ref="B49:H50"/>
    <mergeCell ref="A69:B69"/>
    <mergeCell ref="B72:H73"/>
    <mergeCell ref="B74:H75"/>
    <mergeCell ref="B76:H77"/>
    <mergeCell ref="B78:H79"/>
    <mergeCell ref="A1:H1"/>
    <mergeCell ref="A2:H4"/>
    <mergeCell ref="A20:F22"/>
    <mergeCell ref="A36:F38"/>
    <mergeCell ref="B51:H53"/>
    <mergeCell ref="B54:H57"/>
    <mergeCell ref="B106:D106"/>
    <mergeCell ref="B104:H105"/>
    <mergeCell ref="B100:H101"/>
    <mergeCell ref="B98:H99"/>
    <mergeCell ref="B58:H60"/>
    <mergeCell ref="B61:H64"/>
    <mergeCell ref="B91:H92"/>
    <mergeCell ref="B84:H86"/>
    <mergeCell ref="B102:D102"/>
    <mergeCell ref="B103:D103"/>
  </mergeCells>
  <phoneticPr fontId="3" type="noConversion"/>
  <pageMargins left="0.5" right="0.5" top="0.5" bottom="0.5" header="0.5" footer="0.5"/>
  <pageSetup orientation="portrait" horizontalDpi="4294967293" verticalDpi="4294967293"/>
  <headerFooter alignWithMargins="0"/>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13"/>
    <pageSetUpPr fitToPage="1"/>
  </sheetPr>
  <dimension ref="A1:W303"/>
  <sheetViews>
    <sheetView topLeftCell="A96" zoomScale="107" zoomScaleNormal="107" workbookViewId="0">
      <pane xSplit="1" topLeftCell="C1" activePane="topRight" state="frozen"/>
      <selection activeCell="A4" sqref="A4"/>
      <selection pane="topRight" activeCell="R41" sqref="R41"/>
    </sheetView>
  </sheetViews>
  <sheetFormatPr baseColWidth="10" defaultColWidth="7.33203125" defaultRowHeight="13"/>
  <cols>
    <col min="1" max="1" width="39" customWidth="1"/>
    <col min="2" max="6" width="10.33203125" customWidth="1"/>
    <col min="7" max="12" width="10.5" customWidth="1"/>
    <col min="13" max="14" width="11.33203125" customWidth="1"/>
    <col min="15" max="15" width="21.6640625" customWidth="1"/>
    <col min="18" max="18" width="17.83203125" customWidth="1"/>
    <col min="21" max="21" width="18.6640625" customWidth="1"/>
  </cols>
  <sheetData>
    <row r="1" spans="1:23" ht="27.75" customHeight="1">
      <c r="A1" s="36" t="s">
        <v>199</v>
      </c>
      <c r="B1" s="32"/>
      <c r="C1" s="32"/>
      <c r="D1" s="32"/>
      <c r="E1" s="32"/>
      <c r="F1" s="32"/>
      <c r="G1" s="32"/>
      <c r="H1" s="32"/>
      <c r="I1" s="487"/>
      <c r="J1" s="488"/>
    </row>
    <row r="2" spans="1:23" ht="12.75" customHeight="1">
      <c r="A2" s="852" t="s">
        <v>678</v>
      </c>
      <c r="B2" s="838"/>
      <c r="C2" s="838"/>
      <c r="D2" s="838"/>
      <c r="E2" s="838"/>
      <c r="F2" s="838"/>
      <c r="G2" s="838"/>
      <c r="I2" s="10"/>
      <c r="J2" s="22"/>
      <c r="K2" s="22"/>
      <c r="L2" s="22"/>
      <c r="M2" s="22"/>
      <c r="N2" s="22"/>
    </row>
    <row r="3" spans="1:23">
      <c r="A3" s="838"/>
      <c r="B3" s="838"/>
      <c r="C3" s="838"/>
      <c r="D3" s="838"/>
      <c r="E3" s="838"/>
      <c r="F3" s="838"/>
      <c r="G3" s="838"/>
      <c r="H3" s="27"/>
      <c r="I3" s="35"/>
      <c r="J3" s="5"/>
      <c r="K3" s="5"/>
      <c r="L3" s="5"/>
      <c r="M3" s="5"/>
      <c r="N3" s="5"/>
    </row>
    <row r="4" spans="1:23">
      <c r="A4" s="838"/>
      <c r="B4" s="838"/>
      <c r="C4" s="838"/>
      <c r="D4" s="838"/>
      <c r="E4" s="838"/>
      <c r="F4" s="838"/>
      <c r="G4" s="838"/>
      <c r="J4" s="5"/>
      <c r="K4" s="5"/>
      <c r="L4" s="5"/>
      <c r="M4" s="5"/>
      <c r="N4" s="5"/>
    </row>
    <row r="5" spans="1:23">
      <c r="A5" s="837"/>
      <c r="B5" s="837"/>
      <c r="C5" s="837"/>
      <c r="D5" s="837"/>
      <c r="E5" s="837"/>
      <c r="F5" s="837"/>
      <c r="G5" s="837"/>
      <c r="J5" s="5"/>
      <c r="K5" s="5"/>
      <c r="L5" s="5"/>
      <c r="M5" s="5"/>
      <c r="N5" s="5"/>
    </row>
    <row r="6" spans="1:23">
      <c r="H6" s="30"/>
      <c r="I6" s="10"/>
      <c r="J6" s="11"/>
      <c r="K6" s="11"/>
      <c r="L6" s="766"/>
      <c r="M6" s="11"/>
      <c r="N6" s="11"/>
    </row>
    <row r="7" spans="1:23" ht="16">
      <c r="A7" s="4" t="s">
        <v>326</v>
      </c>
      <c r="B7" s="2"/>
      <c r="C7" s="2"/>
      <c r="D7" s="2"/>
      <c r="E7" s="2"/>
      <c r="F7" s="2"/>
    </row>
    <row r="8" spans="1:23">
      <c r="A8" s="10"/>
      <c r="B8" s="6" t="s">
        <v>629</v>
      </c>
    </row>
    <row r="9" spans="1:23">
      <c r="A9" s="613" t="s">
        <v>267</v>
      </c>
      <c r="B9" s="761" t="s">
        <v>310</v>
      </c>
      <c r="C9" s="761" t="s">
        <v>339</v>
      </c>
      <c r="D9" s="761" t="s">
        <v>731</v>
      </c>
      <c r="E9" s="761" t="s">
        <v>94</v>
      </c>
      <c r="F9" s="761" t="s">
        <v>103</v>
      </c>
      <c r="G9" s="761" t="s">
        <v>970</v>
      </c>
      <c r="H9" s="761" t="s">
        <v>955</v>
      </c>
      <c r="I9" s="761" t="s">
        <v>1123</v>
      </c>
      <c r="J9" s="761" t="s">
        <v>1154</v>
      </c>
      <c r="K9" s="761" t="s">
        <v>1196</v>
      </c>
      <c r="L9" s="761" t="s">
        <v>1251</v>
      </c>
      <c r="M9" s="761" t="s">
        <v>1261</v>
      </c>
      <c r="N9" s="761" t="s">
        <v>1277</v>
      </c>
    </row>
    <row r="10" spans="1:23" s="29" customFormat="1" ht="14" thickBot="1">
      <c r="A10" s="26" t="s">
        <v>1018</v>
      </c>
      <c r="B10" s="41">
        <v>22115225</v>
      </c>
      <c r="C10" s="27">
        <v>22429291</v>
      </c>
      <c r="D10" s="27">
        <v>21892008.760000002</v>
      </c>
      <c r="E10" s="27">
        <v>22594374</v>
      </c>
      <c r="F10" s="27">
        <v>22385615</v>
      </c>
      <c r="G10" s="27">
        <v>21613330</v>
      </c>
      <c r="H10" s="576">
        <v>21910033</v>
      </c>
      <c r="I10" s="710">
        <v>21424503</v>
      </c>
      <c r="J10" s="770">
        <v>22552894</v>
      </c>
      <c r="K10" s="770">
        <v>20572559</v>
      </c>
      <c r="L10" s="768">
        <v>22276346</v>
      </c>
      <c r="M10" s="768">
        <v>22142753</v>
      </c>
      <c r="N10" s="768">
        <v>20227685</v>
      </c>
      <c r="O10"/>
      <c r="P10"/>
      <c r="Q10"/>
      <c r="R10"/>
      <c r="V10"/>
      <c r="W10"/>
    </row>
    <row r="11" spans="1:23" s="29" customFormat="1">
      <c r="A11" s="26" t="s">
        <v>1015</v>
      </c>
      <c r="B11" s="41">
        <v>523794</v>
      </c>
      <c r="C11" s="41">
        <v>429990</v>
      </c>
      <c r="D11" s="41">
        <v>443344</v>
      </c>
      <c r="E11" s="41">
        <v>353345</v>
      </c>
      <c r="F11" s="41">
        <v>314891</v>
      </c>
      <c r="G11" s="41">
        <v>310000</v>
      </c>
      <c r="H11" s="41">
        <v>310000</v>
      </c>
      <c r="I11" s="711">
        <v>310000</v>
      </c>
      <c r="J11" s="711">
        <v>310000</v>
      </c>
      <c r="K11" s="713">
        <v>300000</v>
      </c>
      <c r="L11" s="713">
        <v>300000</v>
      </c>
      <c r="M11" s="713">
        <v>300000</v>
      </c>
      <c r="N11" s="713">
        <v>0</v>
      </c>
      <c r="V11"/>
      <c r="W11"/>
    </row>
    <row r="12" spans="1:23" s="29" customFormat="1" ht="15">
      <c r="A12" s="33" t="s">
        <v>1016</v>
      </c>
      <c r="B12" s="41">
        <v>41680</v>
      </c>
      <c r="C12" s="27">
        <v>50869</v>
      </c>
      <c r="D12" s="409">
        <f>30252+8689</f>
        <v>38941</v>
      </c>
      <c r="E12" s="555">
        <f xml:space="preserve"> 47200+ 31154</f>
        <v>78354</v>
      </c>
      <c r="F12" s="555">
        <f>34960+31531</f>
        <v>66491</v>
      </c>
      <c r="G12" s="555">
        <v>66000</v>
      </c>
      <c r="H12" s="555">
        <v>31835</v>
      </c>
      <c r="I12" s="712">
        <v>31835</v>
      </c>
      <c r="J12" s="712">
        <v>31835</v>
      </c>
      <c r="K12" s="713">
        <v>31800</v>
      </c>
      <c r="L12" s="769">
        <v>11355</v>
      </c>
      <c r="M12" s="775">
        <v>11851</v>
      </c>
      <c r="N12" s="785">
        <v>47285</v>
      </c>
      <c r="V12"/>
      <c r="W12"/>
    </row>
    <row r="13" spans="1:23" s="29" customFormat="1">
      <c r="A13" s="26" t="s">
        <v>69</v>
      </c>
      <c r="B13" s="41">
        <v>4242211</v>
      </c>
      <c r="C13" s="380">
        <v>4450804</v>
      </c>
      <c r="D13" s="27">
        <v>4139840</v>
      </c>
      <c r="E13" s="27">
        <v>3813050</v>
      </c>
      <c r="F13" s="27">
        <v>4115865</v>
      </c>
      <c r="G13" s="555">
        <v>3654240</v>
      </c>
      <c r="H13" s="555">
        <v>3320096</v>
      </c>
      <c r="I13" s="713">
        <v>3756420</v>
      </c>
      <c r="J13" s="713">
        <v>3604293</v>
      </c>
      <c r="K13" s="713">
        <v>3001400</v>
      </c>
      <c r="L13" s="713">
        <v>3578299</v>
      </c>
      <c r="M13" s="713">
        <v>2997780</v>
      </c>
      <c r="N13" s="713">
        <v>3761060</v>
      </c>
      <c r="V13"/>
      <c r="W13"/>
    </row>
    <row r="14" spans="1:23" s="29" customFormat="1">
      <c r="A14" s="26" t="s">
        <v>697</v>
      </c>
      <c r="B14" s="41">
        <v>4825</v>
      </c>
      <c r="C14" s="27">
        <v>4317</v>
      </c>
      <c r="D14" s="26">
        <f>5168</f>
        <v>5168</v>
      </c>
      <c r="E14" s="451">
        <v>3965</v>
      </c>
      <c r="F14" s="451">
        <v>4910</v>
      </c>
      <c r="G14" s="100">
        <v>2768</v>
      </c>
      <c r="H14" s="555">
        <v>2328</v>
      </c>
      <c r="I14" s="712">
        <v>4172</v>
      </c>
      <c r="J14" s="712">
        <v>4902</v>
      </c>
      <c r="K14" s="714">
        <v>4126</v>
      </c>
      <c r="L14" s="714">
        <f>'Renewable Energy'!K22</f>
        <v>4341</v>
      </c>
      <c r="M14" s="714">
        <v>3863</v>
      </c>
      <c r="N14" s="714">
        <v>4135</v>
      </c>
      <c r="V14"/>
      <c r="W14"/>
    </row>
    <row r="15" spans="1:23" s="29" customFormat="1">
      <c r="A15" s="100" t="s">
        <v>1260</v>
      </c>
      <c r="B15" s="118">
        <v>1000.6</v>
      </c>
      <c r="C15" s="27">
        <f>1012.7+1953</f>
        <v>2965.7</v>
      </c>
      <c r="D15" s="621">
        <f>938.8+10634</f>
        <v>11572.8</v>
      </c>
      <c r="E15" s="622">
        <v>11005.9</v>
      </c>
      <c r="F15" s="622">
        <v>10627.1</v>
      </c>
      <c r="G15" s="623">
        <v>143023.29999999999</v>
      </c>
      <c r="H15" s="621">
        <f>940+10089+7882+240451</f>
        <v>259362</v>
      </c>
      <c r="I15" s="715">
        <v>606777</v>
      </c>
      <c r="J15" s="715">
        <v>1031541.32018</v>
      </c>
      <c r="K15" s="713">
        <v>1034979</v>
      </c>
      <c r="L15" s="713">
        <f>'Renewable Energy'!K18</f>
        <v>1395497</v>
      </c>
      <c r="M15" s="713">
        <v>1786463</v>
      </c>
      <c r="N15" s="713">
        <v>1703031.2</v>
      </c>
      <c r="O15"/>
      <c r="P15"/>
      <c r="V15"/>
      <c r="W15"/>
    </row>
    <row r="16" spans="1:23" s="29" customFormat="1">
      <c r="A16" s="70" t="s">
        <v>491</v>
      </c>
      <c r="B16" s="117">
        <f t="shared" ref="B16:G16" si="0">((B10-B11)+B13+B14+B15)</f>
        <v>25839467.600000001</v>
      </c>
      <c r="C16" s="117">
        <f t="shared" si="0"/>
        <v>26457387.699999999</v>
      </c>
      <c r="D16" s="117">
        <f t="shared" si="0"/>
        <v>25605245.560000002</v>
      </c>
      <c r="E16" s="117">
        <f t="shared" si="0"/>
        <v>26069049.899999999</v>
      </c>
      <c r="F16" s="117">
        <f t="shared" si="0"/>
        <v>26202126.100000001</v>
      </c>
      <c r="G16" s="117">
        <f t="shared" si="0"/>
        <v>25103361.300000001</v>
      </c>
      <c r="H16" s="117">
        <f t="shared" ref="H16:M16" si="1">((H10-H11)+H13+H14+H15)</f>
        <v>25181819</v>
      </c>
      <c r="I16" s="117">
        <f t="shared" si="1"/>
        <v>25481872</v>
      </c>
      <c r="J16" s="117">
        <f t="shared" si="1"/>
        <v>26883630.320179999</v>
      </c>
      <c r="K16" s="117">
        <f t="shared" si="1"/>
        <v>24313064</v>
      </c>
      <c r="L16" s="117">
        <f t="shared" si="1"/>
        <v>26954483</v>
      </c>
      <c r="M16" s="117">
        <f t="shared" si="1"/>
        <v>26630859</v>
      </c>
      <c r="N16" s="117">
        <f>((N10-N11)+N13+N14+N15)</f>
        <v>25695911.199999999</v>
      </c>
      <c r="O16" s="117"/>
      <c r="P16"/>
    </row>
    <row r="17" spans="1:16">
      <c r="A17" s="29" t="s">
        <v>527</v>
      </c>
      <c r="B17" s="44">
        <f t="shared" ref="B17:G17" si="2">SUM(B13:B15)</f>
        <v>4248036.5999999996</v>
      </c>
      <c r="C17" s="44">
        <f t="shared" si="2"/>
        <v>4458086.7</v>
      </c>
      <c r="D17" s="44">
        <f t="shared" si="2"/>
        <v>4156580.8</v>
      </c>
      <c r="E17" s="44">
        <f t="shared" si="2"/>
        <v>3828020.9</v>
      </c>
      <c r="F17" s="44">
        <f>SUM(F13:F15)</f>
        <v>4131402.1</v>
      </c>
      <c r="G17" s="44">
        <f t="shared" si="2"/>
        <v>3800031.3</v>
      </c>
      <c r="H17" s="44">
        <f t="shared" ref="H17:M17" si="3">SUM(H13:H15)</f>
        <v>3581786</v>
      </c>
      <c r="I17" s="44">
        <f t="shared" si="3"/>
        <v>4367369</v>
      </c>
      <c r="J17" s="44">
        <f t="shared" si="3"/>
        <v>4640736.3201799998</v>
      </c>
      <c r="K17" s="44">
        <f t="shared" si="3"/>
        <v>4040505</v>
      </c>
      <c r="L17" s="44">
        <f t="shared" si="3"/>
        <v>4978137</v>
      </c>
      <c r="M17" s="44">
        <f t="shared" si="3"/>
        <v>4788106</v>
      </c>
      <c r="N17" s="44">
        <f>SUM(N13:N15)</f>
        <v>5468226.2000000002</v>
      </c>
    </row>
    <row r="18" spans="1:16">
      <c r="A18" t="s">
        <v>408</v>
      </c>
      <c r="B18" s="38">
        <f t="shared" ref="B18:G18" si="4">B12</f>
        <v>41680</v>
      </c>
      <c r="C18" s="38">
        <f t="shared" si="4"/>
        <v>50869</v>
      </c>
      <c r="D18" s="38">
        <f t="shared" si="4"/>
        <v>38941</v>
      </c>
      <c r="E18" s="38">
        <f t="shared" si="4"/>
        <v>78354</v>
      </c>
      <c r="F18" s="38">
        <f t="shared" si="4"/>
        <v>66491</v>
      </c>
      <c r="G18" s="38">
        <f t="shared" si="4"/>
        <v>66000</v>
      </c>
      <c r="H18" s="38">
        <f>H12</f>
        <v>31835</v>
      </c>
      <c r="I18" s="38">
        <f>I12</f>
        <v>31835</v>
      </c>
      <c r="J18" s="38">
        <f>J12</f>
        <v>31835</v>
      </c>
      <c r="K18" s="38">
        <f>K12</f>
        <v>31800</v>
      </c>
      <c r="L18" s="38">
        <f>L6</f>
        <v>0</v>
      </c>
      <c r="M18" s="38">
        <f>M6</f>
        <v>0</v>
      </c>
      <c r="N18" s="38">
        <f>N6</f>
        <v>0</v>
      </c>
    </row>
    <row r="19" spans="1:16">
      <c r="A19" t="s">
        <v>1017</v>
      </c>
      <c r="B19" s="38">
        <f t="shared" ref="B19:G19" si="5">B16-(B17+B18)</f>
        <v>21549751</v>
      </c>
      <c r="C19" s="38">
        <f t="shared" si="5"/>
        <v>21948432</v>
      </c>
      <c r="D19" s="38">
        <f t="shared" si="5"/>
        <v>21409723.760000002</v>
      </c>
      <c r="E19" s="38">
        <f t="shared" si="5"/>
        <v>22162675</v>
      </c>
      <c r="F19" s="38">
        <f t="shared" si="5"/>
        <v>22004233</v>
      </c>
      <c r="G19" s="38">
        <f t="shared" si="5"/>
        <v>21237330</v>
      </c>
      <c r="H19" s="38">
        <f t="shared" ref="H19:M19" si="6">H16-(H17+H18)</f>
        <v>21568198</v>
      </c>
      <c r="I19" s="38">
        <f t="shared" si="6"/>
        <v>21082668</v>
      </c>
      <c r="J19" s="38">
        <f t="shared" si="6"/>
        <v>22211059</v>
      </c>
      <c r="K19" s="38">
        <f t="shared" si="6"/>
        <v>20240759</v>
      </c>
      <c r="L19" s="38">
        <f t="shared" si="6"/>
        <v>21976346</v>
      </c>
      <c r="M19" s="38">
        <f t="shared" si="6"/>
        <v>21842753</v>
      </c>
      <c r="N19" s="38">
        <f>N16-(N17+N18)</f>
        <v>20227685</v>
      </c>
      <c r="O19" s="786"/>
    </row>
    <row r="21" spans="1:16">
      <c r="A21" s="119" t="s">
        <v>1002</v>
      </c>
    </row>
    <row r="22" spans="1:16" s="29" customFormat="1" ht="12.75" customHeight="1">
      <c r="A22" s="88" t="s">
        <v>422</v>
      </c>
      <c r="B22" s="461">
        <v>1.54</v>
      </c>
      <c r="C22" s="385">
        <v>1.8</v>
      </c>
      <c r="D22" s="98">
        <v>1.6</v>
      </c>
      <c r="E22" s="98">
        <v>3.5</v>
      </c>
      <c r="F22" s="98">
        <v>3.9</v>
      </c>
      <c r="G22" s="558">
        <v>3.4</v>
      </c>
      <c r="H22" s="88">
        <v>2.83</v>
      </c>
      <c r="I22" s="88">
        <v>2.83</v>
      </c>
      <c r="J22" s="88">
        <v>0</v>
      </c>
      <c r="K22" s="88">
        <v>0</v>
      </c>
      <c r="L22" s="88">
        <v>0</v>
      </c>
      <c r="M22" s="88">
        <v>0</v>
      </c>
      <c r="N22" s="88">
        <v>0</v>
      </c>
      <c r="O22" s="29" t="s">
        <v>1280</v>
      </c>
    </row>
    <row r="23" spans="1:16" s="29" customFormat="1" ht="12.75" customHeight="1">
      <c r="A23" s="88" t="s">
        <v>318</v>
      </c>
      <c r="B23" s="461">
        <v>35.94</v>
      </c>
      <c r="C23" s="385">
        <v>37.57</v>
      </c>
      <c r="D23" s="368">
        <v>37.14</v>
      </c>
      <c r="E23" s="88">
        <v>39.700000000000003</v>
      </c>
      <c r="F23" s="88">
        <v>40.299999999999997</v>
      </c>
      <c r="G23" s="88">
        <v>39.5</v>
      </c>
      <c r="H23" s="88">
        <v>45.33</v>
      </c>
      <c r="I23" s="88">
        <v>45.33</v>
      </c>
      <c r="J23" s="88">
        <v>42</v>
      </c>
      <c r="K23" s="88">
        <v>32</v>
      </c>
      <c r="L23" s="88">
        <f>34.7+5.6</f>
        <v>40.300000000000004</v>
      </c>
      <c r="M23" s="88">
        <f>34.7+5.6</f>
        <v>40.300000000000004</v>
      </c>
      <c r="N23" s="88">
        <v>61</v>
      </c>
    </row>
    <row r="24" spans="1:16" s="29" customFormat="1" ht="12.75" customHeight="1">
      <c r="A24" s="88" t="s">
        <v>1001</v>
      </c>
      <c r="B24" s="461"/>
      <c r="C24" s="385"/>
      <c r="D24" s="368"/>
      <c r="E24" s="98">
        <v>0.3</v>
      </c>
      <c r="F24" s="98">
        <v>0.1</v>
      </c>
      <c r="G24" s="29">
        <v>0.4</v>
      </c>
      <c r="H24" s="88">
        <v>0.38</v>
      </c>
      <c r="I24" s="88">
        <v>0.38</v>
      </c>
      <c r="J24" s="88">
        <v>0</v>
      </c>
      <c r="K24" s="88">
        <v>0</v>
      </c>
      <c r="L24" s="88">
        <v>0</v>
      </c>
      <c r="M24" s="88">
        <v>0</v>
      </c>
      <c r="N24" s="88">
        <v>0</v>
      </c>
    </row>
    <row r="25" spans="1:16" s="29" customFormat="1">
      <c r="A25" s="88" t="s">
        <v>421</v>
      </c>
      <c r="B25" s="461">
        <v>54.16</v>
      </c>
      <c r="C25" s="385">
        <v>48.01</v>
      </c>
      <c r="D25" s="368">
        <v>49.68</v>
      </c>
      <c r="E25" s="464">
        <v>54.5</v>
      </c>
      <c r="F25" s="464">
        <v>50.1</v>
      </c>
      <c r="G25" s="464">
        <v>51.9</v>
      </c>
      <c r="H25" s="88">
        <v>6.52</v>
      </c>
      <c r="I25" s="88">
        <v>6.52</v>
      </c>
      <c r="J25" s="88">
        <v>13</v>
      </c>
      <c r="K25" s="88">
        <v>14</v>
      </c>
      <c r="L25" s="88">
        <v>13.8</v>
      </c>
      <c r="M25" s="88">
        <v>13.8</v>
      </c>
      <c r="N25" s="88">
        <v>28</v>
      </c>
    </row>
    <row r="26" spans="1:16" s="29" customFormat="1">
      <c r="A26" s="88" t="s">
        <v>364</v>
      </c>
      <c r="B26" s="461">
        <v>0</v>
      </c>
      <c r="C26" s="385">
        <v>0</v>
      </c>
      <c r="D26" s="98">
        <v>0</v>
      </c>
      <c r="E26" s="462">
        <v>0</v>
      </c>
      <c r="F26" s="462">
        <v>0</v>
      </c>
      <c r="G26" s="559">
        <v>0</v>
      </c>
      <c r="H26" s="88">
        <v>0.36</v>
      </c>
      <c r="I26" s="88">
        <v>0.36</v>
      </c>
      <c r="J26" s="88">
        <v>0</v>
      </c>
      <c r="K26" s="88">
        <v>0</v>
      </c>
      <c r="L26" s="88">
        <v>0.4</v>
      </c>
      <c r="M26" s="88">
        <v>0.4</v>
      </c>
      <c r="N26" s="88">
        <v>6</v>
      </c>
      <c r="O26" s="29" t="s">
        <v>1281</v>
      </c>
    </row>
    <row r="27" spans="1:16" s="29" customFormat="1">
      <c r="A27" s="88" t="s">
        <v>319</v>
      </c>
      <c r="B27" s="461">
        <v>0</v>
      </c>
      <c r="C27" s="385">
        <v>0</v>
      </c>
      <c r="D27" s="98">
        <v>0</v>
      </c>
      <c r="E27" s="462">
        <v>0</v>
      </c>
      <c r="F27" s="462">
        <v>0</v>
      </c>
      <c r="G27" s="559">
        <v>0</v>
      </c>
      <c r="H27" s="88">
        <v>0</v>
      </c>
      <c r="I27" s="88">
        <v>0</v>
      </c>
      <c r="J27" s="88">
        <v>0</v>
      </c>
      <c r="K27" s="88">
        <v>0</v>
      </c>
      <c r="L27" s="88">
        <v>0</v>
      </c>
      <c r="M27" s="88">
        <v>0</v>
      </c>
      <c r="N27" s="88">
        <v>0</v>
      </c>
    </row>
    <row r="28" spans="1:16" s="29" customFormat="1">
      <c r="A28" s="88" t="s">
        <v>154</v>
      </c>
      <c r="B28" s="461">
        <v>0.02</v>
      </c>
      <c r="C28" s="385">
        <v>0.02</v>
      </c>
      <c r="D28" s="368">
        <v>0.02</v>
      </c>
      <c r="E28" s="88">
        <v>0.2</v>
      </c>
      <c r="F28" s="88">
        <v>0</v>
      </c>
      <c r="G28" s="557">
        <v>0.03</v>
      </c>
      <c r="H28" s="87">
        <v>0</v>
      </c>
      <c r="I28" s="88">
        <v>1</v>
      </c>
      <c r="J28" s="88">
        <v>1</v>
      </c>
      <c r="K28" s="88">
        <v>0.3</v>
      </c>
      <c r="L28" s="88">
        <v>0</v>
      </c>
      <c r="M28" s="88">
        <v>0</v>
      </c>
      <c r="N28" s="88">
        <v>5</v>
      </c>
    </row>
    <row r="29" spans="1:16" s="29" customFormat="1">
      <c r="A29" s="88" t="s">
        <v>90</v>
      </c>
      <c r="B29" s="461">
        <v>0.03</v>
      </c>
      <c r="C29" s="385">
        <v>0.17</v>
      </c>
      <c r="D29" s="403">
        <v>7.0000000000000007E-2</v>
      </c>
      <c r="E29" s="88">
        <v>0</v>
      </c>
      <c r="F29" s="88">
        <v>0.1</v>
      </c>
      <c r="G29" s="29">
        <v>7.0000000000000007E-2</v>
      </c>
      <c r="H29" s="88">
        <v>0.09</v>
      </c>
      <c r="I29" s="88">
        <v>0.09</v>
      </c>
      <c r="J29" s="88">
        <v>0</v>
      </c>
      <c r="K29" s="88">
        <v>0</v>
      </c>
      <c r="L29" s="88">
        <v>0</v>
      </c>
      <c r="M29" s="88">
        <v>0</v>
      </c>
      <c r="N29" s="88">
        <v>0</v>
      </c>
    </row>
    <row r="30" spans="1:16" s="29" customFormat="1">
      <c r="A30" s="88" t="s">
        <v>995</v>
      </c>
      <c r="B30" s="461">
        <v>6.35</v>
      </c>
      <c r="C30" s="385">
        <v>9.5500000000000007</v>
      </c>
      <c r="D30" s="368">
        <v>9.23</v>
      </c>
      <c r="E30" s="88">
        <v>1.8</v>
      </c>
      <c r="F30" s="88">
        <v>5.5</v>
      </c>
      <c r="G30" s="88">
        <v>4.5</v>
      </c>
      <c r="H30" s="88">
        <v>1E-4</v>
      </c>
      <c r="I30" s="88">
        <v>1E-4</v>
      </c>
      <c r="J30" s="88">
        <v>0</v>
      </c>
      <c r="K30" s="88">
        <v>0</v>
      </c>
      <c r="L30" s="88">
        <v>0</v>
      </c>
      <c r="M30" s="88">
        <v>0</v>
      </c>
      <c r="N30" s="88">
        <v>0</v>
      </c>
      <c r="O30"/>
      <c r="P30"/>
    </row>
    <row r="31" spans="1:16" s="29" customFormat="1">
      <c r="A31" s="88" t="s">
        <v>997</v>
      </c>
      <c r="B31" s="461"/>
      <c r="C31" s="385"/>
      <c r="D31" s="368"/>
      <c r="E31" s="88"/>
      <c r="F31" s="88"/>
      <c r="G31" s="88">
        <v>0.3</v>
      </c>
      <c r="H31" s="88">
        <v>0.28999999999999998</v>
      </c>
      <c r="I31" s="88">
        <v>0.28999999999999998</v>
      </c>
      <c r="J31" s="88">
        <v>0</v>
      </c>
      <c r="K31" s="88">
        <v>0</v>
      </c>
      <c r="L31" s="88">
        <v>0</v>
      </c>
      <c r="M31" s="88">
        <v>0</v>
      </c>
      <c r="N31" s="88">
        <v>0</v>
      </c>
      <c r="O31"/>
      <c r="P31"/>
    </row>
    <row r="32" spans="1:16">
      <c r="A32" s="88" t="s">
        <v>563</v>
      </c>
      <c r="B32" s="461">
        <v>1.96</v>
      </c>
      <c r="C32" s="385">
        <v>2.89</v>
      </c>
      <c r="D32" s="98">
        <v>2.2599999999999998</v>
      </c>
      <c r="E32" s="463">
        <v>0</v>
      </c>
      <c r="F32" s="463"/>
      <c r="G32" s="560">
        <v>1.71</v>
      </c>
      <c r="H32" s="88">
        <v>44.12</v>
      </c>
      <c r="I32" s="88">
        <v>44.12</v>
      </c>
      <c r="J32" s="88">
        <v>44</v>
      </c>
      <c r="K32" s="88">
        <v>53.7</v>
      </c>
      <c r="L32" s="88">
        <v>45.5</v>
      </c>
      <c r="M32" s="88">
        <v>45.5</v>
      </c>
      <c r="N32" s="88">
        <v>0</v>
      </c>
    </row>
    <row r="33" spans="1:16">
      <c r="A33" s="45" t="s">
        <v>268</v>
      </c>
      <c r="B33" s="188">
        <f>SUM(B22:B32)</f>
        <v>99.999999999999972</v>
      </c>
      <c r="C33" s="188">
        <f>SUM(C22:C32)</f>
        <v>100.00999999999999</v>
      </c>
      <c r="D33" s="188">
        <f>SUM(D22:D32)</f>
        <v>100</v>
      </c>
      <c r="E33" s="188">
        <f>SUM(E22:E32)</f>
        <v>100</v>
      </c>
      <c r="F33" s="188">
        <f>SUM(F22:F32)</f>
        <v>100</v>
      </c>
      <c r="G33" s="467">
        <f>SUM(G22:G31)</f>
        <v>100.09999999999998</v>
      </c>
      <c r="H33" s="188">
        <f t="shared" ref="H33:M33" si="7">SUM(H22:H32)</f>
        <v>99.920100000000005</v>
      </c>
      <c r="I33" s="188">
        <f t="shared" si="7"/>
        <v>100.92010000000001</v>
      </c>
      <c r="J33" s="188">
        <f t="shared" si="7"/>
        <v>100</v>
      </c>
      <c r="K33" s="188">
        <f t="shared" si="7"/>
        <v>100</v>
      </c>
      <c r="L33" s="188">
        <f t="shared" si="7"/>
        <v>100</v>
      </c>
      <c r="M33" s="188">
        <f t="shared" si="7"/>
        <v>100</v>
      </c>
      <c r="N33" s="188">
        <f>SUM(N22:N32)</f>
        <v>100</v>
      </c>
    </row>
    <row r="34" spans="1:16">
      <c r="B34" s="466"/>
      <c r="E34" s="29"/>
      <c r="F34" s="29"/>
    </row>
    <row r="35" spans="1:16" s="29" customFormat="1">
      <c r="A35" s="119" t="s">
        <v>994</v>
      </c>
      <c r="B35" s="466"/>
      <c r="C35"/>
      <c r="D35"/>
      <c r="G35"/>
      <c r="O35"/>
      <c r="P35"/>
    </row>
    <row r="36" spans="1:16" s="29" customFormat="1">
      <c r="A36" s="88" t="s">
        <v>422</v>
      </c>
      <c r="B36" s="461">
        <v>3.4</v>
      </c>
      <c r="C36" s="377">
        <v>3.4</v>
      </c>
      <c r="D36" s="377">
        <v>3.3</v>
      </c>
      <c r="E36" s="465">
        <v>3.2</v>
      </c>
      <c r="F36" s="465">
        <v>2.94</v>
      </c>
      <c r="G36" s="465">
        <v>4.9000000000000004</v>
      </c>
      <c r="H36" s="88">
        <v>5.51</v>
      </c>
      <c r="I36" s="88">
        <v>5.51</v>
      </c>
      <c r="J36" s="88">
        <v>0</v>
      </c>
      <c r="K36" s="88">
        <v>0</v>
      </c>
      <c r="L36" s="88">
        <f>2.5+0.42</f>
        <v>2.92</v>
      </c>
      <c r="M36" s="88">
        <v>2.9</v>
      </c>
      <c r="N36" s="88">
        <v>0</v>
      </c>
      <c r="O36" t="s">
        <v>1252</v>
      </c>
      <c r="P36"/>
    </row>
    <row r="37" spans="1:16" s="29" customFormat="1">
      <c r="A37" s="88" t="s">
        <v>971</v>
      </c>
      <c r="B37" s="461">
        <v>5.6</v>
      </c>
      <c r="C37" s="377">
        <v>4.8</v>
      </c>
      <c r="D37" s="377">
        <f>2.4+4.1</f>
        <v>6.5</v>
      </c>
      <c r="E37" s="465">
        <v>7.6</v>
      </c>
      <c r="F37" s="465">
        <v>6.2</v>
      </c>
      <c r="G37" s="465">
        <v>7.8</v>
      </c>
      <c r="H37" s="88">
        <v>7.12</v>
      </c>
      <c r="I37" s="88">
        <v>7.12</v>
      </c>
      <c r="J37" s="88">
        <v>9</v>
      </c>
      <c r="K37" s="88">
        <v>9</v>
      </c>
      <c r="L37" s="88">
        <v>8.59</v>
      </c>
      <c r="M37" s="88">
        <v>8.4</v>
      </c>
      <c r="N37" s="88">
        <v>0</v>
      </c>
      <c r="O37"/>
      <c r="P37"/>
    </row>
    <row r="38" spans="1:16" s="29" customFormat="1">
      <c r="A38" s="88" t="s">
        <v>421</v>
      </c>
      <c r="B38" s="461">
        <v>28</v>
      </c>
      <c r="C38" s="377">
        <v>27.5</v>
      </c>
      <c r="D38" s="377">
        <v>27</v>
      </c>
      <c r="E38" s="465">
        <v>28.6</v>
      </c>
      <c r="F38" s="465">
        <v>29</v>
      </c>
      <c r="G38" s="465">
        <v>28.4</v>
      </c>
      <c r="H38" s="88">
        <v>30.45</v>
      </c>
      <c r="I38" s="88">
        <v>30.45</v>
      </c>
      <c r="J38" s="88">
        <v>30</v>
      </c>
      <c r="K38" s="88">
        <v>30</v>
      </c>
      <c r="L38" s="88">
        <v>25.02</v>
      </c>
      <c r="M38" s="88">
        <v>30.8</v>
      </c>
      <c r="N38" s="88">
        <v>0</v>
      </c>
      <c r="O38"/>
      <c r="P38"/>
    </row>
    <row r="39" spans="1:16" s="29" customFormat="1">
      <c r="A39" s="88" t="s">
        <v>364</v>
      </c>
      <c r="B39" s="461">
        <v>29.8</v>
      </c>
      <c r="C39" s="377">
        <v>29.3</v>
      </c>
      <c r="D39" s="377">
        <v>29.1</v>
      </c>
      <c r="E39" s="465">
        <v>30.3</v>
      </c>
      <c r="F39" s="465">
        <v>32</v>
      </c>
      <c r="G39" s="465">
        <v>38.5</v>
      </c>
      <c r="H39" s="88">
        <v>39.79</v>
      </c>
      <c r="I39" s="88">
        <v>39.79</v>
      </c>
      <c r="J39" s="88">
        <v>41</v>
      </c>
      <c r="K39" s="88">
        <v>41</v>
      </c>
      <c r="L39" s="88">
        <v>37.520000000000003</v>
      </c>
      <c r="M39" s="88">
        <v>48</v>
      </c>
      <c r="N39" s="88">
        <v>0</v>
      </c>
      <c r="O39"/>
      <c r="P39"/>
    </row>
    <row r="40" spans="1:16" s="29" customFormat="1" ht="12.75" customHeight="1">
      <c r="A40" s="88" t="s">
        <v>319</v>
      </c>
      <c r="B40" s="461">
        <v>11.5</v>
      </c>
      <c r="C40" s="377">
        <v>11.9</v>
      </c>
      <c r="D40" s="377">
        <v>11</v>
      </c>
      <c r="E40" s="465">
        <v>11.5</v>
      </c>
      <c r="F40" s="465">
        <v>11</v>
      </c>
      <c r="G40" s="465">
        <v>5.9</v>
      </c>
      <c r="H40" s="377">
        <v>5</v>
      </c>
      <c r="I40" s="377">
        <v>5</v>
      </c>
      <c r="J40" s="377">
        <v>0</v>
      </c>
      <c r="K40" s="377">
        <v>0</v>
      </c>
      <c r="L40" s="377">
        <v>2.35</v>
      </c>
      <c r="M40" s="377">
        <v>1.6</v>
      </c>
      <c r="N40" s="377">
        <v>0</v>
      </c>
      <c r="O40"/>
      <c r="P40"/>
    </row>
    <row r="41" spans="1:16" s="29" customFormat="1" ht="12.75" customHeight="1">
      <c r="A41" s="88" t="s">
        <v>154</v>
      </c>
      <c r="B41" s="461">
        <v>1.4</v>
      </c>
      <c r="C41" s="377">
        <v>2</v>
      </c>
      <c r="D41" s="377">
        <v>1.4</v>
      </c>
      <c r="E41" s="461">
        <v>0.7</v>
      </c>
      <c r="F41" s="461">
        <v>0.4</v>
      </c>
      <c r="G41" s="88"/>
      <c r="H41" s="88">
        <v>0.28000000000000003</v>
      </c>
      <c r="I41" s="88">
        <v>0.28000000000000003</v>
      </c>
      <c r="J41" s="88">
        <v>20</v>
      </c>
      <c r="K41" s="88">
        <v>20</v>
      </c>
      <c r="L41" s="88">
        <v>0.23</v>
      </c>
      <c r="M41" s="88">
        <v>0.7</v>
      </c>
      <c r="N41" s="88">
        <v>0</v>
      </c>
      <c r="O41"/>
      <c r="P41"/>
    </row>
    <row r="42" spans="1:16" s="29" customFormat="1">
      <c r="A42" s="88" t="s">
        <v>90</v>
      </c>
      <c r="B42" s="461">
        <v>13.5</v>
      </c>
      <c r="C42" s="377">
        <v>14.5</v>
      </c>
      <c r="D42" s="377">
        <f>9.7+3.1</f>
        <v>12.799999999999999</v>
      </c>
      <c r="E42" s="461">
        <v>9.8000000000000007</v>
      </c>
      <c r="F42" s="461">
        <v>12</v>
      </c>
      <c r="G42" s="465"/>
      <c r="H42" s="88">
        <v>0</v>
      </c>
      <c r="I42" s="88">
        <v>0</v>
      </c>
      <c r="J42" s="88">
        <v>0</v>
      </c>
      <c r="K42" s="88">
        <v>0</v>
      </c>
      <c r="L42" s="88"/>
      <c r="M42" s="88">
        <v>0</v>
      </c>
      <c r="N42" s="88">
        <v>0</v>
      </c>
      <c r="P42"/>
    </row>
    <row r="43" spans="1:16">
      <c r="A43" s="88" t="s">
        <v>996</v>
      </c>
      <c r="B43" s="461"/>
      <c r="C43" s="377"/>
      <c r="D43" s="377"/>
      <c r="E43" s="461"/>
      <c r="F43" s="461"/>
      <c r="G43" s="465">
        <v>13.2</v>
      </c>
      <c r="H43" s="88">
        <v>10</v>
      </c>
      <c r="I43" s="88">
        <v>10</v>
      </c>
      <c r="J43" s="88">
        <v>0</v>
      </c>
      <c r="K43" s="88">
        <v>0</v>
      </c>
      <c r="L43" s="88">
        <v>0.23</v>
      </c>
      <c r="M43" s="88">
        <v>0</v>
      </c>
      <c r="N43" s="88">
        <v>0</v>
      </c>
      <c r="O43" s="29"/>
    </row>
    <row r="44" spans="1:16">
      <c r="A44" s="88" t="s">
        <v>1262</v>
      </c>
      <c r="B44" s="461"/>
      <c r="C44" s="377"/>
      <c r="D44" s="377"/>
      <c r="E44" s="461"/>
      <c r="F44" s="461"/>
      <c r="G44" s="465">
        <v>0.6</v>
      </c>
      <c r="H44" s="88">
        <v>1.86</v>
      </c>
      <c r="I44" s="88">
        <v>1.86</v>
      </c>
      <c r="J44" s="88">
        <v>0</v>
      </c>
      <c r="K44" s="88">
        <v>0</v>
      </c>
      <c r="L44" s="88">
        <f>2.9+0.67</f>
        <v>3.57</v>
      </c>
      <c r="M44" s="88">
        <v>4.5</v>
      </c>
      <c r="N44" s="88">
        <v>0</v>
      </c>
    </row>
    <row r="45" spans="1:16">
      <c r="A45" s="88" t="s">
        <v>98</v>
      </c>
      <c r="B45" s="461">
        <v>3.7</v>
      </c>
      <c r="C45" s="377">
        <v>3.8</v>
      </c>
      <c r="D45" s="377">
        <f>3.8+1.2+0+2.1+0+0.3</f>
        <v>7.3999999999999995</v>
      </c>
      <c r="E45" s="461">
        <v>8.3000000000000007</v>
      </c>
      <c r="F45" s="461">
        <v>6.46</v>
      </c>
      <c r="G45" s="465"/>
      <c r="H45" s="88">
        <v>0</v>
      </c>
      <c r="I45" s="88">
        <v>0</v>
      </c>
      <c r="J45" s="88">
        <v>0</v>
      </c>
      <c r="K45" s="88">
        <v>0</v>
      </c>
      <c r="L45" s="88">
        <f>17.14+0.01+2.64</f>
        <v>19.790000000000003</v>
      </c>
      <c r="M45" s="88">
        <v>3.2</v>
      </c>
      <c r="N45" s="88">
        <v>0</v>
      </c>
    </row>
    <row r="46" spans="1:16" s="29" customFormat="1">
      <c r="A46" s="16" t="s">
        <v>268</v>
      </c>
      <c r="B46" s="189">
        <f t="shared" ref="B46:G46" si="8">SUM(B36:B45)</f>
        <v>96.9</v>
      </c>
      <c r="C46" s="189">
        <f t="shared" si="8"/>
        <v>97.2</v>
      </c>
      <c r="D46" s="188">
        <f t="shared" si="8"/>
        <v>98.500000000000014</v>
      </c>
      <c r="E46" s="188">
        <f t="shared" si="8"/>
        <v>100</v>
      </c>
      <c r="F46" s="188">
        <f t="shared" si="8"/>
        <v>100</v>
      </c>
      <c r="G46" s="467">
        <f t="shared" si="8"/>
        <v>99.3</v>
      </c>
      <c r="H46" s="188">
        <f t="shared" ref="H46:M46" si="9">SUM(H36:H45)</f>
        <v>100.01</v>
      </c>
      <c r="I46" s="188">
        <f t="shared" si="9"/>
        <v>100.01</v>
      </c>
      <c r="J46" s="188">
        <f t="shared" si="9"/>
        <v>100</v>
      </c>
      <c r="K46" s="188">
        <f t="shared" si="9"/>
        <v>100</v>
      </c>
      <c r="L46" s="188">
        <f t="shared" si="9"/>
        <v>100.22000000000001</v>
      </c>
      <c r="M46" s="188">
        <f t="shared" si="9"/>
        <v>100.1</v>
      </c>
      <c r="N46" s="188">
        <f>SUM(N36:N45)</f>
        <v>0</v>
      </c>
      <c r="O46"/>
      <c r="P46"/>
    </row>
    <row r="47" spans="1:16" s="29" customFormat="1">
      <c r="A47"/>
      <c r="B47"/>
      <c r="C47"/>
      <c r="D47"/>
      <c r="G47"/>
      <c r="O47"/>
      <c r="P47"/>
    </row>
    <row r="48" spans="1:16" s="29" customFormat="1">
      <c r="A48" s="119" t="s">
        <v>91</v>
      </c>
      <c r="B48"/>
      <c r="C48"/>
      <c r="D48"/>
      <c r="G48"/>
      <c r="O48"/>
      <c r="P48"/>
    </row>
    <row r="49" spans="1:16" s="29" customFormat="1">
      <c r="A49" s="29" t="s">
        <v>422</v>
      </c>
      <c r="B49" s="43">
        <f>B22+(B32*B36/100)</f>
        <v>1.6066400000000001</v>
      </c>
      <c r="C49" s="43">
        <f>C22+(C32*C36/100)</f>
        <v>1.8982600000000001</v>
      </c>
      <c r="D49" s="43">
        <f>D22+(D32*'Scope2 Electricity'!D36/100)</f>
        <v>1.6745800000000002</v>
      </c>
      <c r="E49" s="43">
        <f>E22+(E32*'Scope2 Electricity'!E36/100)</f>
        <v>3.5</v>
      </c>
      <c r="F49" s="43">
        <f>F22+(F32*'Scope2 Electricity'!F36/100)</f>
        <v>3.9</v>
      </c>
      <c r="G49" s="43">
        <f>G22+(G32*'Scope2 Electricity'!G36/100)</f>
        <v>3.4837899999999999</v>
      </c>
      <c r="H49" s="43">
        <f>H22+(H32*'Scope2 Electricity'!H36/100)</f>
        <v>5.261012</v>
      </c>
      <c r="I49" s="43">
        <f>I22+(I32*'Scope2 Electricity'!I36/100)</f>
        <v>5.261012</v>
      </c>
      <c r="J49" s="43">
        <f>J22+(J32*'Scope2 Electricity'!J36/100)</f>
        <v>0</v>
      </c>
      <c r="K49" s="43">
        <f>K22+(K32*'Scope2 Electricity'!K36/100)</f>
        <v>0</v>
      </c>
      <c r="L49" s="43">
        <f>L22+(L32*'Scope2 Electricity'!L36/100)</f>
        <v>1.3285999999999998</v>
      </c>
      <c r="M49" s="43">
        <f>M22+(M32*'Scope2 Electricity'!M36/100)</f>
        <v>1.3194999999999999</v>
      </c>
      <c r="N49" s="43">
        <f>N22+(N32*'Scope2 Electricity'!N36/100)</f>
        <v>0</v>
      </c>
      <c r="O49"/>
      <c r="P49"/>
    </row>
    <row r="50" spans="1:16" s="29" customFormat="1">
      <c r="A50" s="29" t="s">
        <v>318</v>
      </c>
      <c r="B50" s="43">
        <f t="shared" ref="B50:G50" si="10">B23+(B32*B37/100)</f>
        <v>36.049759999999999</v>
      </c>
      <c r="C50" s="43">
        <f t="shared" si="10"/>
        <v>37.70872</v>
      </c>
      <c r="D50" s="43">
        <f t="shared" si="10"/>
        <v>37.286900000000003</v>
      </c>
      <c r="E50" s="43">
        <f t="shared" si="10"/>
        <v>39.700000000000003</v>
      </c>
      <c r="F50" s="43">
        <f t="shared" si="10"/>
        <v>40.299999999999997</v>
      </c>
      <c r="G50" s="43">
        <f t="shared" si="10"/>
        <v>39.633380000000002</v>
      </c>
      <c r="H50" s="43">
        <f t="shared" ref="H50:M50" si="11">H23+(H32*H37/100)</f>
        <v>48.471343999999995</v>
      </c>
      <c r="I50" s="43">
        <f t="shared" si="11"/>
        <v>48.471343999999995</v>
      </c>
      <c r="J50" s="43">
        <f t="shared" si="11"/>
        <v>45.96</v>
      </c>
      <c r="K50" s="43">
        <f t="shared" si="11"/>
        <v>36.832999999999998</v>
      </c>
      <c r="L50" s="43">
        <f t="shared" si="11"/>
        <v>44.208450000000006</v>
      </c>
      <c r="M50" s="43">
        <f t="shared" si="11"/>
        <v>44.122000000000007</v>
      </c>
      <c r="N50" s="43">
        <f>N23+(N32*N37/100)</f>
        <v>61</v>
      </c>
      <c r="O50"/>
      <c r="P50"/>
    </row>
    <row r="51" spans="1:16" s="29" customFormat="1">
      <c r="A51" s="29" t="s">
        <v>421</v>
      </c>
      <c r="B51" s="43">
        <f t="shared" ref="B51:G51" si="12">B25+(B32*B38/100)</f>
        <v>54.708799999999997</v>
      </c>
      <c r="C51" s="43">
        <f t="shared" si="12"/>
        <v>48.804749999999999</v>
      </c>
      <c r="D51" s="43">
        <f t="shared" si="12"/>
        <v>50.290199999999999</v>
      </c>
      <c r="E51" s="43">
        <f t="shared" si="12"/>
        <v>54.5</v>
      </c>
      <c r="F51" s="43">
        <f t="shared" si="12"/>
        <v>50.1</v>
      </c>
      <c r="G51" s="43">
        <f t="shared" si="12"/>
        <v>52.385639999999995</v>
      </c>
      <c r="H51" s="43">
        <f t="shared" ref="H51:M51" si="13">H25+(H32*H38/100)</f>
        <v>19.954540000000001</v>
      </c>
      <c r="I51" s="43">
        <f t="shared" si="13"/>
        <v>19.954540000000001</v>
      </c>
      <c r="J51" s="43">
        <f t="shared" si="13"/>
        <v>26.2</v>
      </c>
      <c r="K51" s="43">
        <f t="shared" si="13"/>
        <v>30.11</v>
      </c>
      <c r="L51" s="43">
        <f t="shared" si="13"/>
        <v>25.184100000000001</v>
      </c>
      <c r="M51" s="43">
        <f t="shared" si="13"/>
        <v>27.814</v>
      </c>
      <c r="N51" s="43">
        <f>N25+(N32*N38/100)</f>
        <v>28</v>
      </c>
      <c r="O51"/>
      <c r="P51"/>
    </row>
    <row r="52" spans="1:16" s="29" customFormat="1">
      <c r="A52" s="29" t="s">
        <v>364</v>
      </c>
      <c r="B52" s="43">
        <f t="shared" ref="B52:G52" si="14">B26+(B32*B39/100)</f>
        <v>0.58408000000000004</v>
      </c>
      <c r="C52" s="43">
        <f t="shared" si="14"/>
        <v>0.84677000000000002</v>
      </c>
      <c r="D52" s="43">
        <f t="shared" si="14"/>
        <v>0.65765999999999991</v>
      </c>
      <c r="E52" s="43">
        <f t="shared" si="14"/>
        <v>0</v>
      </c>
      <c r="F52" s="43">
        <f t="shared" si="14"/>
        <v>0</v>
      </c>
      <c r="G52" s="43">
        <f t="shared" si="14"/>
        <v>0.65834999999999999</v>
      </c>
      <c r="H52" s="43">
        <f t="shared" ref="H52:M52" si="15">H26+(H32*H39/100)</f>
        <v>17.915347999999998</v>
      </c>
      <c r="I52" s="43">
        <f t="shared" si="15"/>
        <v>17.915347999999998</v>
      </c>
      <c r="J52" s="43">
        <f t="shared" si="15"/>
        <v>18.04</v>
      </c>
      <c r="K52" s="43">
        <f t="shared" si="15"/>
        <v>22.017000000000003</v>
      </c>
      <c r="L52" s="43">
        <f t="shared" si="15"/>
        <v>17.471599999999999</v>
      </c>
      <c r="M52" s="43">
        <f t="shared" si="15"/>
        <v>22.24</v>
      </c>
      <c r="N52" s="43">
        <f>N26+(N32*N39/100)</f>
        <v>6</v>
      </c>
      <c r="O52"/>
      <c r="P52"/>
    </row>
    <row r="53" spans="1:16" s="29" customFormat="1">
      <c r="A53" s="29" t="s">
        <v>319</v>
      </c>
      <c r="B53" s="43">
        <f t="shared" ref="B53:G53" si="16">B27+(B32*B40/100)</f>
        <v>0.22539999999999999</v>
      </c>
      <c r="C53" s="43">
        <f t="shared" si="16"/>
        <v>0.34391000000000005</v>
      </c>
      <c r="D53" s="43">
        <f t="shared" si="16"/>
        <v>0.24859999999999999</v>
      </c>
      <c r="E53" s="43">
        <f t="shared" si="16"/>
        <v>0</v>
      </c>
      <c r="F53" s="43">
        <f t="shared" si="16"/>
        <v>0</v>
      </c>
      <c r="G53" s="43">
        <f t="shared" si="16"/>
        <v>0.10089000000000001</v>
      </c>
      <c r="H53" s="43">
        <f t="shared" ref="H53:M53" si="17">H27+(H32*H40/100)</f>
        <v>2.206</v>
      </c>
      <c r="I53" s="43">
        <f t="shared" si="17"/>
        <v>2.206</v>
      </c>
      <c r="J53" s="43">
        <f t="shared" si="17"/>
        <v>0</v>
      </c>
      <c r="K53" s="43">
        <f t="shared" si="17"/>
        <v>0</v>
      </c>
      <c r="L53" s="43">
        <f t="shared" si="17"/>
        <v>1.06925</v>
      </c>
      <c r="M53" s="43">
        <f t="shared" si="17"/>
        <v>0.72799999999999998</v>
      </c>
      <c r="N53" s="43">
        <f>N27+(N32*N40/100)</f>
        <v>0</v>
      </c>
      <c r="O53"/>
      <c r="P53"/>
    </row>
    <row r="54" spans="1:16">
      <c r="A54" s="29" t="s">
        <v>154</v>
      </c>
      <c r="B54" s="43">
        <f t="shared" ref="B54:G54" si="18">B28+(B32*B41/100)</f>
        <v>4.7439999999999996E-2</v>
      </c>
      <c r="C54" s="43">
        <f t="shared" si="18"/>
        <v>7.7800000000000008E-2</v>
      </c>
      <c r="D54" s="43">
        <f t="shared" si="18"/>
        <v>5.1639999999999991E-2</v>
      </c>
      <c r="E54" s="43">
        <f t="shared" si="18"/>
        <v>0.2</v>
      </c>
      <c r="F54" s="43">
        <f t="shared" si="18"/>
        <v>0</v>
      </c>
      <c r="G54" s="43">
        <f t="shared" si="18"/>
        <v>0.03</v>
      </c>
      <c r="H54" s="43">
        <f t="shared" ref="H54:M54" si="19">H28+(H32*H41/100)</f>
        <v>0.12353600000000001</v>
      </c>
      <c r="I54" s="43">
        <f t="shared" si="19"/>
        <v>1.1235360000000001</v>
      </c>
      <c r="J54" s="43">
        <f t="shared" si="19"/>
        <v>9.8000000000000007</v>
      </c>
      <c r="K54" s="43">
        <f t="shared" si="19"/>
        <v>11.040000000000001</v>
      </c>
      <c r="L54" s="43">
        <f t="shared" si="19"/>
        <v>0.10464999999999999</v>
      </c>
      <c r="M54" s="43">
        <f t="shared" si="19"/>
        <v>0.31850000000000001</v>
      </c>
      <c r="N54" s="43">
        <f>N28+(N32*N41/100)</f>
        <v>5</v>
      </c>
    </row>
    <row r="55" spans="1:16">
      <c r="A55" s="29" t="s">
        <v>90</v>
      </c>
      <c r="B55" s="43">
        <f t="shared" ref="B55:G55" si="20">B29+(B32*B42/100)</f>
        <v>0.29459999999999997</v>
      </c>
      <c r="C55" s="43">
        <f t="shared" si="20"/>
        <v>0.58905000000000007</v>
      </c>
      <c r="D55" s="43">
        <f t="shared" si="20"/>
        <v>0.35927999999999993</v>
      </c>
      <c r="E55" s="43">
        <f t="shared" si="20"/>
        <v>0</v>
      </c>
      <c r="F55" s="43">
        <f t="shared" si="20"/>
        <v>0.1</v>
      </c>
      <c r="G55" s="43">
        <f t="shared" si="20"/>
        <v>7.0000000000000007E-2</v>
      </c>
      <c r="H55" s="43">
        <f t="shared" ref="H55:M55" si="21">H29+(H32*H42/100)</f>
        <v>0.09</v>
      </c>
      <c r="I55" s="43">
        <f t="shared" si="21"/>
        <v>0.09</v>
      </c>
      <c r="J55" s="43">
        <f t="shared" si="21"/>
        <v>0</v>
      </c>
      <c r="K55" s="43">
        <f t="shared" si="21"/>
        <v>0</v>
      </c>
      <c r="L55" s="43">
        <f t="shared" si="21"/>
        <v>0</v>
      </c>
      <c r="M55" s="43">
        <f t="shared" si="21"/>
        <v>0</v>
      </c>
      <c r="N55" s="43">
        <f>N29+(N32*N42/100)</f>
        <v>0</v>
      </c>
      <c r="P55">
        <v>100.00026303099382</v>
      </c>
    </row>
    <row r="56" spans="1:16">
      <c r="A56" s="29" t="s">
        <v>98</v>
      </c>
      <c r="B56" s="43">
        <f t="shared" ref="B56:G56" si="22">B30+(B32*B45/100)</f>
        <v>6.4225199999999996</v>
      </c>
      <c r="C56" s="43">
        <f t="shared" si="22"/>
        <v>9.6598199999999999</v>
      </c>
      <c r="D56" s="43">
        <f t="shared" si="22"/>
        <v>9.39724</v>
      </c>
      <c r="E56" s="43">
        <f t="shared" si="22"/>
        <v>1.8</v>
      </c>
      <c r="F56" s="43">
        <f t="shared" si="22"/>
        <v>5.5</v>
      </c>
      <c r="G56" s="43">
        <f t="shared" si="22"/>
        <v>4.5</v>
      </c>
      <c r="H56" s="43">
        <f t="shared" ref="H56:M56" si="23">H30+(H32*H45/100)</f>
        <v>1E-4</v>
      </c>
      <c r="I56" s="43">
        <f t="shared" si="23"/>
        <v>1E-4</v>
      </c>
      <c r="J56" s="43">
        <f t="shared" si="23"/>
        <v>0</v>
      </c>
      <c r="K56" s="43">
        <f t="shared" si="23"/>
        <v>0</v>
      </c>
      <c r="L56" s="43">
        <f t="shared" si="23"/>
        <v>9.0044500000000021</v>
      </c>
      <c r="M56" s="43">
        <f t="shared" si="23"/>
        <v>1.456</v>
      </c>
      <c r="N56" s="43">
        <f>N30+(N32*N45/100)</f>
        <v>0</v>
      </c>
    </row>
    <row r="57" spans="1:16">
      <c r="A57" s="16" t="s">
        <v>268</v>
      </c>
      <c r="B57" s="42">
        <f t="shared" ref="B57:G57" si="24">SUM(B49:B56)</f>
        <v>99.939239999999984</v>
      </c>
      <c r="C57" s="42">
        <f t="shared" si="24"/>
        <v>99.929079999999999</v>
      </c>
      <c r="D57" s="42">
        <f t="shared" si="24"/>
        <v>99.966099999999983</v>
      </c>
      <c r="E57" s="42">
        <f t="shared" si="24"/>
        <v>99.7</v>
      </c>
      <c r="F57" s="42">
        <f t="shared" si="24"/>
        <v>99.899999999999991</v>
      </c>
      <c r="G57" s="42">
        <f t="shared" si="24"/>
        <v>100.86205</v>
      </c>
      <c r="H57" s="42">
        <f t="shared" ref="H57:M57" si="25">SUM(H49:H56)</f>
        <v>94.021879999999996</v>
      </c>
      <c r="I57" s="42">
        <f t="shared" si="25"/>
        <v>95.021879999999996</v>
      </c>
      <c r="J57" s="42">
        <f t="shared" si="25"/>
        <v>99.999999999999986</v>
      </c>
      <c r="K57" s="42">
        <f t="shared" si="25"/>
        <v>100.00000000000001</v>
      </c>
      <c r="L57" s="42">
        <f t="shared" si="25"/>
        <v>98.371100000000013</v>
      </c>
      <c r="M57" s="42">
        <f t="shared" si="25"/>
        <v>97.998000000000005</v>
      </c>
      <c r="N57" s="42">
        <f>SUM(N49:N56)</f>
        <v>100</v>
      </c>
    </row>
    <row r="58" spans="1:16">
      <c r="E58" s="29"/>
      <c r="F58" s="29"/>
    </row>
    <row r="59" spans="1:16">
      <c r="A59" s="119" t="s">
        <v>100</v>
      </c>
      <c r="E59" s="29"/>
      <c r="F59" s="29"/>
    </row>
    <row r="60" spans="1:16">
      <c r="A60" s="47" t="s">
        <v>354</v>
      </c>
      <c r="B60" s="38">
        <f t="shared" ref="B60:G60" si="26">B13</f>
        <v>4242211</v>
      </c>
      <c r="C60" s="38">
        <f t="shared" si="26"/>
        <v>4450804</v>
      </c>
      <c r="D60" s="38">
        <f t="shared" si="26"/>
        <v>4139840</v>
      </c>
      <c r="E60" s="38">
        <f t="shared" si="26"/>
        <v>3813050</v>
      </c>
      <c r="F60" s="38">
        <f t="shared" si="26"/>
        <v>4115865</v>
      </c>
      <c r="G60" s="38">
        <f t="shared" si="26"/>
        <v>3654240</v>
      </c>
      <c r="H60" s="38">
        <f t="shared" ref="H60:M60" si="27">H13</f>
        <v>3320096</v>
      </c>
      <c r="I60" s="38">
        <f t="shared" si="27"/>
        <v>3756420</v>
      </c>
      <c r="J60" s="38">
        <f t="shared" si="27"/>
        <v>3604293</v>
      </c>
      <c r="K60" s="38">
        <f t="shared" si="27"/>
        <v>3001400</v>
      </c>
      <c r="L60" s="38">
        <f t="shared" si="27"/>
        <v>3578299</v>
      </c>
      <c r="M60" s="38">
        <f t="shared" si="27"/>
        <v>2997780</v>
      </c>
      <c r="N60" s="38">
        <f>N13</f>
        <v>3761060</v>
      </c>
    </row>
    <row r="61" spans="1:16">
      <c r="A61" s="47" t="s">
        <v>548</v>
      </c>
      <c r="B61" s="5">
        <v>5032</v>
      </c>
      <c r="C61" s="384">
        <v>4317</v>
      </c>
      <c r="D61" s="70">
        <v>5168</v>
      </c>
      <c r="E61" s="70">
        <v>5168</v>
      </c>
      <c r="F61" s="70">
        <v>5168</v>
      </c>
      <c r="G61" s="70"/>
      <c r="H61" s="70"/>
      <c r="I61" s="70"/>
      <c r="J61" s="70"/>
      <c r="K61" s="70"/>
      <c r="L61" s="70"/>
      <c r="M61" s="70"/>
      <c r="N61" s="70"/>
    </row>
    <row r="62" spans="1:16">
      <c r="A62" s="47" t="s">
        <v>547</v>
      </c>
      <c r="B62" s="384">
        <v>957.3</v>
      </c>
      <c r="C62" s="30">
        <v>2966</v>
      </c>
      <c r="D62" s="138">
        <v>11572.8</v>
      </c>
      <c r="E62" s="138">
        <v>11572.8</v>
      </c>
      <c r="F62" s="138">
        <v>11572.8</v>
      </c>
      <c r="G62" s="138"/>
      <c r="H62" s="138"/>
      <c r="I62" s="138"/>
      <c r="J62" s="138"/>
      <c r="K62" s="138"/>
      <c r="L62" s="138"/>
      <c r="M62" s="138"/>
      <c r="N62" s="138"/>
    </row>
    <row r="63" spans="1:16" ht="15">
      <c r="A63" s="47" t="s">
        <v>535</v>
      </c>
      <c r="B63" s="38">
        <f t="shared" ref="B63:G63" si="28">B12</f>
        <v>41680</v>
      </c>
      <c r="C63" s="38">
        <f t="shared" si="28"/>
        <v>50869</v>
      </c>
      <c r="D63" s="38">
        <f t="shared" si="28"/>
        <v>38941</v>
      </c>
      <c r="E63" s="38">
        <f t="shared" si="28"/>
        <v>78354</v>
      </c>
      <c r="F63" s="38">
        <f t="shared" si="28"/>
        <v>66491</v>
      </c>
      <c r="G63" s="38">
        <f t="shared" si="28"/>
        <v>66000</v>
      </c>
      <c r="H63" s="38">
        <f>H12</f>
        <v>31835</v>
      </c>
      <c r="I63" s="38">
        <f>I12</f>
        <v>31835</v>
      </c>
      <c r="J63" s="38">
        <f>J12</f>
        <v>31835</v>
      </c>
      <c r="K63" s="38">
        <f>K12</f>
        <v>31800</v>
      </c>
      <c r="L63" s="38">
        <f>L6</f>
        <v>0</v>
      </c>
      <c r="M63" s="38">
        <f>M6</f>
        <v>0</v>
      </c>
      <c r="N63" s="38">
        <f>N6</f>
        <v>0</v>
      </c>
    </row>
    <row r="64" spans="1:16" s="29" customFormat="1">
      <c r="A64" t="s">
        <v>233</v>
      </c>
      <c r="B64" s="38">
        <f t="shared" ref="B64:G64" si="29">(B49/100)*B19</f>
        <v>346226.91946640005</v>
      </c>
      <c r="C64" s="38">
        <f t="shared" si="29"/>
        <v>416638.30528320005</v>
      </c>
      <c r="D64" s="38">
        <f t="shared" si="29"/>
        <v>358522.95214020804</v>
      </c>
      <c r="E64" s="38">
        <f t="shared" si="29"/>
        <v>775693.62500000012</v>
      </c>
      <c r="F64" s="38">
        <f t="shared" si="29"/>
        <v>858165.08699999994</v>
      </c>
      <c r="G64" s="38">
        <f t="shared" si="29"/>
        <v>739863.97880699998</v>
      </c>
      <c r="H64" s="38">
        <f>(H49/100)*H19</f>
        <v>1134705.48496376</v>
      </c>
      <c r="I64" s="38">
        <f>(I49/100)*I19</f>
        <v>1109161.6934001602</v>
      </c>
      <c r="J64" s="38">
        <f>(J49/100)*J19</f>
        <v>0</v>
      </c>
      <c r="K64" s="38">
        <f>(K49/100)*K19</f>
        <v>0</v>
      </c>
      <c r="L64" s="38">
        <f>(L49/100)*L10</f>
        <v>295963.53295599995</v>
      </c>
      <c r="M64" s="38">
        <f>(M49/100)*M10</f>
        <v>292173.62583499996</v>
      </c>
      <c r="N64" s="38">
        <f>(N49/100)*N10</f>
        <v>0</v>
      </c>
    </row>
    <row r="65" spans="1:14" s="29" customFormat="1">
      <c r="A65" t="s">
        <v>328</v>
      </c>
      <c r="B65" s="38">
        <f t="shared" ref="B65:G65" si="30">(B50/100)*B19</f>
        <v>7768633.5160975996</v>
      </c>
      <c r="C65" s="38">
        <f t="shared" si="30"/>
        <v>8276472.7672704002</v>
      </c>
      <c r="D65" s="38">
        <f t="shared" si="30"/>
        <v>7983022.2886674404</v>
      </c>
      <c r="E65" s="38">
        <f t="shared" si="30"/>
        <v>8798581.9749999996</v>
      </c>
      <c r="F65" s="38">
        <f t="shared" si="30"/>
        <v>8867705.8990000002</v>
      </c>
      <c r="G65" s="38">
        <f t="shared" si="30"/>
        <v>8417071.7007539999</v>
      </c>
      <c r="H65" s="38">
        <f>(H50/100)*H19</f>
        <v>10454395.447181119</v>
      </c>
      <c r="I65" s="38">
        <f>(I50/100)*I19</f>
        <v>10219052.530657919</v>
      </c>
      <c r="J65" s="38">
        <f>(J50/100)*J19</f>
        <v>10208202.716399999</v>
      </c>
      <c r="K65" s="38">
        <f>(K50/100)*K19</f>
        <v>7455278.7624699995</v>
      </c>
      <c r="L65" s="38">
        <f>(L50/100)*L10</f>
        <v>9848027.2832370009</v>
      </c>
      <c r="M65" s="38">
        <f>(M50/100)*M10</f>
        <v>9769825.4786600005</v>
      </c>
      <c r="N65" s="38">
        <f>(N50/100)*N10</f>
        <v>12338887.85</v>
      </c>
    </row>
    <row r="66" spans="1:14" s="29" customFormat="1">
      <c r="A66" t="s">
        <v>329</v>
      </c>
      <c r="B66" s="38">
        <f t="shared" ref="B66:G66" si="31">(B51/100)*B19</f>
        <v>11789610.175088</v>
      </c>
      <c r="C66" s="38">
        <f t="shared" si="31"/>
        <v>10711877.366519999</v>
      </c>
      <c r="D66" s="38">
        <f t="shared" si="31"/>
        <v>10766992.89835152</v>
      </c>
      <c r="E66" s="38">
        <f t="shared" si="31"/>
        <v>12078657.875</v>
      </c>
      <c r="F66" s="38">
        <f t="shared" si="31"/>
        <v>11024120.733000001</v>
      </c>
      <c r="G66" s="38">
        <f t="shared" si="31"/>
        <v>11125311.239412</v>
      </c>
      <c r="H66" s="38">
        <f>(H51/100)*H19</f>
        <v>4303834.6971892007</v>
      </c>
      <c r="I66" s="38">
        <f>(I51/100)*I19</f>
        <v>4206949.4191271998</v>
      </c>
      <c r="J66" s="38">
        <f>(J51/100)*J19</f>
        <v>5819297.4580000006</v>
      </c>
      <c r="K66" s="38">
        <f>(K51/100)*K19</f>
        <v>6094492.5348999994</v>
      </c>
      <c r="L66" s="38">
        <f>(L51/100)*L10</f>
        <v>5610097.2529859999</v>
      </c>
      <c r="M66" s="38">
        <f>(M51/100)*M10</f>
        <v>6158785.3194199996</v>
      </c>
      <c r="N66" s="38">
        <f>(N51/100)*N10</f>
        <v>5663751.8000000007</v>
      </c>
    </row>
    <row r="67" spans="1:14" s="29" customFormat="1">
      <c r="A67" s="29" t="s">
        <v>330</v>
      </c>
      <c r="B67" s="44">
        <f t="shared" ref="B67:G67" si="32">(B52/100)*B19</f>
        <v>125867.78564080001</v>
      </c>
      <c r="C67" s="44">
        <f t="shared" si="32"/>
        <v>185852.7376464</v>
      </c>
      <c r="D67" s="44">
        <f t="shared" si="32"/>
        <v>140803.189280016</v>
      </c>
      <c r="E67" s="44">
        <f t="shared" si="32"/>
        <v>0</v>
      </c>
      <c r="F67" s="44">
        <f t="shared" si="32"/>
        <v>0</v>
      </c>
      <c r="G67" s="44">
        <f t="shared" si="32"/>
        <v>139815.96205500001</v>
      </c>
      <c r="H67" s="44">
        <f>(H52/100)*H19</f>
        <v>3864017.7290290394</v>
      </c>
      <c r="I67" s="44">
        <f>(I52/100)*I19</f>
        <v>3777033.3398846397</v>
      </c>
      <c r="J67" s="44">
        <f>(J52/100)*J19</f>
        <v>4006875.0436</v>
      </c>
      <c r="K67" s="44">
        <f>(K52/100)*K19</f>
        <v>4456407.9090300007</v>
      </c>
      <c r="L67" s="44">
        <f>(L52/100)*L10</f>
        <v>3892034.0677359998</v>
      </c>
      <c r="M67" s="44">
        <f>(M52/100)*M10</f>
        <v>4924548.2671999997</v>
      </c>
      <c r="N67" s="44">
        <f>(N52/100)*N10</f>
        <v>1213661.0999999999</v>
      </c>
    </row>
    <row r="68" spans="1:14" s="29" customFormat="1">
      <c r="A68" s="29" t="s">
        <v>331</v>
      </c>
      <c r="B68" s="44">
        <f t="shared" ref="B68:G68" si="33">(B53/100)*B19</f>
        <v>48573.138754</v>
      </c>
      <c r="C68" s="44">
        <f t="shared" si="33"/>
        <v>75482.852491200014</v>
      </c>
      <c r="D68" s="44">
        <f t="shared" si="33"/>
        <v>53224.57326736</v>
      </c>
      <c r="E68" s="44">
        <f t="shared" si="33"/>
        <v>0</v>
      </c>
      <c r="F68" s="44">
        <f t="shared" si="33"/>
        <v>0</v>
      </c>
      <c r="G68" s="44">
        <f t="shared" si="33"/>
        <v>21426.342237000001</v>
      </c>
      <c r="H68" s="44">
        <f>(H53/100)*H19</f>
        <v>475794.44787999999</v>
      </c>
      <c r="I68" s="44">
        <f>(I53/100)*I19</f>
        <v>465083.65607999999</v>
      </c>
      <c r="J68" s="44">
        <f>(J53/100)*J19</f>
        <v>0</v>
      </c>
      <c r="K68" s="44">
        <f>(K53/100)*K19</f>
        <v>0</v>
      </c>
      <c r="L68" s="44">
        <f>(L53/100)*L10</f>
        <v>238189.82960500001</v>
      </c>
      <c r="M68" s="44">
        <f>(M53/100)*M10</f>
        <v>161199.24184</v>
      </c>
      <c r="N68" s="44">
        <f>(N53/100)*N10</f>
        <v>0</v>
      </c>
    </row>
    <row r="69" spans="1:14" s="29" customFormat="1">
      <c r="A69" s="29" t="s">
        <v>150</v>
      </c>
      <c r="B69" s="44">
        <f t="shared" ref="B69:G69" si="34">(B54/100)*B19</f>
        <v>10223.2018744</v>
      </c>
      <c r="C69" s="44">
        <f t="shared" si="34"/>
        <v>17075.880096000001</v>
      </c>
      <c r="D69" s="44">
        <f t="shared" si="34"/>
        <v>11055.981349663998</v>
      </c>
      <c r="E69" s="44">
        <f t="shared" si="34"/>
        <v>44325.35</v>
      </c>
      <c r="F69" s="44">
        <f t="shared" si="34"/>
        <v>0</v>
      </c>
      <c r="G69" s="44">
        <f t="shared" si="34"/>
        <v>6371.1989999999996</v>
      </c>
      <c r="H69" s="44">
        <f>(H54/100)*H19</f>
        <v>26644.48908128</v>
      </c>
      <c r="I69" s="44">
        <f>(I54/100)*I19</f>
        <v>236871.36474048003</v>
      </c>
      <c r="J69" s="44">
        <f>(J54/100)*J19</f>
        <v>2176683.7820000001</v>
      </c>
      <c r="K69" s="44">
        <f>(K54/100)*K19</f>
        <v>2234579.7936000004</v>
      </c>
      <c r="L69" s="44">
        <f>(L54/100)*L10</f>
        <v>23312.196088999997</v>
      </c>
      <c r="M69" s="44">
        <f>(M54/100)*M10</f>
        <v>70524.668304999999</v>
      </c>
      <c r="N69" s="44">
        <f>(N54/100)*N10</f>
        <v>1011384.25</v>
      </c>
    </row>
    <row r="70" spans="1:14" s="29" customFormat="1">
      <c r="A70" s="29" t="s">
        <v>151</v>
      </c>
      <c r="B70" s="44">
        <f t="shared" ref="B70:G70" si="35">(B55/100)*B19</f>
        <v>63485.566445999997</v>
      </c>
      <c r="C70" s="44">
        <f t="shared" si="35"/>
        <v>129287.23869600001</v>
      </c>
      <c r="D70" s="44">
        <f t="shared" si="35"/>
        <v>76920.855524927989</v>
      </c>
      <c r="E70" s="44">
        <f t="shared" si="35"/>
        <v>0</v>
      </c>
      <c r="F70" s="44">
        <f t="shared" si="35"/>
        <v>22004.233</v>
      </c>
      <c r="G70" s="44">
        <f t="shared" si="35"/>
        <v>14866.131000000003</v>
      </c>
      <c r="H70" s="44">
        <f>(H55/100)*H19</f>
        <v>19411.378199999999</v>
      </c>
      <c r="I70" s="44">
        <f>(I55/100)*I19</f>
        <v>18974.4012</v>
      </c>
      <c r="J70" s="44">
        <f>(J55/100)*J19</f>
        <v>0</v>
      </c>
      <c r="K70" s="44">
        <f>(K55/100)*K19</f>
        <v>0</v>
      </c>
      <c r="L70" s="44">
        <f>(L55/100)*L10</f>
        <v>0</v>
      </c>
      <c r="M70" s="44">
        <f>(M55/100)*M10</f>
        <v>0</v>
      </c>
      <c r="N70" s="44">
        <f>(N55/100)*N10</f>
        <v>0</v>
      </c>
    </row>
    <row r="71" spans="1:14" s="29" customFormat="1">
      <c r="A71" s="29" t="s">
        <v>99</v>
      </c>
      <c r="B71" s="44">
        <f t="shared" ref="B71:G71" si="36">(B56/100)*B19</f>
        <v>1384037.0679251999</v>
      </c>
      <c r="C71" s="44">
        <f t="shared" si="36"/>
        <v>2120179.0240223999</v>
      </c>
      <c r="D71" s="44">
        <f t="shared" si="36"/>
        <v>2011923.125064224</v>
      </c>
      <c r="E71" s="44">
        <f t="shared" si="36"/>
        <v>398928.15</v>
      </c>
      <c r="F71" s="44">
        <f t="shared" si="36"/>
        <v>1210232.8149999999</v>
      </c>
      <c r="G71" s="44">
        <f t="shared" si="36"/>
        <v>955679.85</v>
      </c>
      <c r="H71" s="44">
        <f>(H56/100)*H19</f>
        <v>21.568197999999999</v>
      </c>
      <c r="I71" s="44">
        <f>(I56/100)*I19</f>
        <v>21.082667999999998</v>
      </c>
      <c r="J71" s="44">
        <f>(J56/100)*J19</f>
        <v>0</v>
      </c>
      <c r="K71" s="44">
        <f>(K56/100)*K19</f>
        <v>0</v>
      </c>
      <c r="L71" s="44">
        <f>(L56/100)*L10</f>
        <v>2005862.4373970006</v>
      </c>
      <c r="M71" s="44">
        <f>(M56/100)*M10</f>
        <v>322398.48368</v>
      </c>
      <c r="N71" s="44">
        <f>(N56/100)*N10</f>
        <v>0</v>
      </c>
    </row>
    <row r="72" spans="1:14" s="29" customFormat="1">
      <c r="A72" s="45" t="s">
        <v>159</v>
      </c>
      <c r="B72" s="46">
        <f t="shared" ref="B72:G72" si="37">SUM(B60:B71)</f>
        <v>25826537.671292394</v>
      </c>
      <c r="C72" s="46">
        <f t="shared" si="37"/>
        <v>26441822.172025602</v>
      </c>
      <c r="D72" s="46">
        <f t="shared" si="37"/>
        <v>25597987.663645361</v>
      </c>
      <c r="E72" s="46">
        <f t="shared" si="37"/>
        <v>26004331.774999999</v>
      </c>
      <c r="F72" s="46">
        <f t="shared" si="37"/>
        <v>26181325.567000002</v>
      </c>
      <c r="G72" s="46">
        <f t="shared" si="37"/>
        <v>25140646.403265003</v>
      </c>
      <c r="H72" s="46">
        <f t="shared" ref="H72:M72" si="38">SUM(H60:H71)</f>
        <v>23630756.241722394</v>
      </c>
      <c r="I72" s="46">
        <f t="shared" si="38"/>
        <v>23821402.487758398</v>
      </c>
      <c r="J72" s="46">
        <f t="shared" si="38"/>
        <v>25847187.000000004</v>
      </c>
      <c r="K72" s="46">
        <f t="shared" si="38"/>
        <v>23273959</v>
      </c>
      <c r="L72" s="46">
        <f t="shared" si="38"/>
        <v>25491785.600005999</v>
      </c>
      <c r="M72" s="46">
        <f t="shared" si="38"/>
        <v>24697235.084939998</v>
      </c>
      <c r="N72" s="46">
        <f>SUM(N60:N71)</f>
        <v>23988745</v>
      </c>
    </row>
    <row r="73" spans="1:14" s="29" customFormat="1">
      <c r="A73" s="70"/>
      <c r="B73" s="117"/>
      <c r="E73"/>
      <c r="F73"/>
    </row>
    <row r="74" spans="1:14" s="29" customFormat="1">
      <c r="A74" s="70"/>
      <c r="B74" s="117"/>
      <c r="E74"/>
      <c r="F74"/>
    </row>
    <row r="75" spans="1:14" s="29" customFormat="1">
      <c r="A75" s="70"/>
      <c r="B75" s="117"/>
      <c r="E75"/>
      <c r="F75"/>
    </row>
    <row r="76" spans="1:14" s="29" customFormat="1">
      <c r="E76"/>
      <c r="F76"/>
    </row>
    <row r="77" spans="1:14" s="29" customFormat="1">
      <c r="A77" s="6" t="s">
        <v>130</v>
      </c>
      <c r="D77"/>
      <c r="E77"/>
      <c r="F77"/>
    </row>
    <row r="78" spans="1:14" s="29" customFormat="1">
      <c r="A78" s="47" t="s">
        <v>546</v>
      </c>
      <c r="B78" s="53">
        <f t="shared" ref="B78:G78" si="39">(B60/B72)</f>
        <v>0.16425782867191868</v>
      </c>
      <c r="C78" s="53">
        <f t="shared" si="39"/>
        <v>0.16832440559670558</v>
      </c>
      <c r="D78" s="53">
        <f t="shared" si="39"/>
        <v>0.16172521271582069</v>
      </c>
      <c r="E78" s="53">
        <f t="shared" si="39"/>
        <v>0.14663133946267304</v>
      </c>
      <c r="F78" s="53">
        <f t="shared" si="39"/>
        <v>0.15720613494023397</v>
      </c>
      <c r="G78" s="53">
        <f t="shared" si="39"/>
        <v>0.14535187128384358</v>
      </c>
      <c r="H78" s="53">
        <f t="shared" ref="H78:M78" si="40">(H60/H72)</f>
        <v>0.14049893139425002</v>
      </c>
      <c r="I78" s="53">
        <f t="shared" si="40"/>
        <v>0.15769096726905102</v>
      </c>
      <c r="J78" s="53">
        <f t="shared" si="40"/>
        <v>0.13944623838563167</v>
      </c>
      <c r="K78" s="53">
        <f t="shared" si="40"/>
        <v>0.12895958096342783</v>
      </c>
      <c r="L78" s="53">
        <f t="shared" si="40"/>
        <v>0.14037066905188306</v>
      </c>
      <c r="M78" s="53">
        <f t="shared" si="40"/>
        <v>0.12138119873297076</v>
      </c>
      <c r="N78" s="53">
        <f>(N60/N72)</f>
        <v>0.15678435866486554</v>
      </c>
    </row>
    <row r="79" spans="1:14" s="29" customFormat="1">
      <c r="A79" s="47" t="s">
        <v>548</v>
      </c>
      <c r="B79" s="53">
        <f t="shared" ref="B79:G79" si="41">(B61/B72)</f>
        <v>1.9483835053869193E-4</v>
      </c>
      <c r="C79" s="53">
        <f t="shared" si="41"/>
        <v>1.6326408868172536E-4</v>
      </c>
      <c r="D79" s="53">
        <f t="shared" si="41"/>
        <v>2.0189087001317959E-4</v>
      </c>
      <c r="E79" s="53">
        <f t="shared" si="41"/>
        <v>1.9873611999399283E-4</v>
      </c>
      <c r="F79" s="53">
        <f t="shared" si="41"/>
        <v>1.973926028601835E-4</v>
      </c>
      <c r="G79" s="53">
        <f t="shared" si="41"/>
        <v>0</v>
      </c>
      <c r="H79" s="53">
        <f t="shared" ref="H79:M79" si="42">(H61/H72)</f>
        <v>0</v>
      </c>
      <c r="I79" s="53">
        <f t="shared" si="42"/>
        <v>0</v>
      </c>
      <c r="J79" s="53">
        <f t="shared" si="42"/>
        <v>0</v>
      </c>
      <c r="K79" s="53">
        <f t="shared" si="42"/>
        <v>0</v>
      </c>
      <c r="L79" s="53">
        <f t="shared" si="42"/>
        <v>0</v>
      </c>
      <c r="M79" s="53">
        <f t="shared" si="42"/>
        <v>0</v>
      </c>
      <c r="N79" s="53">
        <f>(N61/N72)</f>
        <v>0</v>
      </c>
    </row>
    <row r="80" spans="1:14" s="29" customFormat="1">
      <c r="A80" s="47" t="s">
        <v>547</v>
      </c>
      <c r="B80" s="53">
        <f t="shared" ref="B80:G80" si="43">(B62/B72)</f>
        <v>3.7066524835192722E-5</v>
      </c>
      <c r="C80" s="53">
        <f t="shared" si="43"/>
        <v>1.1217078689599199E-4</v>
      </c>
      <c r="D80" s="53">
        <f t="shared" si="43"/>
        <v>4.5209803802022532E-4</v>
      </c>
      <c r="E80" s="53">
        <f t="shared" si="43"/>
        <v>4.4503354672339009E-4</v>
      </c>
      <c r="F80" s="53">
        <f t="shared" si="43"/>
        <v>4.420249834327267E-4</v>
      </c>
      <c r="G80" s="53">
        <f t="shared" si="43"/>
        <v>0</v>
      </c>
      <c r="H80" s="53">
        <f t="shared" ref="H80:M80" si="44">(H62/H72)</f>
        <v>0</v>
      </c>
      <c r="I80" s="53">
        <f t="shared" si="44"/>
        <v>0</v>
      </c>
      <c r="J80" s="53">
        <f t="shared" si="44"/>
        <v>0</v>
      </c>
      <c r="K80" s="53">
        <f t="shared" si="44"/>
        <v>0</v>
      </c>
      <c r="L80" s="53">
        <f t="shared" si="44"/>
        <v>0</v>
      </c>
      <c r="M80" s="53">
        <f t="shared" si="44"/>
        <v>0</v>
      </c>
      <c r="N80" s="53">
        <f>(N62/N72)</f>
        <v>0</v>
      </c>
    </row>
    <row r="81" spans="1:14" s="29" customFormat="1" ht="15">
      <c r="A81" s="47" t="s">
        <v>535</v>
      </c>
      <c r="B81" s="53">
        <f t="shared" ref="B81:G81" si="45">(B63/B72)</f>
        <v>1.6138438891996581E-3</v>
      </c>
      <c r="C81" s="53">
        <f t="shared" si="45"/>
        <v>1.9238084149063442E-3</v>
      </c>
      <c r="D81" s="53">
        <f t="shared" si="45"/>
        <v>1.5212523934178069E-3</v>
      </c>
      <c r="E81" s="53">
        <f t="shared" si="45"/>
        <v>3.0131133796457649E-3</v>
      </c>
      <c r="F81" s="53">
        <f t="shared" si="45"/>
        <v>2.5396345891595322E-3</v>
      </c>
      <c r="G81" s="53">
        <f t="shared" si="45"/>
        <v>2.6252308290461704E-3</v>
      </c>
      <c r="H81" s="53">
        <f t="shared" ref="H81:M81" si="46">(H63/H72)</f>
        <v>1.3471849852943858E-3</v>
      </c>
      <c r="I81" s="53">
        <f t="shared" si="46"/>
        <v>1.3364032624174718E-3</v>
      </c>
      <c r="J81" s="53">
        <f t="shared" si="46"/>
        <v>1.2316620760317166E-3</v>
      </c>
      <c r="K81" s="53">
        <f t="shared" si="46"/>
        <v>1.3663339357090042E-3</v>
      </c>
      <c r="L81" s="53">
        <f t="shared" si="46"/>
        <v>0</v>
      </c>
      <c r="M81" s="53">
        <f t="shared" si="46"/>
        <v>0</v>
      </c>
      <c r="N81" s="53">
        <f>(N63/N72)</f>
        <v>0</v>
      </c>
    </row>
    <row r="82" spans="1:14" s="29" customFormat="1">
      <c r="A82" t="s">
        <v>233</v>
      </c>
      <c r="B82" s="53">
        <f t="shared" ref="B82:G82" si="47">(B64/B72)</f>
        <v>1.3405858883331859E-2</v>
      </c>
      <c r="C82" s="53">
        <f t="shared" si="47"/>
        <v>1.5756792499874946E-2</v>
      </c>
      <c r="D82" s="53">
        <f t="shared" si="47"/>
        <v>1.4005903778498481E-2</v>
      </c>
      <c r="E82" s="53">
        <f t="shared" si="47"/>
        <v>2.9829400413424013E-2</v>
      </c>
      <c r="F82" s="53">
        <f t="shared" si="47"/>
        <v>3.2777755457946173E-2</v>
      </c>
      <c r="G82" s="53">
        <f t="shared" si="47"/>
        <v>2.9428995855528765E-2</v>
      </c>
      <c r="H82" s="53">
        <f t="shared" ref="H82:M82" si="48">(H64/H72)</f>
        <v>4.8018162150914465E-2</v>
      </c>
      <c r="I82" s="53">
        <f t="shared" si="48"/>
        <v>4.656156135098042E-2</v>
      </c>
      <c r="J82" s="53">
        <f t="shared" si="48"/>
        <v>0</v>
      </c>
      <c r="K82" s="53">
        <f t="shared" si="48"/>
        <v>0</v>
      </c>
      <c r="L82" s="53">
        <f t="shared" si="48"/>
        <v>1.1610153074405674E-2</v>
      </c>
      <c r="M82" s="53">
        <f t="shared" si="48"/>
        <v>1.1830216007182238E-2</v>
      </c>
      <c r="N82" s="53">
        <f>(N64/N72)</f>
        <v>0</v>
      </c>
    </row>
    <row r="83" spans="1:14" s="29" customFormat="1">
      <c r="A83" t="s">
        <v>328</v>
      </c>
      <c r="B83" s="53">
        <f t="shared" ref="B83:G83" si="49">(B65/B72)</f>
        <v>0.30080042532115558</v>
      </c>
      <c r="C83" s="53">
        <f t="shared" si="49"/>
        <v>0.31300689920025931</v>
      </c>
      <c r="D83" s="53">
        <f t="shared" si="49"/>
        <v>0.31186132259939503</v>
      </c>
      <c r="E83" s="53">
        <f t="shared" si="49"/>
        <v>0.33835062754655232</v>
      </c>
      <c r="F83" s="53">
        <f t="shared" si="49"/>
        <v>0.33870347306544379</v>
      </c>
      <c r="G83" s="53">
        <f t="shared" si="49"/>
        <v>0.33479933513805271</v>
      </c>
      <c r="H83" s="53">
        <f t="shared" ref="H83:M83" si="50">(H65/H72)</f>
        <v>0.44240630051114777</v>
      </c>
      <c r="I83" s="53">
        <f t="shared" si="50"/>
        <v>0.42898618315648701</v>
      </c>
      <c r="J83" s="53">
        <f t="shared" si="50"/>
        <v>0.39494443694781944</v>
      </c>
      <c r="K83" s="53">
        <f t="shared" si="50"/>
        <v>0.32032705576520093</v>
      </c>
      <c r="L83" s="53">
        <f t="shared" si="50"/>
        <v>0.3863215954254175</v>
      </c>
      <c r="M83" s="53">
        <f t="shared" si="50"/>
        <v>0.39558377466380812</v>
      </c>
      <c r="N83" s="53">
        <f>(N65/N72)</f>
        <v>0.51436154121443201</v>
      </c>
    </row>
    <row r="84" spans="1:14" s="29" customFormat="1">
      <c r="A84" t="s">
        <v>329</v>
      </c>
      <c r="B84" s="53">
        <f t="shared" ref="B84:G84" si="51">(B66/B72)</f>
        <v>0.45649209062168616</v>
      </c>
      <c r="C84" s="53">
        <f t="shared" si="51"/>
        <v>0.40511116430745608</v>
      </c>
      <c r="D84" s="53">
        <f t="shared" si="51"/>
        <v>0.42061872362111347</v>
      </c>
      <c r="E84" s="53">
        <f t="shared" si="51"/>
        <v>0.46448637786617381</v>
      </c>
      <c r="F84" s="53">
        <f t="shared" si="51"/>
        <v>0.4210680893443855</v>
      </c>
      <c r="G84" s="53">
        <f t="shared" si="51"/>
        <v>0.44252287952179153</v>
      </c>
      <c r="H84" s="53">
        <f t="shared" ref="H84:M84" si="52">(H66/H72)</f>
        <v>0.18212852154051518</v>
      </c>
      <c r="I84" s="53">
        <f t="shared" si="52"/>
        <v>0.17660376719167198</v>
      </c>
      <c r="J84" s="53">
        <f t="shared" si="52"/>
        <v>0.22514239007904419</v>
      </c>
      <c r="K84" s="53">
        <f t="shared" si="52"/>
        <v>0.26185886702386985</v>
      </c>
      <c r="L84" s="53">
        <f t="shared" si="52"/>
        <v>0.22007470724156253</v>
      </c>
      <c r="M84" s="53">
        <f t="shared" si="52"/>
        <v>0.24937144980959972</v>
      </c>
      <c r="N84" s="53">
        <f>(N66/N72)</f>
        <v>0.23610037957383767</v>
      </c>
    </row>
    <row r="85" spans="1:14" s="29" customFormat="1">
      <c r="A85" s="29" t="s">
        <v>330</v>
      </c>
      <c r="B85" s="53">
        <f t="shared" ref="B85:G85" si="53">(B67/B72)</f>
        <v>4.8735834141914007E-3</v>
      </c>
      <c r="C85" s="53">
        <f t="shared" si="53"/>
        <v>7.02874168191876E-3</v>
      </c>
      <c r="D85" s="53">
        <f t="shared" si="53"/>
        <v>5.5005569629204398E-3</v>
      </c>
      <c r="E85" s="53">
        <f t="shared" si="53"/>
        <v>0</v>
      </c>
      <c r="F85" s="53">
        <f t="shared" si="53"/>
        <v>0</v>
      </c>
      <c r="G85" s="53">
        <f t="shared" si="53"/>
        <v>5.561351120902054E-3</v>
      </c>
      <c r="H85" s="53">
        <f t="shared" ref="H85:M85" si="54">(H67/H72)</f>
        <v>0.16351646513143497</v>
      </c>
      <c r="I85" s="53">
        <f t="shared" si="54"/>
        <v>0.15855629582790615</v>
      </c>
      <c r="J85" s="53">
        <f t="shared" si="54"/>
        <v>0.15502170675671589</v>
      </c>
      <c r="K85" s="53">
        <f t="shared" si="54"/>
        <v>0.19147614331665708</v>
      </c>
      <c r="L85" s="53">
        <f t="shared" si="54"/>
        <v>0.15267796963328784</v>
      </c>
      <c r="M85" s="53">
        <f t="shared" si="54"/>
        <v>0.1993967442210936</v>
      </c>
      <c r="N85" s="53">
        <f>(N67/N72)</f>
        <v>5.0592938480108061E-2</v>
      </c>
    </row>
    <row r="86" spans="1:14" s="29" customFormat="1">
      <c r="A86" s="29" t="s">
        <v>331</v>
      </c>
      <c r="B86" s="53">
        <f t="shared" ref="B86:G86" si="55">(B68/B72)</f>
        <v>1.8807452772886275E-3</v>
      </c>
      <c r="C86" s="53">
        <f t="shared" si="55"/>
        <v>2.8546766557963569E-3</v>
      </c>
      <c r="D86" s="53">
        <f t="shared" si="55"/>
        <v>2.0792483364991351E-3</v>
      </c>
      <c r="E86" s="53">
        <f t="shared" si="55"/>
        <v>0</v>
      </c>
      <c r="F86" s="53">
        <f t="shared" si="55"/>
        <v>0</v>
      </c>
      <c r="G86" s="53">
        <f t="shared" si="55"/>
        <v>8.5225900294343159E-4</v>
      </c>
      <c r="H86" s="53">
        <f t="shared" ref="H86:M86" si="56">(H68/H72)</f>
        <v>2.0134541739292234E-2</v>
      </c>
      <c r="I86" s="53">
        <f t="shared" si="56"/>
        <v>1.9523773057400891E-2</v>
      </c>
      <c r="J86" s="53">
        <f t="shared" si="56"/>
        <v>0</v>
      </c>
      <c r="K86" s="53">
        <f t="shared" si="56"/>
        <v>0</v>
      </c>
      <c r="L86" s="53">
        <f t="shared" si="56"/>
        <v>9.3437875770045684E-3</v>
      </c>
      <c r="M86" s="53">
        <f t="shared" si="56"/>
        <v>6.5270157281005466E-3</v>
      </c>
      <c r="N86" s="53">
        <f>(N68/N72)</f>
        <v>0</v>
      </c>
    </row>
    <row r="87" spans="1:14" s="29" customFormat="1">
      <c r="A87" s="29" t="s">
        <v>150</v>
      </c>
      <c r="B87" s="53">
        <f t="shared" ref="B87:G87" si="57">(B69/B72)</f>
        <v>3.9584097584104919E-4</v>
      </c>
      <c r="C87" s="53">
        <f t="shared" si="57"/>
        <v>6.457905958563477E-4</v>
      </c>
      <c r="D87" s="53">
        <f t="shared" si="57"/>
        <v>4.3190822243288542E-4</v>
      </c>
      <c r="E87" s="53">
        <f t="shared" si="57"/>
        <v>1.7045371664813718E-3</v>
      </c>
      <c r="F87" s="53">
        <f t="shared" si="57"/>
        <v>0</v>
      </c>
      <c r="G87" s="53">
        <f t="shared" si="57"/>
        <v>2.5342224292103225E-4</v>
      </c>
      <c r="H87" s="53">
        <f t="shared" ref="H87:M87" si="58">(H69/H72)</f>
        <v>1.1275343374003652E-3</v>
      </c>
      <c r="I87" s="53">
        <f t="shared" si="58"/>
        <v>9.9436363942973574E-3</v>
      </c>
      <c r="J87" s="53">
        <f t="shared" si="58"/>
        <v>8.4213565754756983E-2</v>
      </c>
      <c r="K87" s="53">
        <f t="shared" si="58"/>
        <v>9.6012018995135312E-2</v>
      </c>
      <c r="L87" s="53">
        <f t="shared" si="58"/>
        <v>9.14498358600447E-4</v>
      </c>
      <c r="M87" s="53">
        <f t="shared" si="58"/>
        <v>2.855569381043989E-3</v>
      </c>
      <c r="N87" s="53">
        <f>(N69/N72)</f>
        <v>4.2160782066756726E-2</v>
      </c>
    </row>
    <row r="88" spans="1:14" s="29" customFormat="1">
      <c r="A88" s="29" t="s">
        <v>151</v>
      </c>
      <c r="B88" s="53">
        <f t="shared" ref="B88:G88" si="59">(B70/B72)</f>
        <v>2.4581524342911698E-3</v>
      </c>
      <c r="C88" s="53">
        <f t="shared" si="59"/>
        <v>4.8894980782671167E-3</v>
      </c>
      <c r="D88" s="53">
        <f t="shared" si="59"/>
        <v>3.0049571292735688E-3</v>
      </c>
      <c r="E88" s="53">
        <f t="shared" si="59"/>
        <v>0</v>
      </c>
      <c r="F88" s="53">
        <f t="shared" si="59"/>
        <v>8.4045526815246599E-4</v>
      </c>
      <c r="G88" s="53">
        <f t="shared" si="59"/>
        <v>5.9131856681574209E-4</v>
      </c>
      <c r="H88" s="53">
        <f t="shared" ref="H88:M88" si="60">(H70/H72)</f>
        <v>8.2144549253685448E-4</v>
      </c>
      <c r="I88" s="53">
        <f t="shared" si="60"/>
        <v>7.9652745927746166E-4</v>
      </c>
      <c r="J88" s="53">
        <f t="shared" si="60"/>
        <v>0</v>
      </c>
      <c r="K88" s="53">
        <f t="shared" si="60"/>
        <v>0</v>
      </c>
      <c r="L88" s="53">
        <f t="shared" si="60"/>
        <v>0</v>
      </c>
      <c r="M88" s="53">
        <f t="shared" si="60"/>
        <v>0</v>
      </c>
      <c r="N88" s="53">
        <f>(N70/N72)</f>
        <v>0</v>
      </c>
    </row>
    <row r="89" spans="1:14">
      <c r="A89" s="29" t="s">
        <v>99</v>
      </c>
      <c r="B89" s="53">
        <f t="shared" ref="B89:G89" si="61">(B71/B72)</f>
        <v>5.358972563572207E-2</v>
      </c>
      <c r="C89" s="53">
        <f t="shared" si="61"/>
        <v>8.0182788093381294E-2</v>
      </c>
      <c r="D89" s="53">
        <f t="shared" si="61"/>
        <v>7.8596925332595061E-2</v>
      </c>
      <c r="E89" s="53">
        <f t="shared" si="61"/>
        <v>1.5340834498332347E-2</v>
      </c>
      <c r="F89" s="53">
        <f t="shared" si="61"/>
        <v>4.6225039748385627E-2</v>
      </c>
      <c r="G89" s="53">
        <f t="shared" si="61"/>
        <v>3.8013336438154841E-2</v>
      </c>
      <c r="H89" s="53">
        <f t="shared" ref="H89:M89" si="62">(H71/H72)</f>
        <v>9.1271721392983829E-7</v>
      </c>
      <c r="I89" s="53">
        <f t="shared" si="62"/>
        <v>8.8503051030829059E-7</v>
      </c>
      <c r="J89" s="53">
        <f t="shared" si="62"/>
        <v>0</v>
      </c>
      <c r="K89" s="53">
        <f t="shared" si="62"/>
        <v>0</v>
      </c>
      <c r="L89" s="53">
        <f t="shared" si="62"/>
        <v>7.868661963783849E-2</v>
      </c>
      <c r="M89" s="53">
        <f t="shared" si="62"/>
        <v>1.3054031456201093E-2</v>
      </c>
      <c r="N89" s="53">
        <f>(N71/N72)</f>
        <v>0</v>
      </c>
    </row>
    <row r="90" spans="1:14">
      <c r="A90" s="45" t="s">
        <v>159</v>
      </c>
      <c r="B90" s="54">
        <f t="shared" ref="B90:G90" si="63">SUM(B78:B89)</f>
        <v>1.0000000000000002</v>
      </c>
      <c r="C90" s="54">
        <f t="shared" si="63"/>
        <v>0.99999999999999989</v>
      </c>
      <c r="D90" s="54">
        <f t="shared" si="63"/>
        <v>0.99999999999999989</v>
      </c>
      <c r="E90" s="54">
        <f t="shared" si="63"/>
        <v>1.0000000000000002</v>
      </c>
      <c r="F90" s="54">
        <f t="shared" si="63"/>
        <v>1</v>
      </c>
      <c r="G90" s="54">
        <f t="shared" si="63"/>
        <v>0.99999999999999989</v>
      </c>
      <c r="H90" s="54">
        <f t="shared" ref="H90:M90" si="64">SUM(H78:H89)</f>
        <v>1</v>
      </c>
      <c r="I90" s="54">
        <f t="shared" si="64"/>
        <v>1</v>
      </c>
      <c r="J90" s="54">
        <f t="shared" si="64"/>
        <v>0.99999999999999989</v>
      </c>
      <c r="K90" s="54">
        <f t="shared" si="64"/>
        <v>1</v>
      </c>
      <c r="L90" s="54">
        <f t="shared" si="64"/>
        <v>1</v>
      </c>
      <c r="M90" s="54">
        <f t="shared" si="64"/>
        <v>1</v>
      </c>
      <c r="N90" s="54">
        <f>SUM(N78:N89)</f>
        <v>1</v>
      </c>
    </row>
    <row r="91" spans="1:14">
      <c r="A91" s="29"/>
      <c r="B91" s="29"/>
      <c r="C91" s="29"/>
      <c r="D91" s="29"/>
      <c r="G91" s="29"/>
    </row>
    <row r="92" spans="1:14" ht="16">
      <c r="A92" s="4" t="s">
        <v>330</v>
      </c>
    </row>
    <row r="93" spans="1:14">
      <c r="A93" s="10"/>
    </row>
    <row r="94" spans="1:14">
      <c r="A94" s="6" t="s">
        <v>628</v>
      </c>
      <c r="B94" s="22" t="s">
        <v>310</v>
      </c>
      <c r="C94" s="22" t="s">
        <v>339</v>
      </c>
      <c r="D94" s="22" t="s">
        <v>731</v>
      </c>
      <c r="E94" s="22" t="s">
        <v>24</v>
      </c>
      <c r="F94" s="22" t="s">
        <v>104</v>
      </c>
      <c r="G94" s="22" t="s">
        <v>970</v>
      </c>
      <c r="H94" s="22" t="s">
        <v>955</v>
      </c>
      <c r="I94" s="22" t="s">
        <v>1123</v>
      </c>
      <c r="J94" s="22" t="s">
        <v>1154</v>
      </c>
      <c r="K94" s="22" t="s">
        <v>1196</v>
      </c>
      <c r="L94" s="22" t="s">
        <v>1251</v>
      </c>
      <c r="M94" s="761" t="s">
        <v>1261</v>
      </c>
      <c r="N94" s="761" t="s">
        <v>1277</v>
      </c>
    </row>
    <row r="95" spans="1:14">
      <c r="A95" s="121" t="s">
        <v>131</v>
      </c>
      <c r="B95" s="122">
        <f t="shared" ref="B95:G95" si="65">B67</f>
        <v>125867.78564080001</v>
      </c>
      <c r="C95" s="122">
        <f t="shared" si="65"/>
        <v>185852.7376464</v>
      </c>
      <c r="D95" s="122">
        <f t="shared" si="65"/>
        <v>140803.189280016</v>
      </c>
      <c r="E95" s="122">
        <f t="shared" si="65"/>
        <v>0</v>
      </c>
      <c r="F95" s="122">
        <f t="shared" si="65"/>
        <v>0</v>
      </c>
      <c r="G95" s="122">
        <f t="shared" si="65"/>
        <v>139815.96205500001</v>
      </c>
      <c r="H95" s="122">
        <f t="shared" ref="H95:M95" si="66">H67</f>
        <v>3864017.7290290394</v>
      </c>
      <c r="I95" s="122">
        <f t="shared" si="66"/>
        <v>3777033.3398846397</v>
      </c>
      <c r="J95" s="122">
        <f t="shared" si="66"/>
        <v>4006875.0436</v>
      </c>
      <c r="K95" s="122">
        <f t="shared" si="66"/>
        <v>4456407.9090300007</v>
      </c>
      <c r="L95" s="122">
        <f t="shared" si="66"/>
        <v>3892034.0677359998</v>
      </c>
      <c r="M95" s="122">
        <f t="shared" si="66"/>
        <v>4924548.2671999997</v>
      </c>
      <c r="N95" s="122">
        <f>N67</f>
        <v>1213661.0999999999</v>
      </c>
    </row>
    <row r="96" spans="1:14">
      <c r="A96" s="71" t="s">
        <v>285</v>
      </c>
      <c r="B96" s="123">
        <f t="shared" ref="B96:G96" si="67">ROUND(B95*$B188,1)</f>
        <v>429.5</v>
      </c>
      <c r="C96" s="123">
        <f t="shared" si="67"/>
        <v>634.1</v>
      </c>
      <c r="D96" s="123">
        <f t="shared" si="67"/>
        <v>480.4</v>
      </c>
      <c r="E96" s="123">
        <f t="shared" si="67"/>
        <v>0</v>
      </c>
      <c r="F96" s="123">
        <f t="shared" si="67"/>
        <v>0</v>
      </c>
      <c r="G96" s="123">
        <f t="shared" si="67"/>
        <v>477.1</v>
      </c>
      <c r="H96" s="123">
        <f t="shared" ref="H96:M96" si="68">ROUND(H95*$B188,1)</f>
        <v>13184.4</v>
      </c>
      <c r="I96" s="123">
        <f t="shared" si="68"/>
        <v>12887.6</v>
      </c>
      <c r="J96" s="123">
        <f t="shared" si="68"/>
        <v>13671.9</v>
      </c>
      <c r="K96" s="123">
        <f t="shared" si="68"/>
        <v>15205.7</v>
      </c>
      <c r="L96" s="123">
        <f t="shared" si="68"/>
        <v>13280</v>
      </c>
      <c r="M96" s="123">
        <f t="shared" si="68"/>
        <v>16803.099999999999</v>
      </c>
      <c r="N96" s="123">
        <f>ROUND(N95*$B188,1)</f>
        <v>4141.1000000000004</v>
      </c>
    </row>
    <row r="97" spans="1:15" s="24" customFormat="1" ht="15">
      <c r="A97" s="83" t="s">
        <v>173</v>
      </c>
      <c r="B97" s="115">
        <f t="shared" ref="B97:G97" si="69">ROUND(B95*$B196,1)</f>
        <v>22.7</v>
      </c>
      <c r="C97" s="115">
        <f t="shared" si="69"/>
        <v>33.5</v>
      </c>
      <c r="D97" s="115">
        <f t="shared" si="69"/>
        <v>25.3</v>
      </c>
      <c r="E97" s="115">
        <f t="shared" si="69"/>
        <v>0</v>
      </c>
      <c r="F97" s="115">
        <f t="shared" si="69"/>
        <v>0</v>
      </c>
      <c r="G97" s="115">
        <f t="shared" si="69"/>
        <v>25.2</v>
      </c>
      <c r="H97" s="115">
        <f t="shared" ref="H97:M97" si="70">ROUND(H95*$B196,1)</f>
        <v>695.6</v>
      </c>
      <c r="I97" s="115">
        <f t="shared" si="70"/>
        <v>679.9</v>
      </c>
      <c r="J97" s="115">
        <f t="shared" si="70"/>
        <v>721.3</v>
      </c>
      <c r="K97" s="115">
        <f t="shared" si="70"/>
        <v>802.2</v>
      </c>
      <c r="L97" s="115">
        <f t="shared" si="70"/>
        <v>700.6</v>
      </c>
      <c r="M97" s="115">
        <f t="shared" si="70"/>
        <v>886.5</v>
      </c>
      <c r="N97" s="115">
        <f>ROUND(N95*$B196,1)</f>
        <v>218.5</v>
      </c>
    </row>
    <row r="98" spans="1:15" s="24" customFormat="1" ht="15">
      <c r="A98" s="25" t="s">
        <v>866</v>
      </c>
      <c r="B98" s="82">
        <f t="shared" ref="B98:G98" si="71">($B197*B96*$B190)</f>
        <v>4.0802499999999996E-4</v>
      </c>
      <c r="C98" s="82">
        <f t="shared" si="71"/>
        <v>6.0239499999999993E-4</v>
      </c>
      <c r="D98" s="82">
        <f t="shared" si="71"/>
        <v>4.5637999999999994E-4</v>
      </c>
      <c r="E98" s="82">
        <f t="shared" si="71"/>
        <v>0</v>
      </c>
      <c r="F98" s="82">
        <f t="shared" si="71"/>
        <v>0</v>
      </c>
      <c r="G98" s="82">
        <f t="shared" si="71"/>
        <v>4.5324499999999996E-4</v>
      </c>
      <c r="H98" s="82">
        <f t="shared" ref="H98:M98" si="72">($B197*H96*$B190)</f>
        <v>1.2525179999999999E-2</v>
      </c>
      <c r="I98" s="82">
        <f t="shared" si="72"/>
        <v>1.2243219999999999E-2</v>
      </c>
      <c r="J98" s="82">
        <f t="shared" si="72"/>
        <v>1.2988304999999999E-2</v>
      </c>
      <c r="K98" s="82">
        <f t="shared" si="72"/>
        <v>1.4445415E-2</v>
      </c>
      <c r="L98" s="82">
        <f t="shared" si="72"/>
        <v>1.2615999999999999E-2</v>
      </c>
      <c r="M98" s="82">
        <f t="shared" si="72"/>
        <v>1.5962944999999996E-2</v>
      </c>
      <c r="N98" s="82">
        <f>($B197*N96*$B190)</f>
        <v>3.9340449999999997E-3</v>
      </c>
    </row>
    <row r="99" spans="1:15" ht="15">
      <c r="A99" s="83" t="s">
        <v>188</v>
      </c>
      <c r="B99" s="124">
        <f t="shared" ref="B99:G99" si="73">B96*$B197*$B190*$B192</f>
        <v>8.5685249999999987E-3</v>
      </c>
      <c r="C99" s="124">
        <f t="shared" si="73"/>
        <v>1.2650294999999999E-2</v>
      </c>
      <c r="D99" s="124">
        <f t="shared" si="73"/>
        <v>9.5839799999999989E-3</v>
      </c>
      <c r="E99" s="124">
        <f t="shared" si="73"/>
        <v>0</v>
      </c>
      <c r="F99" s="124">
        <f t="shared" si="73"/>
        <v>0</v>
      </c>
      <c r="G99" s="124">
        <f t="shared" si="73"/>
        <v>9.5181449999999987E-3</v>
      </c>
      <c r="H99" s="124">
        <f t="shared" ref="H99:M99" si="74">H96*$B197*$B190*$B192</f>
        <v>0.26302877999999996</v>
      </c>
      <c r="I99" s="124">
        <f t="shared" si="74"/>
        <v>0.25710761999999998</v>
      </c>
      <c r="J99" s="124">
        <f t="shared" si="74"/>
        <v>0.27275440499999998</v>
      </c>
      <c r="K99" s="124">
        <f t="shared" si="74"/>
        <v>0.30335371499999997</v>
      </c>
      <c r="L99" s="124">
        <f t="shared" si="74"/>
        <v>0.26493599999999995</v>
      </c>
      <c r="M99" s="124">
        <f t="shared" si="74"/>
        <v>0.33522184499999991</v>
      </c>
      <c r="N99" s="124">
        <f>N96*$B197*$B190*$B192</f>
        <v>8.2614944999999995E-2</v>
      </c>
    </row>
    <row r="100" spans="1:15" ht="15">
      <c r="A100" s="25" t="s">
        <v>859</v>
      </c>
      <c r="B100" s="82">
        <f t="shared" ref="B100:G100" si="75">($B198*B96*$B190)</f>
        <v>4.0802500000000001E-5</v>
      </c>
      <c r="C100" s="82">
        <f t="shared" si="75"/>
        <v>6.0239499999999998E-5</v>
      </c>
      <c r="D100" s="82">
        <f t="shared" si="75"/>
        <v>4.5637999999999999E-5</v>
      </c>
      <c r="E100" s="82">
        <f t="shared" si="75"/>
        <v>0</v>
      </c>
      <c r="F100" s="82">
        <f t="shared" si="75"/>
        <v>0</v>
      </c>
      <c r="G100" s="82">
        <f t="shared" si="75"/>
        <v>4.5324499999999996E-5</v>
      </c>
      <c r="H100" s="82">
        <f t="shared" ref="H100:M100" si="76">($B198*H96*$B190)</f>
        <v>1.252518E-3</v>
      </c>
      <c r="I100" s="82">
        <f t="shared" si="76"/>
        <v>1.2243220000000001E-3</v>
      </c>
      <c r="J100" s="82">
        <f t="shared" si="76"/>
        <v>1.2988304999999999E-3</v>
      </c>
      <c r="K100" s="82">
        <f t="shared" si="76"/>
        <v>1.4445414999999999E-3</v>
      </c>
      <c r="L100" s="82">
        <f t="shared" si="76"/>
        <v>1.2615999999999999E-3</v>
      </c>
      <c r="M100" s="82">
        <f t="shared" si="76"/>
        <v>1.5962944999999998E-3</v>
      </c>
      <c r="N100" s="82">
        <f>($B198*N96*$B190)</f>
        <v>3.9340450000000004E-4</v>
      </c>
    </row>
    <row r="101" spans="1:15" ht="15">
      <c r="A101" s="83" t="s">
        <v>190</v>
      </c>
      <c r="B101" s="124">
        <f t="shared" ref="B101:G101" si="77">B96*$B198*$B190*$B193</f>
        <v>1.2648775000000001E-2</v>
      </c>
      <c r="C101" s="124">
        <f t="shared" si="77"/>
        <v>1.8674244999999999E-2</v>
      </c>
      <c r="D101" s="124">
        <f t="shared" si="77"/>
        <v>1.414778E-2</v>
      </c>
      <c r="E101" s="124">
        <f t="shared" si="77"/>
        <v>0</v>
      </c>
      <c r="F101" s="124">
        <f t="shared" si="77"/>
        <v>0</v>
      </c>
      <c r="G101" s="124">
        <f t="shared" si="77"/>
        <v>1.4050594999999999E-2</v>
      </c>
      <c r="H101" s="124">
        <f t="shared" ref="H101:M101" si="78">H96*$B198*$B190*$B193</f>
        <v>0.38828057999999999</v>
      </c>
      <c r="I101" s="124">
        <f t="shared" si="78"/>
        <v>0.37953982000000003</v>
      </c>
      <c r="J101" s="124">
        <f t="shared" si="78"/>
        <v>0.40263745499999998</v>
      </c>
      <c r="K101" s="124">
        <f t="shared" si="78"/>
        <v>0.44780786499999997</v>
      </c>
      <c r="L101" s="124">
        <f t="shared" si="78"/>
        <v>0.39109599999999994</v>
      </c>
      <c r="M101" s="124">
        <f t="shared" si="78"/>
        <v>0.49485129499999991</v>
      </c>
      <c r="N101" s="124">
        <f>N96*$B198*$B190*$B193</f>
        <v>0.12195539500000001</v>
      </c>
    </row>
    <row r="102" spans="1:15">
      <c r="A102" s="470" t="s">
        <v>410</v>
      </c>
      <c r="B102" s="472">
        <f t="shared" ref="B102:G102" si="79">ROUND(B97+B99+B101,1)</f>
        <v>22.7</v>
      </c>
      <c r="C102" s="472">
        <f t="shared" si="79"/>
        <v>33.5</v>
      </c>
      <c r="D102" s="472">
        <f t="shared" si="79"/>
        <v>25.3</v>
      </c>
      <c r="E102" s="472">
        <f t="shared" si="79"/>
        <v>0</v>
      </c>
      <c r="F102" s="472">
        <f t="shared" si="79"/>
        <v>0</v>
      </c>
      <c r="G102" s="472">
        <f t="shared" si="79"/>
        <v>25.2</v>
      </c>
      <c r="H102" s="472">
        <f t="shared" ref="H102:M102" si="80">ROUND(H97+H99+H101,1)</f>
        <v>696.3</v>
      </c>
      <c r="I102" s="472">
        <f t="shared" si="80"/>
        <v>680.5</v>
      </c>
      <c r="J102" s="472">
        <f t="shared" si="80"/>
        <v>722</v>
      </c>
      <c r="K102" s="472">
        <f t="shared" si="80"/>
        <v>803</v>
      </c>
      <c r="L102" s="472">
        <f t="shared" si="80"/>
        <v>701.3</v>
      </c>
      <c r="M102" s="472">
        <f t="shared" si="80"/>
        <v>887.3</v>
      </c>
      <c r="N102" s="472">
        <f>ROUND(N97+N99+N101,1)</f>
        <v>218.7</v>
      </c>
    </row>
    <row r="103" spans="1:15">
      <c r="E103" s="29"/>
      <c r="F103" s="29"/>
    </row>
    <row r="104" spans="1:15" ht="16">
      <c r="A104" s="4" t="s">
        <v>331</v>
      </c>
      <c r="E104" s="29"/>
      <c r="F104" s="29"/>
    </row>
    <row r="105" spans="1:15" s="24" customFormat="1">
      <c r="A105" s="10"/>
      <c r="B105"/>
      <c r="C105"/>
      <c r="D105"/>
      <c r="E105" s="29"/>
      <c r="F105" s="29"/>
      <c r="G105"/>
    </row>
    <row r="106" spans="1:15" s="24" customFormat="1">
      <c r="A106" s="6" t="s">
        <v>628</v>
      </c>
      <c r="B106" s="22" t="s">
        <v>310</v>
      </c>
      <c r="C106" s="22" t="s">
        <v>339</v>
      </c>
      <c r="D106" s="22" t="s">
        <v>731</v>
      </c>
      <c r="E106" s="551" t="s">
        <v>24</v>
      </c>
      <c r="F106" s="551" t="s">
        <v>103</v>
      </c>
      <c r="G106" s="551" t="s">
        <v>970</v>
      </c>
      <c r="H106" s="534" t="s">
        <v>955</v>
      </c>
      <c r="I106" s="534" t="s">
        <v>1123</v>
      </c>
      <c r="J106" s="534" t="s">
        <v>1154</v>
      </c>
      <c r="K106" s="22" t="s">
        <v>1196</v>
      </c>
      <c r="L106" s="22" t="s">
        <v>1251</v>
      </c>
      <c r="M106" s="761" t="s">
        <v>1261</v>
      </c>
      <c r="N106" s="761" t="s">
        <v>1277</v>
      </c>
    </row>
    <row r="107" spans="1:15">
      <c r="A107" s="50" t="s">
        <v>438</v>
      </c>
      <c r="B107" s="51">
        <f t="shared" ref="B107:G107" si="81">B68</f>
        <v>48573.138754</v>
      </c>
      <c r="C107" s="51">
        <f t="shared" si="81"/>
        <v>75482.852491200014</v>
      </c>
      <c r="D107" s="51">
        <f t="shared" si="81"/>
        <v>53224.57326736</v>
      </c>
      <c r="E107" s="51">
        <f t="shared" si="81"/>
        <v>0</v>
      </c>
      <c r="F107" s="51">
        <f t="shared" si="81"/>
        <v>0</v>
      </c>
      <c r="G107" s="51">
        <f t="shared" si="81"/>
        <v>21426.342237000001</v>
      </c>
      <c r="H107" s="51">
        <f t="shared" ref="H107:M107" si="82">H68</f>
        <v>475794.44787999999</v>
      </c>
      <c r="I107" s="51">
        <f t="shared" si="82"/>
        <v>465083.65607999999</v>
      </c>
      <c r="J107" s="51">
        <f t="shared" si="82"/>
        <v>0</v>
      </c>
      <c r="K107" s="51">
        <f t="shared" si="82"/>
        <v>0</v>
      </c>
      <c r="L107" s="51">
        <f t="shared" si="82"/>
        <v>238189.82960500001</v>
      </c>
      <c r="M107" s="51">
        <f t="shared" si="82"/>
        <v>161199.24184</v>
      </c>
      <c r="N107" s="51">
        <f>N68</f>
        <v>0</v>
      </c>
    </row>
    <row r="108" spans="1:15">
      <c r="A108" s="71" t="s">
        <v>285</v>
      </c>
      <c r="B108" s="123">
        <f t="shared" ref="B108:G108" si="83">ROUND(B107*$B188,1)</f>
        <v>165.7</v>
      </c>
      <c r="C108" s="123">
        <f t="shared" si="83"/>
        <v>257.60000000000002</v>
      </c>
      <c r="D108" s="123">
        <f t="shared" si="83"/>
        <v>181.6</v>
      </c>
      <c r="E108" s="123">
        <f t="shared" si="83"/>
        <v>0</v>
      </c>
      <c r="F108" s="123">
        <f t="shared" si="83"/>
        <v>0</v>
      </c>
      <c r="G108" s="123">
        <f t="shared" si="83"/>
        <v>73.099999999999994</v>
      </c>
      <c r="H108" s="123">
        <f t="shared" ref="H108:M108" si="84">ROUND(H107*$B188,1)</f>
        <v>1623.5</v>
      </c>
      <c r="I108" s="123">
        <f t="shared" si="84"/>
        <v>1586.9</v>
      </c>
      <c r="J108" s="123">
        <f t="shared" si="84"/>
        <v>0</v>
      </c>
      <c r="K108" s="123">
        <f t="shared" si="84"/>
        <v>0</v>
      </c>
      <c r="L108" s="123">
        <f t="shared" si="84"/>
        <v>812.7</v>
      </c>
      <c r="M108" s="123">
        <f t="shared" si="84"/>
        <v>550</v>
      </c>
      <c r="N108" s="123">
        <f>ROUND(N107*$B188,1)</f>
        <v>0</v>
      </c>
    </row>
    <row r="109" spans="1:15" ht="15">
      <c r="A109" s="83" t="s">
        <v>173</v>
      </c>
      <c r="B109" s="115">
        <f t="shared" ref="B109:G109" si="85">ROUND(B107*$B204,1)</f>
        <v>15.3</v>
      </c>
      <c r="C109" s="115">
        <f t="shared" si="85"/>
        <v>23.8</v>
      </c>
      <c r="D109" s="115">
        <f t="shared" si="85"/>
        <v>16.8</v>
      </c>
      <c r="E109" s="115">
        <f t="shared" si="85"/>
        <v>0</v>
      </c>
      <c r="F109" s="115">
        <f t="shared" si="85"/>
        <v>0</v>
      </c>
      <c r="G109" s="115">
        <f t="shared" si="85"/>
        <v>6.8</v>
      </c>
      <c r="H109" s="115">
        <f t="shared" ref="H109:M109" si="86">ROUND(H107*$B204,1)</f>
        <v>150.1</v>
      </c>
      <c r="I109" s="115">
        <f t="shared" si="86"/>
        <v>146.69999999999999</v>
      </c>
      <c r="J109" s="115">
        <f t="shared" si="86"/>
        <v>0</v>
      </c>
      <c r="K109" s="115">
        <f t="shared" si="86"/>
        <v>0</v>
      </c>
      <c r="L109" s="115">
        <f t="shared" si="86"/>
        <v>75.2</v>
      </c>
      <c r="M109" s="115">
        <f t="shared" si="86"/>
        <v>50.9</v>
      </c>
      <c r="N109" s="115">
        <f>ROUND(N107*$B204,1)</f>
        <v>0</v>
      </c>
      <c r="O109" s="17">
        <f>SUM(J97,J109,J121,J133,J145)</f>
        <v>1258.8</v>
      </c>
    </row>
    <row r="110" spans="1:15" ht="15">
      <c r="A110" s="25" t="s">
        <v>866</v>
      </c>
      <c r="B110" s="82">
        <f t="shared" ref="B110:G110" si="87">($B205*B108*$B190)</f>
        <v>1.6569999999999999E-4</v>
      </c>
      <c r="C110" s="82">
        <f t="shared" si="87"/>
        <v>2.5760000000000003E-4</v>
      </c>
      <c r="D110" s="82">
        <f t="shared" si="87"/>
        <v>1.816E-4</v>
      </c>
      <c r="E110" s="82">
        <f t="shared" si="87"/>
        <v>0</v>
      </c>
      <c r="F110" s="82">
        <f t="shared" si="87"/>
        <v>0</v>
      </c>
      <c r="G110" s="82">
        <f t="shared" si="87"/>
        <v>7.3099999999999988E-5</v>
      </c>
      <c r="H110" s="82">
        <f t="shared" ref="H110:M110" si="88">($B205*H108*$B190)</f>
        <v>1.6234999999999999E-3</v>
      </c>
      <c r="I110" s="82">
        <f t="shared" si="88"/>
        <v>1.5869E-3</v>
      </c>
      <c r="J110" s="82">
        <f t="shared" si="88"/>
        <v>0</v>
      </c>
      <c r="K110" s="82">
        <f t="shared" si="88"/>
        <v>0</v>
      </c>
      <c r="L110" s="82">
        <f t="shared" si="88"/>
        <v>8.1269999999999997E-4</v>
      </c>
      <c r="M110" s="82">
        <f t="shared" si="88"/>
        <v>5.4999999999999992E-4</v>
      </c>
      <c r="N110" s="82">
        <f>($B205*N108*$B190)</f>
        <v>0</v>
      </c>
      <c r="O110" s="7">
        <f>SUM(J100,J112,J124,J136,J148)</f>
        <v>5.7625175999999993E-3</v>
      </c>
    </row>
    <row r="111" spans="1:15" ht="15">
      <c r="A111" s="83" t="s">
        <v>188</v>
      </c>
      <c r="B111" s="124">
        <f t="shared" ref="B111:G111" si="89">B108*$B205*$B190*$B192</f>
        <v>3.4796999999999996E-3</v>
      </c>
      <c r="C111" s="124">
        <f t="shared" si="89"/>
        <v>5.4096000000000005E-3</v>
      </c>
      <c r="D111" s="124">
        <f t="shared" si="89"/>
        <v>3.8135999999999999E-3</v>
      </c>
      <c r="E111" s="124">
        <f t="shared" si="89"/>
        <v>0</v>
      </c>
      <c r="F111" s="124">
        <f t="shared" si="89"/>
        <v>0</v>
      </c>
      <c r="G111" s="124">
        <f t="shared" si="89"/>
        <v>1.5350999999999997E-3</v>
      </c>
      <c r="H111" s="124">
        <f t="shared" ref="H111:M111" si="90">H108*$B205*$B190*$B192</f>
        <v>3.4093499999999999E-2</v>
      </c>
      <c r="I111" s="124">
        <f t="shared" si="90"/>
        <v>3.3324899999999998E-2</v>
      </c>
      <c r="J111" s="124">
        <f t="shared" si="90"/>
        <v>0</v>
      </c>
      <c r="K111" s="124">
        <f t="shared" si="90"/>
        <v>0</v>
      </c>
      <c r="L111" s="124">
        <f t="shared" si="90"/>
        <v>1.7066700000000001E-2</v>
      </c>
      <c r="M111" s="124">
        <f t="shared" si="90"/>
        <v>1.1549999999999998E-2</v>
      </c>
      <c r="N111" s="124">
        <f>N108*$B205*$B190*$B192</f>
        <v>0</v>
      </c>
      <c r="O111" s="7">
        <f>SUM(J98,J110,J122,J134,J146)</f>
        <v>3.5343875999999996E-2</v>
      </c>
    </row>
    <row r="112" spans="1:15" ht="15">
      <c r="A112" s="25" t="s">
        <v>859</v>
      </c>
      <c r="B112" s="82">
        <f t="shared" ref="B112:G112" si="91">($B206*B108*$B190)</f>
        <v>2.3197999999999996E-4</v>
      </c>
      <c r="C112" s="82">
        <f t="shared" si="91"/>
        <v>3.6063999999999996E-4</v>
      </c>
      <c r="D112" s="82">
        <f t="shared" si="91"/>
        <v>2.5423999999999998E-4</v>
      </c>
      <c r="E112" s="82">
        <f t="shared" si="91"/>
        <v>0</v>
      </c>
      <c r="F112" s="82">
        <f t="shared" si="91"/>
        <v>0</v>
      </c>
      <c r="G112" s="82">
        <f t="shared" si="91"/>
        <v>1.0233999999999999E-4</v>
      </c>
      <c r="H112" s="82">
        <f t="shared" ref="H112:M112" si="92">($B206*H108*$B190)</f>
        <v>2.2728999999999996E-3</v>
      </c>
      <c r="I112" s="82">
        <f t="shared" si="92"/>
        <v>2.2216599999999999E-3</v>
      </c>
      <c r="J112" s="82">
        <f t="shared" si="92"/>
        <v>0</v>
      </c>
      <c r="K112" s="82">
        <f t="shared" si="92"/>
        <v>0</v>
      </c>
      <c r="L112" s="82">
        <f t="shared" si="92"/>
        <v>1.1377799999999999E-3</v>
      </c>
      <c r="M112" s="82">
        <f t="shared" si="92"/>
        <v>7.6999999999999996E-4</v>
      </c>
      <c r="N112" s="82">
        <f>($B206*N108*$B190)</f>
        <v>0</v>
      </c>
    </row>
    <row r="113" spans="1:14" ht="15">
      <c r="A113" s="83" t="s">
        <v>190</v>
      </c>
      <c r="B113" s="124">
        <f t="shared" ref="B113:G113" si="93">B108*$B206*$B190*$B193</f>
        <v>7.1913799999999986E-2</v>
      </c>
      <c r="C113" s="124">
        <f t="shared" si="93"/>
        <v>0.11179839999999999</v>
      </c>
      <c r="D113" s="124">
        <f t="shared" si="93"/>
        <v>7.8814399999999993E-2</v>
      </c>
      <c r="E113" s="124">
        <f t="shared" si="93"/>
        <v>0</v>
      </c>
      <c r="F113" s="124">
        <f t="shared" si="93"/>
        <v>0</v>
      </c>
      <c r="G113" s="124">
        <f t="shared" si="93"/>
        <v>3.1725399999999994E-2</v>
      </c>
      <c r="H113" s="124">
        <f t="shared" ref="H113:M113" si="94">H108*$B206*$B190*$B193</f>
        <v>0.70459899999999986</v>
      </c>
      <c r="I113" s="124">
        <f t="shared" si="94"/>
        <v>0.68871459999999995</v>
      </c>
      <c r="J113" s="124">
        <f t="shared" si="94"/>
        <v>0</v>
      </c>
      <c r="K113" s="124">
        <f t="shared" si="94"/>
        <v>0</v>
      </c>
      <c r="L113" s="124">
        <f t="shared" si="94"/>
        <v>0.35271179999999996</v>
      </c>
      <c r="M113" s="124">
        <f t="shared" si="94"/>
        <v>0.2387</v>
      </c>
      <c r="N113" s="124">
        <f>N108*$B206*$B190*$B193</f>
        <v>0</v>
      </c>
    </row>
    <row r="114" spans="1:14">
      <c r="A114" s="470" t="s">
        <v>584</v>
      </c>
      <c r="B114" s="472">
        <f t="shared" ref="B114:G114" si="95">ROUND(B109+B111+B113,1)</f>
        <v>15.4</v>
      </c>
      <c r="C114" s="472">
        <f t="shared" si="95"/>
        <v>23.9</v>
      </c>
      <c r="D114" s="472">
        <f t="shared" si="95"/>
        <v>16.899999999999999</v>
      </c>
      <c r="E114" s="472">
        <f t="shared" si="95"/>
        <v>0</v>
      </c>
      <c r="F114" s="472">
        <f t="shared" si="95"/>
        <v>0</v>
      </c>
      <c r="G114" s="472">
        <f t="shared" si="95"/>
        <v>6.8</v>
      </c>
      <c r="H114" s="472">
        <f t="shared" ref="H114:M114" si="96">ROUND(H109+H111+H113,1)</f>
        <v>150.80000000000001</v>
      </c>
      <c r="I114" s="472">
        <f t="shared" si="96"/>
        <v>147.4</v>
      </c>
      <c r="J114" s="472">
        <f t="shared" si="96"/>
        <v>0</v>
      </c>
      <c r="K114" s="472">
        <f t="shared" si="96"/>
        <v>0</v>
      </c>
      <c r="L114" s="472">
        <f t="shared" si="96"/>
        <v>75.599999999999994</v>
      </c>
      <c r="M114" s="472">
        <f t="shared" si="96"/>
        <v>51.2</v>
      </c>
      <c r="N114" s="472">
        <f>ROUND(N109+N111+N113,1)</f>
        <v>0</v>
      </c>
    </row>
    <row r="115" spans="1:14">
      <c r="A115" s="10"/>
      <c r="E115" s="70"/>
      <c r="F115" s="70"/>
    </row>
    <row r="116" spans="1:14" ht="16">
      <c r="A116" s="55" t="s">
        <v>150</v>
      </c>
      <c r="E116" s="70"/>
      <c r="F116" s="70"/>
    </row>
    <row r="117" spans="1:14" s="24" customFormat="1">
      <c r="A117" s="10"/>
      <c r="B117"/>
      <c r="C117"/>
      <c r="D117"/>
      <c r="E117" s="73"/>
      <c r="F117" s="73"/>
      <c r="G117"/>
    </row>
    <row r="118" spans="1:14" s="24" customFormat="1">
      <c r="A118" s="6" t="s">
        <v>628</v>
      </c>
      <c r="B118" s="679" t="s">
        <v>310</v>
      </c>
      <c r="C118" s="679" t="s">
        <v>339</v>
      </c>
      <c r="D118" s="679" t="s">
        <v>731</v>
      </c>
      <c r="E118" s="680" t="s">
        <v>24</v>
      </c>
      <c r="F118" s="680" t="s">
        <v>103</v>
      </c>
      <c r="G118" s="680" t="s">
        <v>970</v>
      </c>
      <c r="H118" s="681" t="s">
        <v>955</v>
      </c>
      <c r="I118" s="681" t="s">
        <v>1123</v>
      </c>
      <c r="J118" s="681" t="s">
        <v>1154</v>
      </c>
      <c r="K118" s="22" t="s">
        <v>1196</v>
      </c>
      <c r="L118" s="22" t="s">
        <v>1251</v>
      </c>
      <c r="M118" s="761" t="s">
        <v>1261</v>
      </c>
      <c r="N118" s="761" t="s">
        <v>1277</v>
      </c>
    </row>
    <row r="119" spans="1:14" s="24" customFormat="1">
      <c r="A119" s="50" t="s">
        <v>465</v>
      </c>
      <c r="B119" s="51">
        <f t="shared" ref="B119:G119" si="97">B69</f>
        <v>10223.2018744</v>
      </c>
      <c r="C119" s="51">
        <f t="shared" si="97"/>
        <v>17075.880096000001</v>
      </c>
      <c r="D119" s="51">
        <f t="shared" si="97"/>
        <v>11055.981349663998</v>
      </c>
      <c r="E119" s="51">
        <f t="shared" si="97"/>
        <v>44325.35</v>
      </c>
      <c r="F119" s="51">
        <f t="shared" si="97"/>
        <v>0</v>
      </c>
      <c r="G119" s="51">
        <f t="shared" si="97"/>
        <v>6371.1989999999996</v>
      </c>
      <c r="H119" s="51">
        <f t="shared" ref="H119:M119" si="98">H69</f>
        <v>26644.48908128</v>
      </c>
      <c r="I119" s="51">
        <f t="shared" si="98"/>
        <v>236871.36474048003</v>
      </c>
      <c r="J119" s="51">
        <f t="shared" si="98"/>
        <v>2176683.7820000001</v>
      </c>
      <c r="K119" s="51">
        <f t="shared" si="98"/>
        <v>2234579.7936000004</v>
      </c>
      <c r="L119" s="51">
        <f t="shared" si="98"/>
        <v>23312.196088999997</v>
      </c>
      <c r="M119" s="51">
        <f t="shared" si="98"/>
        <v>70524.668304999999</v>
      </c>
      <c r="N119" s="51">
        <f>N69</f>
        <v>1011384.25</v>
      </c>
    </row>
    <row r="120" spans="1:14" s="24" customFormat="1">
      <c r="A120" s="71" t="s">
        <v>285</v>
      </c>
      <c r="B120" s="123">
        <f t="shared" ref="B120:G120" si="99">ROUND(B119*$B188,1)</f>
        <v>34.9</v>
      </c>
      <c r="C120" s="123">
        <f t="shared" si="99"/>
        <v>58.3</v>
      </c>
      <c r="D120" s="123">
        <f t="shared" si="99"/>
        <v>37.700000000000003</v>
      </c>
      <c r="E120" s="123">
        <f t="shared" si="99"/>
        <v>151.19999999999999</v>
      </c>
      <c r="F120" s="123">
        <f t="shared" si="99"/>
        <v>0</v>
      </c>
      <c r="G120" s="123">
        <f t="shared" si="99"/>
        <v>21.7</v>
      </c>
      <c r="H120" s="123">
        <f t="shared" ref="H120:M120" si="100">ROUND(H119*$B188,1)</f>
        <v>90.9</v>
      </c>
      <c r="I120" s="123">
        <f t="shared" si="100"/>
        <v>808.2</v>
      </c>
      <c r="J120" s="123">
        <f t="shared" si="100"/>
        <v>7427.1</v>
      </c>
      <c r="K120" s="123">
        <f t="shared" si="100"/>
        <v>7624.6</v>
      </c>
      <c r="L120" s="123">
        <f t="shared" si="100"/>
        <v>79.5</v>
      </c>
      <c r="M120" s="123">
        <f t="shared" si="100"/>
        <v>240.6</v>
      </c>
      <c r="N120" s="123">
        <f>ROUND(N119*$B188,1)</f>
        <v>3450.9</v>
      </c>
    </row>
    <row r="121" spans="1:14" s="24" customFormat="1" ht="15">
      <c r="A121" s="83" t="s">
        <v>173</v>
      </c>
      <c r="B121" s="115">
        <f t="shared" ref="B121:G121" si="101">ROUND(B119*$B212,1)</f>
        <v>2.5</v>
      </c>
      <c r="C121" s="115">
        <f t="shared" si="101"/>
        <v>4.2</v>
      </c>
      <c r="D121" s="115">
        <f t="shared" si="101"/>
        <v>2.7</v>
      </c>
      <c r="E121" s="115">
        <f t="shared" si="101"/>
        <v>10.9</v>
      </c>
      <c r="F121" s="115">
        <f t="shared" si="101"/>
        <v>0</v>
      </c>
      <c r="G121" s="115">
        <f t="shared" si="101"/>
        <v>1.6</v>
      </c>
      <c r="H121" s="115">
        <f t="shared" ref="H121:M121" si="102">ROUND(H119*$B212,1)</f>
        <v>6.6</v>
      </c>
      <c r="I121" s="115">
        <f t="shared" si="102"/>
        <v>58.5</v>
      </c>
      <c r="J121" s="115">
        <f t="shared" si="102"/>
        <v>537.5</v>
      </c>
      <c r="K121" s="115">
        <f t="shared" si="102"/>
        <v>551.79999999999995</v>
      </c>
      <c r="L121" s="115">
        <f t="shared" si="102"/>
        <v>5.8</v>
      </c>
      <c r="M121" s="115">
        <f t="shared" si="102"/>
        <v>17.399999999999999</v>
      </c>
      <c r="N121" s="115">
        <f>ROUND(N119*$B212,1)</f>
        <v>249.7</v>
      </c>
    </row>
    <row r="122" spans="1:14" s="24" customFormat="1" ht="15">
      <c r="A122" s="25" t="s">
        <v>866</v>
      </c>
      <c r="B122" s="82">
        <f t="shared" ref="B122:G122" si="103">($B213*B120*$B190)</f>
        <v>1.0504899999999999E-4</v>
      </c>
      <c r="C122" s="82">
        <f t="shared" si="103"/>
        <v>1.7548299999999996E-4</v>
      </c>
      <c r="D122" s="82">
        <f t="shared" si="103"/>
        <v>1.13477E-4</v>
      </c>
      <c r="E122" s="82">
        <f t="shared" si="103"/>
        <v>4.5511199999999987E-4</v>
      </c>
      <c r="F122" s="82">
        <f t="shared" si="103"/>
        <v>0</v>
      </c>
      <c r="G122" s="82">
        <f t="shared" si="103"/>
        <v>6.5316999999999985E-5</v>
      </c>
      <c r="H122" s="82">
        <f t="shared" ref="H122:M122" si="104">($B213*H120*$B190)</f>
        <v>2.7360899999999996E-4</v>
      </c>
      <c r="I122" s="82">
        <f t="shared" si="104"/>
        <v>2.4326819999999998E-3</v>
      </c>
      <c r="J122" s="82">
        <f t="shared" si="104"/>
        <v>2.2355570999999998E-2</v>
      </c>
      <c r="K122" s="82">
        <f t="shared" si="104"/>
        <v>2.2950045999999998E-2</v>
      </c>
      <c r="L122" s="82">
        <f t="shared" si="104"/>
        <v>2.3929499999999996E-4</v>
      </c>
      <c r="M122" s="82">
        <f t="shared" si="104"/>
        <v>7.2420599999999992E-4</v>
      </c>
      <c r="N122" s="82">
        <f>($B213*N120*$B190)</f>
        <v>1.0387208999999998E-2</v>
      </c>
    </row>
    <row r="123" spans="1:14" s="24" customFormat="1" ht="15">
      <c r="A123" s="83" t="s">
        <v>188</v>
      </c>
      <c r="B123" s="124">
        <f t="shared" ref="B123:G123" si="105">B120*$B213*$B190*$B192</f>
        <v>2.206029E-3</v>
      </c>
      <c r="C123" s="124">
        <f t="shared" si="105"/>
        <v>3.6851429999999992E-3</v>
      </c>
      <c r="D123" s="124">
        <f t="shared" si="105"/>
        <v>2.3830169999999999E-3</v>
      </c>
      <c r="E123" s="124">
        <f t="shared" si="105"/>
        <v>9.5573519999999964E-3</v>
      </c>
      <c r="F123" s="124">
        <f t="shared" si="105"/>
        <v>0</v>
      </c>
      <c r="G123" s="124">
        <f t="shared" si="105"/>
        <v>1.3716569999999997E-3</v>
      </c>
      <c r="H123" s="124">
        <f t="shared" ref="H123:M123" si="106">H120*$B213*$B190*$B192</f>
        <v>5.7457889999999994E-3</v>
      </c>
      <c r="I123" s="124">
        <f t="shared" si="106"/>
        <v>5.1086321999999997E-2</v>
      </c>
      <c r="J123" s="124">
        <f t="shared" si="106"/>
        <v>0.46946699099999994</v>
      </c>
      <c r="K123" s="124">
        <f t="shared" si="106"/>
        <v>0.48195096599999998</v>
      </c>
      <c r="L123" s="124">
        <f t="shared" si="106"/>
        <v>5.0251949999999997E-3</v>
      </c>
      <c r="M123" s="124">
        <f t="shared" si="106"/>
        <v>1.5208325999999998E-2</v>
      </c>
      <c r="N123" s="124">
        <f>N120*$B213*$B190*$B192</f>
        <v>0.21813138899999995</v>
      </c>
    </row>
    <row r="124" spans="1:14" ht="15">
      <c r="A124" s="25" t="s">
        <v>859</v>
      </c>
      <c r="B124" s="82">
        <f t="shared" ref="B124:G124" si="107">($B214*B120*$B190)</f>
        <v>2.0974899999999998E-5</v>
      </c>
      <c r="C124" s="82">
        <f t="shared" si="107"/>
        <v>3.50383E-5</v>
      </c>
      <c r="D124" s="82">
        <f t="shared" si="107"/>
        <v>2.2657700000000002E-5</v>
      </c>
      <c r="E124" s="82">
        <f t="shared" si="107"/>
        <v>9.0871199999999978E-5</v>
      </c>
      <c r="F124" s="82">
        <f t="shared" si="107"/>
        <v>0</v>
      </c>
      <c r="G124" s="82">
        <f t="shared" si="107"/>
        <v>1.3041699999999997E-5</v>
      </c>
      <c r="H124" s="82">
        <f t="shared" ref="H124:M124" si="108">($B214*H120*$B190)</f>
        <v>5.4630899999999999E-5</v>
      </c>
      <c r="I124" s="82">
        <f t="shared" si="108"/>
        <v>4.8572820000000001E-4</v>
      </c>
      <c r="J124" s="82">
        <f t="shared" si="108"/>
        <v>4.4636870999999996E-3</v>
      </c>
      <c r="K124" s="82">
        <f t="shared" si="108"/>
        <v>4.5823846000000003E-3</v>
      </c>
      <c r="L124" s="82">
        <f t="shared" si="108"/>
        <v>4.7779499999999999E-5</v>
      </c>
      <c r="M124" s="82">
        <f t="shared" si="108"/>
        <v>1.4460059999999998E-4</v>
      </c>
      <c r="N124" s="82">
        <f>($B214*N120*$B190)</f>
        <v>2.0739908999999998E-3</v>
      </c>
    </row>
    <row r="125" spans="1:14" ht="15">
      <c r="A125" s="83" t="s">
        <v>190</v>
      </c>
      <c r="B125" s="124">
        <f t="shared" ref="B125:G125" si="109">B120*$B214*$B190*$B193</f>
        <v>6.5022189999999992E-3</v>
      </c>
      <c r="C125" s="124">
        <f t="shared" si="109"/>
        <v>1.0861872999999999E-2</v>
      </c>
      <c r="D125" s="124">
        <f t="shared" si="109"/>
        <v>7.0238870000000004E-3</v>
      </c>
      <c r="E125" s="124">
        <f t="shared" si="109"/>
        <v>2.8170071999999994E-2</v>
      </c>
      <c r="F125" s="124">
        <f t="shared" si="109"/>
        <v>0</v>
      </c>
      <c r="G125" s="124">
        <f t="shared" si="109"/>
        <v>4.0429269999999991E-3</v>
      </c>
      <c r="H125" s="124">
        <f t="shared" ref="H125:M125" si="110">H120*$B214*$B190*$B193</f>
        <v>1.6935578999999999E-2</v>
      </c>
      <c r="I125" s="124">
        <f t="shared" si="110"/>
        <v>0.15057574200000001</v>
      </c>
      <c r="J125" s="124">
        <f t="shared" si="110"/>
        <v>1.3837430009999998</v>
      </c>
      <c r="K125" s="124">
        <f t="shared" si="110"/>
        <v>1.420539226</v>
      </c>
      <c r="L125" s="124">
        <f t="shared" si="110"/>
        <v>1.4811645E-2</v>
      </c>
      <c r="M125" s="124">
        <f t="shared" si="110"/>
        <v>4.482618599999999E-2</v>
      </c>
      <c r="N125" s="124">
        <f>N120*$B214*$B190*$B193</f>
        <v>0.64293717899999991</v>
      </c>
    </row>
    <row r="126" spans="1:14">
      <c r="A126" s="483" t="s">
        <v>367</v>
      </c>
      <c r="B126" s="484">
        <f t="shared" ref="B126:G126" si="111">ROUND(B121+B123+B125,1)</f>
        <v>2.5</v>
      </c>
      <c r="C126" s="484">
        <f t="shared" si="111"/>
        <v>4.2</v>
      </c>
      <c r="D126" s="484">
        <f t="shared" si="111"/>
        <v>2.7</v>
      </c>
      <c r="E126" s="484">
        <f t="shared" si="111"/>
        <v>10.9</v>
      </c>
      <c r="F126" s="484">
        <f t="shared" si="111"/>
        <v>0</v>
      </c>
      <c r="G126" s="484">
        <f t="shared" si="111"/>
        <v>1.6</v>
      </c>
      <c r="H126" s="484">
        <f t="shared" ref="H126:M126" si="112">ROUND(H121+H123+H125,1)</f>
        <v>6.6</v>
      </c>
      <c r="I126" s="484">
        <f t="shared" si="112"/>
        <v>58.7</v>
      </c>
      <c r="J126" s="484">
        <f t="shared" si="112"/>
        <v>539.4</v>
      </c>
      <c r="K126" s="484">
        <f t="shared" si="112"/>
        <v>553.70000000000005</v>
      </c>
      <c r="L126" s="484">
        <f t="shared" si="112"/>
        <v>5.8</v>
      </c>
      <c r="M126" s="484">
        <f t="shared" si="112"/>
        <v>17.5</v>
      </c>
      <c r="N126" s="484">
        <f>ROUND(N121+N123+N125,1)</f>
        <v>250.6</v>
      </c>
    </row>
    <row r="127" spans="1:14">
      <c r="A127" s="10"/>
      <c r="B127" s="18"/>
      <c r="E127" s="29"/>
      <c r="F127" s="29"/>
    </row>
    <row r="128" spans="1:14" ht="16">
      <c r="A128" s="55" t="s">
        <v>151</v>
      </c>
      <c r="E128" s="29"/>
      <c r="F128" s="29"/>
    </row>
    <row r="129" spans="1:14" s="24" customFormat="1">
      <c r="A129" s="10"/>
      <c r="B129"/>
      <c r="C129"/>
      <c r="D129"/>
      <c r="E129" s="73"/>
      <c r="F129" s="73"/>
      <c r="G129"/>
    </row>
    <row r="130" spans="1:14" s="24" customFormat="1">
      <c r="A130" s="6" t="s">
        <v>628</v>
      </c>
      <c r="B130" s="679" t="s">
        <v>310</v>
      </c>
      <c r="C130" s="679" t="s">
        <v>339</v>
      </c>
      <c r="D130" s="679" t="s">
        <v>731</v>
      </c>
      <c r="E130" s="680" t="s">
        <v>24</v>
      </c>
      <c r="F130" s="680" t="s">
        <v>103</v>
      </c>
      <c r="G130" s="680" t="s">
        <v>970</v>
      </c>
      <c r="H130" s="681" t="s">
        <v>955</v>
      </c>
      <c r="I130" s="681" t="s">
        <v>1123</v>
      </c>
      <c r="J130" s="681" t="s">
        <v>1154</v>
      </c>
      <c r="K130" s="22" t="s">
        <v>1196</v>
      </c>
      <c r="L130" s="22" t="s">
        <v>1251</v>
      </c>
      <c r="M130" s="761" t="s">
        <v>1261</v>
      </c>
      <c r="N130" s="761" t="s">
        <v>1277</v>
      </c>
    </row>
    <row r="131" spans="1:14">
      <c r="A131" s="50" t="s">
        <v>465</v>
      </c>
      <c r="B131" s="51">
        <f t="shared" ref="B131:G131" si="113">B70</f>
        <v>63485.566445999997</v>
      </c>
      <c r="C131" s="51">
        <f t="shared" si="113"/>
        <v>129287.23869600001</v>
      </c>
      <c r="D131" s="51">
        <f t="shared" si="113"/>
        <v>76920.855524927989</v>
      </c>
      <c r="E131" s="51">
        <f t="shared" si="113"/>
        <v>0</v>
      </c>
      <c r="F131" s="51">
        <f t="shared" si="113"/>
        <v>22004.233</v>
      </c>
      <c r="G131" s="51">
        <f t="shared" si="113"/>
        <v>14866.131000000003</v>
      </c>
      <c r="H131" s="51">
        <f t="shared" ref="H131:M131" si="114">H70</f>
        <v>19411.378199999999</v>
      </c>
      <c r="I131" s="51">
        <f t="shared" si="114"/>
        <v>18974.4012</v>
      </c>
      <c r="J131" s="51">
        <f t="shared" si="114"/>
        <v>0</v>
      </c>
      <c r="K131" s="51">
        <f t="shared" si="114"/>
        <v>0</v>
      </c>
      <c r="L131" s="51">
        <f t="shared" si="114"/>
        <v>0</v>
      </c>
      <c r="M131" s="51">
        <f t="shared" si="114"/>
        <v>0</v>
      </c>
      <c r="N131" s="51">
        <f>N70</f>
        <v>0</v>
      </c>
    </row>
    <row r="132" spans="1:14">
      <c r="A132" s="71" t="s">
        <v>285</v>
      </c>
      <c r="B132" s="123">
        <f t="shared" ref="B132:G132" si="115">ROUND(B131*$B188,1)</f>
        <v>216.6</v>
      </c>
      <c r="C132" s="123">
        <f t="shared" si="115"/>
        <v>441.1</v>
      </c>
      <c r="D132" s="123">
        <f t="shared" si="115"/>
        <v>262.5</v>
      </c>
      <c r="E132" s="123">
        <f t="shared" si="115"/>
        <v>0</v>
      </c>
      <c r="F132" s="123">
        <f t="shared" si="115"/>
        <v>75.099999999999994</v>
      </c>
      <c r="G132" s="123">
        <f t="shared" si="115"/>
        <v>50.7</v>
      </c>
      <c r="H132" s="123">
        <f t="shared" ref="H132:M132" si="116">ROUND(H131*$B188,1)</f>
        <v>66.2</v>
      </c>
      <c r="I132" s="123">
        <f t="shared" si="116"/>
        <v>64.7</v>
      </c>
      <c r="J132" s="123">
        <f t="shared" si="116"/>
        <v>0</v>
      </c>
      <c r="K132" s="123">
        <f t="shared" si="116"/>
        <v>0</v>
      </c>
      <c r="L132" s="123">
        <f t="shared" si="116"/>
        <v>0</v>
      </c>
      <c r="M132" s="123">
        <f t="shared" si="116"/>
        <v>0</v>
      </c>
      <c r="N132" s="123">
        <f>ROUND(N131*$B188,1)</f>
        <v>0</v>
      </c>
    </row>
    <row r="133" spans="1:14" ht="15">
      <c r="A133" s="83" t="s">
        <v>173</v>
      </c>
      <c r="B133" s="115">
        <f t="shared" ref="B133:G133" si="117">ROUND(B131*$B220,1)</f>
        <v>16.899999999999999</v>
      </c>
      <c r="C133" s="115">
        <f t="shared" si="117"/>
        <v>34.4</v>
      </c>
      <c r="D133" s="115">
        <f t="shared" si="117"/>
        <v>20.5</v>
      </c>
      <c r="E133" s="115">
        <f t="shared" si="117"/>
        <v>0</v>
      </c>
      <c r="F133" s="115">
        <f t="shared" si="117"/>
        <v>5.9</v>
      </c>
      <c r="G133" s="115">
        <f t="shared" si="117"/>
        <v>4</v>
      </c>
      <c r="H133" s="115">
        <f t="shared" ref="H133:M133" si="118">ROUND(H131*$B220,1)</f>
        <v>5.2</v>
      </c>
      <c r="I133" s="115">
        <f t="shared" si="118"/>
        <v>5</v>
      </c>
      <c r="J133" s="115">
        <f t="shared" si="118"/>
        <v>0</v>
      </c>
      <c r="K133" s="115">
        <f t="shared" si="118"/>
        <v>0</v>
      </c>
      <c r="L133" s="115">
        <f t="shared" si="118"/>
        <v>0</v>
      </c>
      <c r="M133" s="115">
        <f t="shared" si="118"/>
        <v>0</v>
      </c>
      <c r="N133" s="115">
        <f>ROUND(N131*$B220,1)</f>
        <v>0</v>
      </c>
    </row>
    <row r="134" spans="1:14" ht="15">
      <c r="A134" s="25" t="s">
        <v>866</v>
      </c>
      <c r="B134" s="82">
        <f t="shared" ref="B134:G134" si="119">($B221*B132*$B190)</f>
        <v>6.5196599999999992E-4</v>
      </c>
      <c r="C134" s="82">
        <f t="shared" si="119"/>
        <v>1.3277109999999999E-3</v>
      </c>
      <c r="D134" s="82">
        <f t="shared" si="119"/>
        <v>7.9012499999999992E-4</v>
      </c>
      <c r="E134" s="82">
        <f t="shared" si="119"/>
        <v>0</v>
      </c>
      <c r="F134" s="82">
        <f t="shared" si="119"/>
        <v>2.2605099999999995E-4</v>
      </c>
      <c r="G134" s="82">
        <f t="shared" si="119"/>
        <v>1.52607E-4</v>
      </c>
      <c r="H134" s="82">
        <f t="shared" ref="H134:M134" si="120">($B221*H132*$B190)</f>
        <v>1.9926199999999999E-4</v>
      </c>
      <c r="I134" s="82">
        <f t="shared" si="120"/>
        <v>1.9474699999999997E-4</v>
      </c>
      <c r="J134" s="82">
        <f t="shared" si="120"/>
        <v>0</v>
      </c>
      <c r="K134" s="82">
        <f t="shared" si="120"/>
        <v>0</v>
      </c>
      <c r="L134" s="82">
        <f t="shared" si="120"/>
        <v>0</v>
      </c>
      <c r="M134" s="82">
        <f t="shared" si="120"/>
        <v>0</v>
      </c>
      <c r="N134" s="82">
        <f>($B221*N132*$B190)</f>
        <v>0</v>
      </c>
    </row>
    <row r="135" spans="1:14" ht="15">
      <c r="A135" s="90" t="s">
        <v>188</v>
      </c>
      <c r="B135" s="128">
        <f t="shared" ref="B135:G135" si="121">B132*$B221*$B190*$B192</f>
        <v>1.3691285999999999E-2</v>
      </c>
      <c r="C135" s="128">
        <f t="shared" si="121"/>
        <v>2.7881930999999999E-2</v>
      </c>
      <c r="D135" s="128">
        <f t="shared" si="121"/>
        <v>1.6592625E-2</v>
      </c>
      <c r="E135" s="128">
        <f t="shared" si="121"/>
        <v>0</v>
      </c>
      <c r="F135" s="128">
        <f t="shared" si="121"/>
        <v>4.7470709999999994E-3</v>
      </c>
      <c r="G135" s="128">
        <f t="shared" si="121"/>
        <v>3.204747E-3</v>
      </c>
      <c r="H135" s="128">
        <f t="shared" ref="H135:M135" si="122">H132*$B221*$B190*$B192</f>
        <v>4.1845019999999997E-3</v>
      </c>
      <c r="I135" s="128">
        <f t="shared" si="122"/>
        <v>4.089686999999999E-3</v>
      </c>
      <c r="J135" s="128">
        <f t="shared" si="122"/>
        <v>0</v>
      </c>
      <c r="K135" s="128">
        <f t="shared" si="122"/>
        <v>0</v>
      </c>
      <c r="L135" s="128">
        <f t="shared" si="122"/>
        <v>0</v>
      </c>
      <c r="M135" s="128">
        <f t="shared" si="122"/>
        <v>0</v>
      </c>
      <c r="N135" s="128">
        <f>N132*$B221*$B190*$B192</f>
        <v>0</v>
      </c>
    </row>
    <row r="136" spans="1:14" ht="15">
      <c r="A136" s="71" t="s">
        <v>859</v>
      </c>
      <c r="B136" s="129">
        <f t="shared" ref="B136:G136" si="123">($B222*B132*$B190)</f>
        <v>1.3017659999999998E-4</v>
      </c>
      <c r="C136" s="129">
        <f t="shared" si="123"/>
        <v>2.6510110000000004E-4</v>
      </c>
      <c r="D136" s="129">
        <f t="shared" si="123"/>
        <v>1.5776249999999999E-4</v>
      </c>
      <c r="E136" s="129">
        <f t="shared" si="123"/>
        <v>0</v>
      </c>
      <c r="F136" s="129">
        <f t="shared" si="123"/>
        <v>4.5135099999999994E-5</v>
      </c>
      <c r="G136" s="129">
        <f t="shared" si="123"/>
        <v>3.0470699999999999E-5</v>
      </c>
      <c r="H136" s="129">
        <f t="shared" ref="H136:M136" si="124">($B222*H132*$B190)</f>
        <v>3.9786200000000002E-5</v>
      </c>
      <c r="I136" s="129">
        <f t="shared" si="124"/>
        <v>3.8884699999999997E-5</v>
      </c>
      <c r="J136" s="129">
        <f t="shared" si="124"/>
        <v>0</v>
      </c>
      <c r="K136" s="129">
        <f t="shared" si="124"/>
        <v>0</v>
      </c>
      <c r="L136" s="129">
        <f t="shared" si="124"/>
        <v>0</v>
      </c>
      <c r="M136" s="129">
        <f t="shared" si="124"/>
        <v>0</v>
      </c>
      <c r="N136" s="129">
        <f>($B222*N132*$B190)</f>
        <v>0</v>
      </c>
    </row>
    <row r="137" spans="1:14" ht="15">
      <c r="A137" s="90" t="s">
        <v>190</v>
      </c>
      <c r="B137" s="128">
        <f t="shared" ref="B137:G137" si="125">B132*$B222*$B190*$B193</f>
        <v>4.0354745999999997E-2</v>
      </c>
      <c r="C137" s="128">
        <f t="shared" si="125"/>
        <v>8.2181341000000019E-2</v>
      </c>
      <c r="D137" s="128">
        <f t="shared" si="125"/>
        <v>4.8906374999999995E-2</v>
      </c>
      <c r="E137" s="128">
        <f t="shared" si="125"/>
        <v>0</v>
      </c>
      <c r="F137" s="128">
        <f t="shared" si="125"/>
        <v>1.3991880999999998E-2</v>
      </c>
      <c r="G137" s="128">
        <f t="shared" si="125"/>
        <v>9.4459169999999999E-3</v>
      </c>
      <c r="H137" s="128">
        <f t="shared" ref="H137:M137" si="126">H132*$B222*$B190*$B193</f>
        <v>1.2333722E-2</v>
      </c>
      <c r="I137" s="128">
        <f t="shared" si="126"/>
        <v>1.2054256999999999E-2</v>
      </c>
      <c r="J137" s="128">
        <f t="shared" si="126"/>
        <v>0</v>
      </c>
      <c r="K137" s="128">
        <f t="shared" si="126"/>
        <v>0</v>
      </c>
      <c r="L137" s="128">
        <f t="shared" si="126"/>
        <v>0</v>
      </c>
      <c r="M137" s="128">
        <f t="shared" si="126"/>
        <v>0</v>
      </c>
      <c r="N137" s="128">
        <f>N132*$B222*$B190*$B193</f>
        <v>0</v>
      </c>
    </row>
    <row r="138" spans="1:14">
      <c r="A138" s="470" t="s">
        <v>361</v>
      </c>
      <c r="B138" s="472">
        <f t="shared" ref="B138:G138" si="127">ROUND(B133+B135+B137,1)</f>
        <v>17</v>
      </c>
      <c r="C138" s="472">
        <f t="shared" si="127"/>
        <v>34.5</v>
      </c>
      <c r="D138" s="472">
        <f t="shared" si="127"/>
        <v>20.6</v>
      </c>
      <c r="E138" s="472">
        <f t="shared" si="127"/>
        <v>0</v>
      </c>
      <c r="F138" s="472">
        <f t="shared" si="127"/>
        <v>5.9</v>
      </c>
      <c r="G138" s="472">
        <f t="shared" si="127"/>
        <v>4</v>
      </c>
      <c r="H138" s="472">
        <f t="shared" ref="H138:M138" si="128">ROUND(H133+H135+H137,1)</f>
        <v>5.2</v>
      </c>
      <c r="I138" s="472">
        <f t="shared" si="128"/>
        <v>5</v>
      </c>
      <c r="J138" s="472">
        <f t="shared" si="128"/>
        <v>0</v>
      </c>
      <c r="K138" s="472">
        <f t="shared" si="128"/>
        <v>0</v>
      </c>
      <c r="L138" s="472">
        <f t="shared" si="128"/>
        <v>0</v>
      </c>
      <c r="M138" s="472">
        <f t="shared" si="128"/>
        <v>0</v>
      </c>
      <c r="N138" s="472">
        <f>ROUND(N133+N135+N137,1)</f>
        <v>0</v>
      </c>
    </row>
    <row r="139" spans="1:14">
      <c r="E139" s="70"/>
      <c r="F139" s="70"/>
    </row>
    <row r="140" spans="1:14" ht="16">
      <c r="A140" s="55" t="s">
        <v>15</v>
      </c>
      <c r="E140" s="128"/>
      <c r="F140" s="128"/>
    </row>
    <row r="141" spans="1:14" s="24" customFormat="1">
      <c r="A141" s="10"/>
      <c r="B141"/>
      <c r="C141"/>
      <c r="D141"/>
      <c r="E141" s="73"/>
      <c r="F141" s="73"/>
      <c r="G141"/>
    </row>
    <row r="142" spans="1:14" s="24" customFormat="1">
      <c r="A142" s="6" t="s">
        <v>628</v>
      </c>
      <c r="B142" s="679" t="s">
        <v>310</v>
      </c>
      <c r="C142" s="679" t="s">
        <v>339</v>
      </c>
      <c r="D142" s="679" t="s">
        <v>731</v>
      </c>
      <c r="E142" s="680" t="s">
        <v>24</v>
      </c>
      <c r="F142" s="680" t="s">
        <v>103</v>
      </c>
      <c r="G142" s="680" t="s">
        <v>970</v>
      </c>
      <c r="H142" s="681" t="s">
        <v>955</v>
      </c>
      <c r="I142" s="681" t="s">
        <v>1123</v>
      </c>
      <c r="J142" s="681" t="s">
        <v>1154</v>
      </c>
      <c r="K142" s="22" t="s">
        <v>1196</v>
      </c>
      <c r="L142" s="22" t="s">
        <v>1251</v>
      </c>
      <c r="M142" s="761" t="s">
        <v>1261</v>
      </c>
      <c r="N142" s="761" t="s">
        <v>1277</v>
      </c>
    </row>
    <row r="143" spans="1:14">
      <c r="A143" s="50" t="s">
        <v>495</v>
      </c>
      <c r="B143" s="51">
        <f t="shared" ref="B143:G143" si="129">B71</f>
        <v>1384037.0679251999</v>
      </c>
      <c r="C143" s="51">
        <f t="shared" si="129"/>
        <v>2120179.0240223999</v>
      </c>
      <c r="D143" s="51">
        <f t="shared" si="129"/>
        <v>2011923.125064224</v>
      </c>
      <c r="E143" s="51">
        <f t="shared" si="129"/>
        <v>398928.15</v>
      </c>
      <c r="F143" s="51">
        <f t="shared" si="129"/>
        <v>1210232.8149999999</v>
      </c>
      <c r="G143" s="51">
        <f t="shared" si="129"/>
        <v>955679.85</v>
      </c>
      <c r="H143" s="51">
        <f t="shared" ref="H143:M143" si="130">H71</f>
        <v>21.568197999999999</v>
      </c>
      <c r="I143" s="51">
        <f t="shared" si="130"/>
        <v>21.082667999999998</v>
      </c>
      <c r="J143" s="51">
        <f t="shared" si="130"/>
        <v>0</v>
      </c>
      <c r="K143" s="51">
        <f t="shared" si="130"/>
        <v>0</v>
      </c>
      <c r="L143" s="51">
        <f t="shared" si="130"/>
        <v>2005862.4373970006</v>
      </c>
      <c r="M143" s="51">
        <f t="shared" si="130"/>
        <v>322398.48368</v>
      </c>
      <c r="N143" s="51">
        <f>N71</f>
        <v>0</v>
      </c>
    </row>
    <row r="144" spans="1:14">
      <c r="A144" s="71" t="s">
        <v>285</v>
      </c>
      <c r="B144" s="123">
        <f t="shared" ref="B144:G144" si="131">ROUND(B143*$B188,1)</f>
        <v>4722.5</v>
      </c>
      <c r="C144" s="123">
        <f t="shared" si="131"/>
        <v>7234.3</v>
      </c>
      <c r="D144" s="123">
        <f t="shared" si="131"/>
        <v>6864.9</v>
      </c>
      <c r="E144" s="123">
        <f t="shared" si="131"/>
        <v>1361.2</v>
      </c>
      <c r="F144" s="123">
        <f t="shared" si="131"/>
        <v>4129.3999999999996</v>
      </c>
      <c r="G144" s="123">
        <f t="shared" si="131"/>
        <v>3260.9</v>
      </c>
      <c r="H144" s="123">
        <f t="shared" ref="H144:M144" si="132">ROUND(H143*$B188,1)</f>
        <v>0.1</v>
      </c>
      <c r="I144" s="123">
        <f t="shared" si="132"/>
        <v>0.1</v>
      </c>
      <c r="J144" s="123">
        <f t="shared" si="132"/>
        <v>0</v>
      </c>
      <c r="K144" s="123">
        <f t="shared" si="132"/>
        <v>0</v>
      </c>
      <c r="L144" s="123">
        <f t="shared" si="132"/>
        <v>6844.2</v>
      </c>
      <c r="M144" s="123">
        <f t="shared" si="132"/>
        <v>1100.0999999999999</v>
      </c>
      <c r="N144" s="123">
        <f>ROUND(N143*$B188,1)</f>
        <v>0</v>
      </c>
    </row>
    <row r="145" spans="1:14" ht="15">
      <c r="A145" s="83" t="s">
        <v>173</v>
      </c>
      <c r="B145" s="115">
        <f t="shared" ref="B145:G145" si="133">ROUND(B143*$B228,1)</f>
        <v>563.20000000000005</v>
      </c>
      <c r="C145" s="115">
        <f t="shared" si="133"/>
        <v>862.7</v>
      </c>
      <c r="D145" s="115">
        <f t="shared" si="133"/>
        <v>818.7</v>
      </c>
      <c r="E145" s="115">
        <f t="shared" si="133"/>
        <v>162.30000000000001</v>
      </c>
      <c r="F145" s="115">
        <f t="shared" si="133"/>
        <v>492.5</v>
      </c>
      <c r="G145" s="115">
        <f t="shared" si="133"/>
        <v>388.9</v>
      </c>
      <c r="H145" s="115">
        <f t="shared" ref="H145:M145" si="134">ROUND(H143*$B228,1)</f>
        <v>0</v>
      </c>
      <c r="I145" s="115">
        <f t="shared" si="134"/>
        <v>0</v>
      </c>
      <c r="J145" s="115">
        <f t="shared" si="134"/>
        <v>0</v>
      </c>
      <c r="K145" s="115">
        <f t="shared" si="134"/>
        <v>0</v>
      </c>
      <c r="L145" s="115">
        <f t="shared" si="134"/>
        <v>816.2</v>
      </c>
      <c r="M145" s="115">
        <f t="shared" si="134"/>
        <v>131.19999999999999</v>
      </c>
      <c r="N145" s="115">
        <f>ROUND(N143*$B228,1)</f>
        <v>0</v>
      </c>
    </row>
    <row r="146" spans="1:14" ht="15">
      <c r="A146" s="25" t="s">
        <v>866</v>
      </c>
      <c r="B146" s="95">
        <f t="shared" ref="B146:G146" si="135">($B230*B144*$B191)</f>
        <v>0.16408409312324021</v>
      </c>
      <c r="C146" s="95">
        <f t="shared" si="135"/>
        <v>0.25135702591454884</v>
      </c>
      <c r="D146" s="95">
        <f t="shared" si="135"/>
        <v>0.23852215794213483</v>
      </c>
      <c r="E146" s="95">
        <f t="shared" si="135"/>
        <v>4.7295133416485891E-2</v>
      </c>
      <c r="F146" s="95">
        <f t="shared" si="135"/>
        <v>0.14347672930505201</v>
      </c>
      <c r="G146" s="95">
        <f t="shared" si="135"/>
        <v>0.11330054404776582</v>
      </c>
      <c r="H146" s="95">
        <f t="shared" ref="H146:M146" si="136">($B230*H144*$B191)</f>
        <v>3.4745175886339912E-6</v>
      </c>
      <c r="I146" s="95">
        <f t="shared" si="136"/>
        <v>3.4745175886339912E-6</v>
      </c>
      <c r="J146" s="95">
        <f t="shared" si="136"/>
        <v>0</v>
      </c>
      <c r="K146" s="95">
        <f t="shared" si="136"/>
        <v>0</v>
      </c>
      <c r="L146" s="95">
        <f t="shared" si="136"/>
        <v>0.23780293280128761</v>
      </c>
      <c r="M146" s="95">
        <f t="shared" si="136"/>
        <v>3.8223167992562535E-2</v>
      </c>
      <c r="N146" s="95">
        <f>($B230*N144*$B191)</f>
        <v>0</v>
      </c>
    </row>
    <row r="147" spans="1:14" ht="15">
      <c r="A147" s="83" t="s">
        <v>188</v>
      </c>
      <c r="B147" s="113">
        <f t="shared" ref="B147:G147" si="137">B144*$B230*$B191*$B192</f>
        <v>3.4457659555880444</v>
      </c>
      <c r="C147" s="113">
        <f t="shared" si="137"/>
        <v>5.2784975442055257</v>
      </c>
      <c r="D147" s="113">
        <f t="shared" si="137"/>
        <v>5.0089653167848311</v>
      </c>
      <c r="E147" s="113">
        <f t="shared" si="137"/>
        <v>0.99319780174620376</v>
      </c>
      <c r="F147" s="113">
        <f t="shared" si="137"/>
        <v>3.013011315406092</v>
      </c>
      <c r="G147" s="113">
        <f t="shared" si="137"/>
        <v>2.3793114250030825</v>
      </c>
      <c r="H147" s="113">
        <f t="shared" ref="H147:M147" si="138">H144*$B230*$B191*$B192</f>
        <v>7.2964869361313815E-5</v>
      </c>
      <c r="I147" s="113">
        <f t="shared" si="138"/>
        <v>7.2964869361313815E-5</v>
      </c>
      <c r="J147" s="113">
        <f t="shared" si="138"/>
        <v>0</v>
      </c>
      <c r="K147" s="113">
        <f t="shared" si="138"/>
        <v>0</v>
      </c>
      <c r="L147" s="113">
        <f t="shared" si="138"/>
        <v>4.9938615888270395</v>
      </c>
      <c r="M147" s="113">
        <f t="shared" si="138"/>
        <v>0.80268652784381322</v>
      </c>
      <c r="N147" s="113">
        <f>N144*$B230*$B191*$B192</f>
        <v>0</v>
      </c>
    </row>
    <row r="148" spans="1:14" ht="15">
      <c r="A148" s="25" t="s">
        <v>859</v>
      </c>
      <c r="B148" s="95">
        <f t="shared" ref="B148:G148" si="139">($B231*B144*$B191)</f>
        <v>3.4059230818009392E-2</v>
      </c>
      <c r="C148" s="95">
        <f t="shared" si="139"/>
        <v>5.2174630705500345E-2</v>
      </c>
      <c r="D148" s="95">
        <f t="shared" si="139"/>
        <v>4.9510474037597181E-2</v>
      </c>
      <c r="E148" s="95">
        <f t="shared" si="139"/>
        <v>9.8171360485917181E-3</v>
      </c>
      <c r="F148" s="95">
        <f t="shared" si="139"/>
        <v>2.978172318473012E-2</v>
      </c>
      <c r="G148" s="95">
        <f t="shared" si="139"/>
        <v>2.3517998046468362E-2</v>
      </c>
      <c r="H148" s="95">
        <f t="shared" ref="H148:M148" si="140">($B231*H144*$B191)</f>
        <v>7.2121187544752568E-7</v>
      </c>
      <c r="I148" s="95">
        <f t="shared" si="140"/>
        <v>7.2121187544752568E-7</v>
      </c>
      <c r="J148" s="95">
        <f t="shared" si="140"/>
        <v>0</v>
      </c>
      <c r="K148" s="95">
        <f t="shared" si="140"/>
        <v>0</v>
      </c>
      <c r="L148" s="95">
        <f t="shared" si="140"/>
        <v>4.9361183179379549E-2</v>
      </c>
      <c r="M148" s="95">
        <f t="shared" si="140"/>
        <v>7.9340518417982276E-3</v>
      </c>
      <c r="N148" s="95">
        <f>($B231*N144*$B191)</f>
        <v>0</v>
      </c>
    </row>
    <row r="149" spans="1:14" ht="15">
      <c r="A149" s="10" t="s">
        <v>190</v>
      </c>
      <c r="B149" s="15">
        <f t="shared" ref="B149:G149" si="141">B144*$B231*$B191*$B193</f>
        <v>10.558361553582911</v>
      </c>
      <c r="C149" s="15">
        <f t="shared" si="141"/>
        <v>16.174135518705107</v>
      </c>
      <c r="D149" s="15">
        <f t="shared" si="141"/>
        <v>15.348246951655126</v>
      </c>
      <c r="E149" s="15">
        <f t="shared" si="141"/>
        <v>3.0433121750634324</v>
      </c>
      <c r="F149" s="15">
        <f t="shared" si="141"/>
        <v>9.2323341872663374</v>
      </c>
      <c r="G149" s="15">
        <f t="shared" si="141"/>
        <v>7.2905793944051922</v>
      </c>
      <c r="H149" s="15">
        <f t="shared" ref="H149:M149" si="142">H144*$B231*$B191*$B193</f>
        <v>2.2357568138873295E-4</v>
      </c>
      <c r="I149" s="15">
        <f t="shared" si="142"/>
        <v>2.2357568138873295E-4</v>
      </c>
      <c r="J149" s="15">
        <f t="shared" si="142"/>
        <v>0</v>
      </c>
      <c r="K149" s="15">
        <f t="shared" si="142"/>
        <v>0</v>
      </c>
      <c r="L149" s="15">
        <f t="shared" si="142"/>
        <v>15.301966785607661</v>
      </c>
      <c r="M149" s="15">
        <f t="shared" si="142"/>
        <v>2.4595560709574507</v>
      </c>
      <c r="N149" s="15">
        <f>N144*$B231*$B191*$B193</f>
        <v>0</v>
      </c>
    </row>
    <row r="150" spans="1:14">
      <c r="A150" s="470" t="s">
        <v>187</v>
      </c>
      <c r="B150" s="472">
        <f t="shared" ref="B150:G150" si="143">ROUND(B145+B147+B149,1)</f>
        <v>577.20000000000005</v>
      </c>
      <c r="C150" s="472">
        <f t="shared" si="143"/>
        <v>884.2</v>
      </c>
      <c r="D150" s="472">
        <f t="shared" si="143"/>
        <v>839.1</v>
      </c>
      <c r="E150" s="472">
        <f t="shared" si="143"/>
        <v>166.3</v>
      </c>
      <c r="F150" s="472">
        <f t="shared" si="143"/>
        <v>504.7</v>
      </c>
      <c r="G150" s="472">
        <f t="shared" si="143"/>
        <v>398.6</v>
      </c>
      <c r="H150" s="472">
        <f t="shared" ref="H150:M150" si="144">ROUND(H145+H147+H149,1)</f>
        <v>0</v>
      </c>
      <c r="I150" s="472">
        <f t="shared" si="144"/>
        <v>0</v>
      </c>
      <c r="J150" s="472">
        <f t="shared" si="144"/>
        <v>0</v>
      </c>
      <c r="K150" s="472">
        <f t="shared" si="144"/>
        <v>0</v>
      </c>
      <c r="L150" s="472">
        <f t="shared" si="144"/>
        <v>836.5</v>
      </c>
      <c r="M150" s="472">
        <f t="shared" si="144"/>
        <v>134.5</v>
      </c>
      <c r="N150" s="472">
        <f>ROUND(N145+N147+N149,1)</f>
        <v>0</v>
      </c>
    </row>
    <row r="151" spans="1:14">
      <c r="E151" s="29"/>
      <c r="F151" s="29"/>
    </row>
    <row r="152" spans="1:14" ht="16">
      <c r="A152" s="55" t="s">
        <v>259</v>
      </c>
      <c r="E152" s="128"/>
      <c r="F152" s="128"/>
    </row>
    <row r="153" spans="1:14">
      <c r="A153" s="10"/>
      <c r="E153" s="73"/>
      <c r="F153" s="73"/>
    </row>
    <row r="154" spans="1:14">
      <c r="A154" s="6" t="s">
        <v>260</v>
      </c>
      <c r="B154" s="679" t="s">
        <v>310</v>
      </c>
      <c r="C154" s="679" t="s">
        <v>339</v>
      </c>
      <c r="D154" s="679" t="s">
        <v>731</v>
      </c>
      <c r="E154" s="680" t="s">
        <v>24</v>
      </c>
      <c r="F154" s="680" t="s">
        <v>103</v>
      </c>
      <c r="G154" s="680" t="s">
        <v>970</v>
      </c>
      <c r="H154" s="680" t="s">
        <v>955</v>
      </c>
      <c r="I154" s="680" t="s">
        <v>1123</v>
      </c>
      <c r="J154" s="680" t="s">
        <v>1154</v>
      </c>
      <c r="K154" s="22" t="s">
        <v>1196</v>
      </c>
      <c r="L154" s="22" t="s">
        <v>1251</v>
      </c>
      <c r="M154" s="761" t="s">
        <v>1261</v>
      </c>
      <c r="N154" s="761" t="s">
        <v>1277</v>
      </c>
    </row>
    <row r="155" spans="1:14">
      <c r="A155" s="47" t="s">
        <v>354</v>
      </c>
      <c r="B155" s="38">
        <v>0</v>
      </c>
      <c r="C155" s="38">
        <v>0</v>
      </c>
      <c r="D155" s="38">
        <v>0</v>
      </c>
      <c r="E155" s="38">
        <v>0</v>
      </c>
      <c r="F155" s="38">
        <v>0</v>
      </c>
      <c r="G155" s="38">
        <v>0</v>
      </c>
      <c r="H155" s="38">
        <v>0</v>
      </c>
      <c r="I155" s="38">
        <v>0</v>
      </c>
      <c r="J155" s="38">
        <v>0</v>
      </c>
      <c r="K155" s="38">
        <v>0</v>
      </c>
      <c r="L155" s="38">
        <v>0</v>
      </c>
      <c r="M155" s="38">
        <v>0</v>
      </c>
      <c r="N155" s="38">
        <v>0</v>
      </c>
    </row>
    <row r="156" spans="1:14">
      <c r="A156" s="47" t="s">
        <v>548</v>
      </c>
      <c r="B156" s="38">
        <v>0</v>
      </c>
      <c r="C156" s="38">
        <v>0</v>
      </c>
      <c r="D156" s="38">
        <v>0</v>
      </c>
      <c r="E156" s="38">
        <v>0</v>
      </c>
      <c r="F156" s="38">
        <v>0</v>
      </c>
      <c r="G156" s="38">
        <v>0</v>
      </c>
      <c r="H156" s="38">
        <v>0</v>
      </c>
      <c r="I156" s="38">
        <v>0</v>
      </c>
      <c r="J156" s="38">
        <v>0</v>
      </c>
      <c r="K156" s="38">
        <v>0</v>
      </c>
      <c r="L156" s="38">
        <v>0</v>
      </c>
      <c r="M156" s="38">
        <v>0</v>
      </c>
      <c r="N156" s="38">
        <v>0</v>
      </c>
    </row>
    <row r="157" spans="1:14">
      <c r="A157" s="47" t="s">
        <v>547</v>
      </c>
      <c r="B157" s="38">
        <v>0</v>
      </c>
      <c r="C157" s="38">
        <v>0</v>
      </c>
      <c r="D157" s="38">
        <v>0</v>
      </c>
      <c r="E157" s="38">
        <v>0</v>
      </c>
      <c r="F157" s="38">
        <v>0</v>
      </c>
      <c r="G157" s="38">
        <v>0</v>
      </c>
      <c r="H157" s="38">
        <v>0</v>
      </c>
      <c r="I157" s="38">
        <v>0</v>
      </c>
      <c r="J157" s="38">
        <v>0</v>
      </c>
      <c r="K157" s="38">
        <v>0</v>
      </c>
      <c r="L157" s="38">
        <v>0</v>
      </c>
      <c r="M157" s="38">
        <v>0</v>
      </c>
      <c r="N157" s="38">
        <v>0</v>
      </c>
    </row>
    <row r="158" spans="1:14" ht="15">
      <c r="A158" s="47" t="s">
        <v>535</v>
      </c>
      <c r="B158" s="38">
        <v>0</v>
      </c>
      <c r="C158" s="38">
        <v>0</v>
      </c>
      <c r="D158" s="38">
        <v>0</v>
      </c>
      <c r="E158" s="38">
        <v>0</v>
      </c>
      <c r="F158" s="38">
        <v>0</v>
      </c>
      <c r="G158" s="38">
        <v>0</v>
      </c>
      <c r="H158" s="38">
        <v>0</v>
      </c>
      <c r="I158" s="38">
        <v>0</v>
      </c>
      <c r="J158" s="38">
        <v>0</v>
      </c>
      <c r="K158" s="38">
        <v>0</v>
      </c>
      <c r="L158" s="38">
        <v>0</v>
      </c>
      <c r="M158" s="38">
        <v>0</v>
      </c>
      <c r="N158" s="38">
        <v>0</v>
      </c>
    </row>
    <row r="159" spans="1:14">
      <c r="A159" t="s">
        <v>233</v>
      </c>
      <c r="B159" s="38">
        <v>0</v>
      </c>
      <c r="C159" s="38">
        <v>0</v>
      </c>
      <c r="D159" s="38">
        <v>0</v>
      </c>
      <c r="E159" s="38">
        <v>0</v>
      </c>
      <c r="F159" s="38">
        <v>0</v>
      </c>
      <c r="G159" s="38">
        <v>0</v>
      </c>
      <c r="H159" s="38">
        <v>0</v>
      </c>
      <c r="I159" s="38">
        <v>0</v>
      </c>
      <c r="J159" s="38">
        <v>0</v>
      </c>
      <c r="K159" s="38">
        <v>0</v>
      </c>
      <c r="L159" s="38">
        <v>0</v>
      </c>
      <c r="M159" s="38">
        <v>0</v>
      </c>
      <c r="N159" s="38">
        <v>0</v>
      </c>
    </row>
    <row r="160" spans="1:14">
      <c r="A160" t="s">
        <v>328</v>
      </c>
      <c r="B160" s="38">
        <v>0</v>
      </c>
      <c r="C160" s="38">
        <v>0</v>
      </c>
      <c r="D160" s="38">
        <v>0</v>
      </c>
      <c r="E160" s="38">
        <v>0</v>
      </c>
      <c r="F160" s="38">
        <v>0</v>
      </c>
      <c r="G160" s="38">
        <v>0</v>
      </c>
      <c r="H160" s="38">
        <v>0</v>
      </c>
      <c r="I160" s="38">
        <v>0</v>
      </c>
      <c r="J160" s="38">
        <v>0</v>
      </c>
      <c r="K160" s="38">
        <v>0</v>
      </c>
      <c r="L160" s="38">
        <v>0</v>
      </c>
      <c r="M160" s="38">
        <v>0</v>
      </c>
      <c r="N160" s="38">
        <v>0</v>
      </c>
    </row>
    <row r="161" spans="1:16">
      <c r="A161" t="s">
        <v>329</v>
      </c>
      <c r="B161" s="38">
        <v>0</v>
      </c>
      <c r="C161" s="38">
        <v>0</v>
      </c>
      <c r="D161" s="38">
        <v>0</v>
      </c>
      <c r="E161" s="38">
        <v>0</v>
      </c>
      <c r="F161" s="38">
        <v>0</v>
      </c>
      <c r="G161" s="38">
        <v>0</v>
      </c>
      <c r="H161" s="38">
        <v>0</v>
      </c>
      <c r="I161" s="38">
        <v>0</v>
      </c>
      <c r="J161" s="38">
        <v>0</v>
      </c>
      <c r="K161" s="38">
        <v>0</v>
      </c>
      <c r="L161" s="38">
        <v>0</v>
      </c>
      <c r="M161" s="38">
        <v>0</v>
      </c>
      <c r="N161" s="38">
        <v>0</v>
      </c>
    </row>
    <row r="162" spans="1:16">
      <c r="A162" s="29" t="s">
        <v>330</v>
      </c>
      <c r="B162" s="44">
        <f t="shared" ref="B162:G162" si="145">B102</f>
        <v>22.7</v>
      </c>
      <c r="C162" s="44">
        <f t="shared" si="145"/>
        <v>33.5</v>
      </c>
      <c r="D162" s="44">
        <f t="shared" si="145"/>
        <v>25.3</v>
      </c>
      <c r="E162" s="44">
        <f t="shared" si="145"/>
        <v>0</v>
      </c>
      <c r="F162" s="44">
        <f t="shared" si="145"/>
        <v>0</v>
      </c>
      <c r="G162" s="44">
        <f t="shared" si="145"/>
        <v>25.2</v>
      </c>
      <c r="H162" s="44">
        <f t="shared" ref="H162:M162" si="146">H102</f>
        <v>696.3</v>
      </c>
      <c r="I162" s="44">
        <f t="shared" si="146"/>
        <v>680.5</v>
      </c>
      <c r="J162" s="44">
        <f t="shared" si="146"/>
        <v>722</v>
      </c>
      <c r="K162" s="44">
        <f t="shared" si="146"/>
        <v>803</v>
      </c>
      <c r="L162" s="44">
        <f t="shared" si="146"/>
        <v>701.3</v>
      </c>
      <c r="M162" s="44">
        <f t="shared" si="146"/>
        <v>887.3</v>
      </c>
      <c r="N162" s="44">
        <f>N102</f>
        <v>218.7</v>
      </c>
    </row>
    <row r="163" spans="1:16">
      <c r="A163" s="29" t="s">
        <v>331</v>
      </c>
      <c r="B163" s="44">
        <f t="shared" ref="B163:G163" si="147">B114</f>
        <v>15.4</v>
      </c>
      <c r="C163" s="44">
        <f t="shared" si="147"/>
        <v>23.9</v>
      </c>
      <c r="D163" s="44">
        <f t="shared" si="147"/>
        <v>16.899999999999999</v>
      </c>
      <c r="E163" s="44">
        <f t="shared" si="147"/>
        <v>0</v>
      </c>
      <c r="F163" s="44">
        <f t="shared" si="147"/>
        <v>0</v>
      </c>
      <c r="G163" s="44">
        <f t="shared" si="147"/>
        <v>6.8</v>
      </c>
      <c r="H163" s="44">
        <f t="shared" ref="H163:M163" si="148">H114</f>
        <v>150.80000000000001</v>
      </c>
      <c r="I163" s="44">
        <f t="shared" si="148"/>
        <v>147.4</v>
      </c>
      <c r="J163" s="44">
        <f t="shared" si="148"/>
        <v>0</v>
      </c>
      <c r="K163" s="44">
        <f t="shared" si="148"/>
        <v>0</v>
      </c>
      <c r="L163" s="44">
        <f t="shared" si="148"/>
        <v>75.599999999999994</v>
      </c>
      <c r="M163" s="44">
        <f t="shared" si="148"/>
        <v>51.2</v>
      </c>
      <c r="N163" s="44">
        <f>N114</f>
        <v>0</v>
      </c>
    </row>
    <row r="164" spans="1:16">
      <c r="A164" s="29" t="s">
        <v>150</v>
      </c>
      <c r="B164" s="44">
        <f t="shared" ref="B164:G164" si="149">B126</f>
        <v>2.5</v>
      </c>
      <c r="C164" s="44">
        <f t="shared" si="149"/>
        <v>4.2</v>
      </c>
      <c r="D164" s="44">
        <f t="shared" si="149"/>
        <v>2.7</v>
      </c>
      <c r="E164" s="44">
        <f t="shared" si="149"/>
        <v>10.9</v>
      </c>
      <c r="F164" s="44">
        <f t="shared" si="149"/>
        <v>0</v>
      </c>
      <c r="G164" s="44">
        <f t="shared" si="149"/>
        <v>1.6</v>
      </c>
      <c r="H164" s="44">
        <f t="shared" ref="H164:M164" si="150">H126</f>
        <v>6.6</v>
      </c>
      <c r="I164" s="44">
        <f t="shared" si="150"/>
        <v>58.7</v>
      </c>
      <c r="J164" s="44">
        <f t="shared" si="150"/>
        <v>539.4</v>
      </c>
      <c r="K164" s="44">
        <f t="shared" si="150"/>
        <v>553.70000000000005</v>
      </c>
      <c r="L164" s="44">
        <f t="shared" si="150"/>
        <v>5.8</v>
      </c>
      <c r="M164" s="44">
        <f t="shared" si="150"/>
        <v>17.5</v>
      </c>
      <c r="N164" s="44">
        <f>N126</f>
        <v>250.6</v>
      </c>
    </row>
    <row r="165" spans="1:16">
      <c r="A165" s="29" t="s">
        <v>151</v>
      </c>
      <c r="B165" s="44">
        <f t="shared" ref="B165:G165" si="151">B138</f>
        <v>17</v>
      </c>
      <c r="C165" s="44">
        <f t="shared" si="151"/>
        <v>34.5</v>
      </c>
      <c r="D165" s="44">
        <f t="shared" si="151"/>
        <v>20.6</v>
      </c>
      <c r="E165" s="44">
        <f t="shared" si="151"/>
        <v>0</v>
      </c>
      <c r="F165" s="44">
        <f t="shared" si="151"/>
        <v>5.9</v>
      </c>
      <c r="G165" s="44">
        <f t="shared" si="151"/>
        <v>4</v>
      </c>
      <c r="H165" s="44">
        <f t="shared" ref="H165:M165" si="152">H138</f>
        <v>5.2</v>
      </c>
      <c r="I165" s="44">
        <f t="shared" si="152"/>
        <v>5</v>
      </c>
      <c r="J165" s="44">
        <f t="shared" si="152"/>
        <v>0</v>
      </c>
      <c r="K165" s="44">
        <f t="shared" si="152"/>
        <v>0</v>
      </c>
      <c r="L165" s="44">
        <f t="shared" si="152"/>
        <v>0</v>
      </c>
      <c r="M165" s="44">
        <f t="shared" si="152"/>
        <v>0</v>
      </c>
      <c r="N165" s="44">
        <f>N138</f>
        <v>0</v>
      </c>
    </row>
    <row r="166" spans="1:16">
      <c r="A166" s="29" t="s">
        <v>99</v>
      </c>
      <c r="B166" s="44">
        <f t="shared" ref="B166:G166" si="153">B150</f>
        <v>577.20000000000005</v>
      </c>
      <c r="C166" s="44">
        <f t="shared" si="153"/>
        <v>884.2</v>
      </c>
      <c r="D166" s="44">
        <f t="shared" si="153"/>
        <v>839.1</v>
      </c>
      <c r="E166" s="44">
        <f t="shared" si="153"/>
        <v>166.3</v>
      </c>
      <c r="F166" s="44">
        <f t="shared" si="153"/>
        <v>504.7</v>
      </c>
      <c r="G166" s="44">
        <f t="shared" si="153"/>
        <v>398.6</v>
      </c>
      <c r="H166" s="44">
        <f t="shared" ref="H166:M166" si="154">H150</f>
        <v>0</v>
      </c>
      <c r="I166" s="44">
        <f t="shared" si="154"/>
        <v>0</v>
      </c>
      <c r="J166" s="44">
        <f t="shared" si="154"/>
        <v>0</v>
      </c>
      <c r="K166" s="44">
        <f t="shared" si="154"/>
        <v>0</v>
      </c>
      <c r="L166" s="44">
        <f t="shared" si="154"/>
        <v>836.5</v>
      </c>
      <c r="M166" s="44">
        <f t="shared" si="154"/>
        <v>134.5</v>
      </c>
      <c r="N166" s="44">
        <f>N150</f>
        <v>0</v>
      </c>
      <c r="O166" s="734">
        <f>K167/K19</f>
        <v>6.702811885661007E-5</v>
      </c>
      <c r="P166">
        <f>O166*4500000</f>
        <v>301.62653485474533</v>
      </c>
    </row>
    <row r="167" spans="1:16">
      <c r="A167" s="485" t="s">
        <v>241</v>
      </c>
      <c r="B167" s="486">
        <f t="shared" ref="B167:G167" si="155">SUM(B155:B166)</f>
        <v>634.80000000000007</v>
      </c>
      <c r="C167" s="486">
        <f t="shared" si="155"/>
        <v>980.30000000000007</v>
      </c>
      <c r="D167" s="486">
        <f t="shared" si="155"/>
        <v>904.6</v>
      </c>
      <c r="E167" s="486">
        <f t="shared" si="155"/>
        <v>177.20000000000002</v>
      </c>
      <c r="F167" s="486">
        <f t="shared" si="155"/>
        <v>510.59999999999997</v>
      </c>
      <c r="G167" s="486">
        <f t="shared" si="155"/>
        <v>436.20000000000005</v>
      </c>
      <c r="H167" s="486">
        <f t="shared" ref="H167:M167" si="156">SUM(H155:H166)</f>
        <v>858.9</v>
      </c>
      <c r="I167" s="486">
        <f t="shared" si="156"/>
        <v>891.6</v>
      </c>
      <c r="J167" s="486">
        <f t="shared" si="156"/>
        <v>1261.4000000000001</v>
      </c>
      <c r="K167" s="486">
        <f t="shared" si="156"/>
        <v>1356.7</v>
      </c>
      <c r="L167" s="486">
        <f t="shared" si="156"/>
        <v>1619.1999999999998</v>
      </c>
      <c r="M167" s="486">
        <f t="shared" si="156"/>
        <v>1090.5</v>
      </c>
      <c r="N167" s="486">
        <f>SUM(N155:N166)</f>
        <v>469.29999999999995</v>
      </c>
    </row>
    <row r="168" spans="1:16">
      <c r="E168" s="29"/>
      <c r="F168" s="29"/>
    </row>
    <row r="169" spans="1:16">
      <c r="A169" s="6" t="s">
        <v>292</v>
      </c>
      <c r="B169" s="679" t="s">
        <v>310</v>
      </c>
      <c r="C169" s="679" t="s">
        <v>339</v>
      </c>
      <c r="D169" s="679" t="s">
        <v>731</v>
      </c>
      <c r="E169" s="680" t="s">
        <v>24</v>
      </c>
      <c r="F169" s="680" t="s">
        <v>103</v>
      </c>
      <c r="G169" s="680" t="s">
        <v>970</v>
      </c>
      <c r="H169" s="680" t="s">
        <v>955</v>
      </c>
      <c r="I169" s="680" t="s">
        <v>1123</v>
      </c>
      <c r="J169" s="680" t="s">
        <v>1154</v>
      </c>
      <c r="K169" s="22" t="s">
        <v>1196</v>
      </c>
      <c r="L169" s="22" t="s">
        <v>1251</v>
      </c>
      <c r="M169" s="761" t="s">
        <v>1261</v>
      </c>
      <c r="N169" s="761" t="s">
        <v>1277</v>
      </c>
    </row>
    <row r="170" spans="1:16">
      <c r="A170" s="47" t="s">
        <v>354</v>
      </c>
      <c r="B170" s="48">
        <v>0</v>
      </c>
      <c r="C170" s="48">
        <v>0</v>
      </c>
      <c r="D170" s="48">
        <v>0</v>
      </c>
      <c r="E170" s="48">
        <v>0</v>
      </c>
      <c r="F170" s="48">
        <v>0</v>
      </c>
      <c r="G170" s="48">
        <v>0</v>
      </c>
      <c r="H170" s="48">
        <v>0</v>
      </c>
      <c r="I170" s="48">
        <v>0</v>
      </c>
      <c r="J170" s="48">
        <v>0</v>
      </c>
      <c r="K170" s="48">
        <v>0</v>
      </c>
      <c r="L170" s="48">
        <v>0</v>
      </c>
      <c r="M170" s="48">
        <v>0</v>
      </c>
      <c r="N170" s="48">
        <v>0</v>
      </c>
    </row>
    <row r="171" spans="1:16">
      <c r="A171" s="47" t="s">
        <v>548</v>
      </c>
      <c r="B171" s="48">
        <v>0</v>
      </c>
      <c r="C171" s="48">
        <v>0</v>
      </c>
      <c r="D171" s="48">
        <v>0</v>
      </c>
      <c r="E171" s="48">
        <v>0</v>
      </c>
      <c r="F171" s="48">
        <v>0</v>
      </c>
      <c r="G171" s="48">
        <v>0</v>
      </c>
      <c r="H171" s="48">
        <v>0</v>
      </c>
      <c r="I171" s="48">
        <v>0</v>
      </c>
      <c r="J171" s="48">
        <v>0</v>
      </c>
      <c r="K171" s="48">
        <v>0</v>
      </c>
      <c r="L171" s="48">
        <v>0</v>
      </c>
      <c r="M171" s="48">
        <v>0</v>
      </c>
      <c r="N171" s="48">
        <v>0</v>
      </c>
    </row>
    <row r="172" spans="1:16">
      <c r="A172" s="47" t="s">
        <v>547</v>
      </c>
      <c r="B172" s="48">
        <v>0</v>
      </c>
      <c r="C172" s="48">
        <v>0</v>
      </c>
      <c r="D172" s="48">
        <v>0</v>
      </c>
      <c r="E172" s="48">
        <v>0</v>
      </c>
      <c r="F172" s="48">
        <v>0</v>
      </c>
      <c r="G172" s="48">
        <v>0</v>
      </c>
      <c r="H172" s="48">
        <v>0</v>
      </c>
      <c r="I172" s="48">
        <v>0</v>
      </c>
      <c r="J172" s="48">
        <v>0</v>
      </c>
      <c r="K172" s="48">
        <v>0</v>
      </c>
      <c r="L172" s="48">
        <v>0</v>
      </c>
      <c r="M172" s="48">
        <v>0</v>
      </c>
      <c r="N172" s="48">
        <v>0</v>
      </c>
    </row>
    <row r="173" spans="1:16" ht="15">
      <c r="A173" s="47" t="s">
        <v>535</v>
      </c>
      <c r="B173" s="48">
        <v>0</v>
      </c>
      <c r="C173" s="48">
        <v>0</v>
      </c>
      <c r="D173" s="48">
        <v>0</v>
      </c>
      <c r="E173" s="48">
        <v>0</v>
      </c>
      <c r="F173" s="48">
        <v>0</v>
      </c>
      <c r="G173" s="48">
        <v>0</v>
      </c>
      <c r="H173" s="48">
        <v>0</v>
      </c>
      <c r="I173" s="48">
        <v>0</v>
      </c>
      <c r="J173" s="48">
        <v>0</v>
      </c>
      <c r="K173" s="48">
        <v>0</v>
      </c>
      <c r="L173" s="48">
        <v>0</v>
      </c>
      <c r="M173" s="48">
        <v>0</v>
      </c>
      <c r="N173" s="48">
        <v>0</v>
      </c>
    </row>
    <row r="174" spans="1:16">
      <c r="A174" t="s">
        <v>233</v>
      </c>
      <c r="B174" s="48">
        <v>0</v>
      </c>
      <c r="C174" s="48">
        <v>0</v>
      </c>
      <c r="D174" s="48">
        <v>0</v>
      </c>
      <c r="E174" s="48">
        <v>0</v>
      </c>
      <c r="F174" s="48">
        <v>0</v>
      </c>
      <c r="G174" s="48">
        <v>0</v>
      </c>
      <c r="H174" s="48">
        <v>0</v>
      </c>
      <c r="I174" s="48">
        <v>0</v>
      </c>
      <c r="J174" s="48">
        <v>0</v>
      </c>
      <c r="K174" s="48">
        <v>0</v>
      </c>
      <c r="L174" s="48">
        <v>0</v>
      </c>
      <c r="M174" s="48">
        <v>0</v>
      </c>
      <c r="N174" s="48">
        <v>0</v>
      </c>
    </row>
    <row r="175" spans="1:16">
      <c r="A175" t="s">
        <v>328</v>
      </c>
      <c r="B175" s="48">
        <v>0</v>
      </c>
      <c r="C175" s="48">
        <v>0</v>
      </c>
      <c r="D175" s="48">
        <v>0</v>
      </c>
      <c r="E175" s="48">
        <v>0</v>
      </c>
      <c r="F175" s="48">
        <v>0</v>
      </c>
      <c r="G175" s="48">
        <v>0</v>
      </c>
      <c r="H175" s="48">
        <v>0</v>
      </c>
      <c r="I175" s="48">
        <v>0</v>
      </c>
      <c r="J175" s="48">
        <v>0</v>
      </c>
      <c r="K175" s="48">
        <v>0</v>
      </c>
      <c r="L175" s="48">
        <v>0</v>
      </c>
      <c r="M175" s="48">
        <v>0</v>
      </c>
      <c r="N175" s="48">
        <v>0</v>
      </c>
    </row>
    <row r="176" spans="1:16">
      <c r="A176" t="s">
        <v>329</v>
      </c>
      <c r="B176" s="48">
        <v>0</v>
      </c>
      <c r="C176" s="48">
        <v>0</v>
      </c>
      <c r="D176" s="48">
        <v>0</v>
      </c>
      <c r="E176" s="48">
        <v>0</v>
      </c>
      <c r="F176" s="48">
        <v>0</v>
      </c>
      <c r="G176" s="48">
        <v>0</v>
      </c>
      <c r="H176" s="48">
        <v>0</v>
      </c>
      <c r="I176" s="48">
        <v>0</v>
      </c>
      <c r="J176" s="48">
        <v>0</v>
      </c>
      <c r="K176" s="48">
        <v>0</v>
      </c>
      <c r="L176" s="48">
        <v>0</v>
      </c>
      <c r="M176" s="48">
        <v>0</v>
      </c>
      <c r="N176" s="48">
        <v>0</v>
      </c>
    </row>
    <row r="177" spans="1:14">
      <c r="A177" s="29" t="s">
        <v>330</v>
      </c>
      <c r="B177" s="58">
        <f t="shared" ref="B177:G177" si="157">B162/B167</f>
        <v>3.575929426591052E-2</v>
      </c>
      <c r="C177" s="58">
        <f t="shared" si="157"/>
        <v>3.4173212281954503E-2</v>
      </c>
      <c r="D177" s="58">
        <f t="shared" si="157"/>
        <v>2.7968162723855848E-2</v>
      </c>
      <c r="E177" s="58">
        <f t="shared" si="157"/>
        <v>0</v>
      </c>
      <c r="F177" s="58">
        <f t="shared" si="157"/>
        <v>0</v>
      </c>
      <c r="G177" s="58">
        <f t="shared" si="157"/>
        <v>5.7771664374140295E-2</v>
      </c>
      <c r="H177" s="58">
        <f t="shared" ref="H177:M177" si="158">H162/H167</f>
        <v>0.81068808941669579</v>
      </c>
      <c r="I177" s="58">
        <f t="shared" si="158"/>
        <v>0.76323463436518613</v>
      </c>
      <c r="J177" s="58">
        <f t="shared" si="158"/>
        <v>0.57237989535436817</v>
      </c>
      <c r="K177" s="58">
        <f t="shared" si="158"/>
        <v>0.59187734945087345</v>
      </c>
      <c r="L177" s="58">
        <f t="shared" si="158"/>
        <v>0.43311511857707513</v>
      </c>
      <c r="M177" s="58">
        <f t="shared" si="158"/>
        <v>0.81366345712975696</v>
      </c>
      <c r="N177" s="58">
        <f>N162/N167</f>
        <v>0.46601321116556577</v>
      </c>
    </row>
    <row r="178" spans="1:14">
      <c r="A178" s="29" t="s">
        <v>331</v>
      </c>
      <c r="B178" s="58">
        <f t="shared" ref="B178:G178" si="159">B163/B167</f>
        <v>2.4259609325771894E-2</v>
      </c>
      <c r="C178" s="58">
        <f t="shared" si="159"/>
        <v>2.4380291747424256E-2</v>
      </c>
      <c r="D178" s="58">
        <f t="shared" si="159"/>
        <v>1.8682290515144813E-2</v>
      </c>
      <c r="E178" s="58">
        <f t="shared" si="159"/>
        <v>0</v>
      </c>
      <c r="F178" s="58">
        <f t="shared" si="159"/>
        <v>0</v>
      </c>
      <c r="G178" s="58">
        <f t="shared" si="159"/>
        <v>1.5589179275561667E-2</v>
      </c>
      <c r="H178" s="58">
        <f t="shared" ref="H178:M178" si="160">H163/H167</f>
        <v>0.17557340784724648</v>
      </c>
      <c r="I178" s="58">
        <f t="shared" si="160"/>
        <v>0.16532077164647824</v>
      </c>
      <c r="J178" s="58">
        <f t="shared" si="160"/>
        <v>0</v>
      </c>
      <c r="K178" s="58">
        <f t="shared" si="160"/>
        <v>0</v>
      </c>
      <c r="L178" s="58">
        <f t="shared" si="160"/>
        <v>4.6689723320158104E-2</v>
      </c>
      <c r="M178" s="58">
        <f t="shared" si="160"/>
        <v>4.6950939935809267E-2</v>
      </c>
      <c r="N178" s="58">
        <f>N163/N167</f>
        <v>0</v>
      </c>
    </row>
    <row r="179" spans="1:14">
      <c r="A179" s="29" t="s">
        <v>150</v>
      </c>
      <c r="B179" s="58">
        <f t="shared" ref="B179:G179" si="161">B164/B167</f>
        <v>3.9382482671707622E-3</v>
      </c>
      <c r="C179" s="58">
        <f t="shared" si="161"/>
        <v>4.2844027338569826E-3</v>
      </c>
      <c r="D179" s="58">
        <f t="shared" si="161"/>
        <v>2.9847446385142607E-3</v>
      </c>
      <c r="E179" s="58">
        <f t="shared" si="161"/>
        <v>6.1512415349887127E-2</v>
      </c>
      <c r="F179" s="58">
        <f t="shared" si="161"/>
        <v>0</v>
      </c>
      <c r="G179" s="58">
        <f t="shared" si="161"/>
        <v>3.6680421824850985E-3</v>
      </c>
      <c r="H179" s="58">
        <f t="shared" ref="H179:M179" si="162">H164/H167</f>
        <v>7.6842472930492489E-3</v>
      </c>
      <c r="I179" s="58">
        <f t="shared" si="162"/>
        <v>6.5836698070883812E-2</v>
      </c>
      <c r="J179" s="58">
        <f t="shared" si="162"/>
        <v>0.42762010464563177</v>
      </c>
      <c r="K179" s="58">
        <f t="shared" si="162"/>
        <v>0.40812265054912655</v>
      </c>
      <c r="L179" s="58">
        <f t="shared" si="162"/>
        <v>3.58201581027668E-3</v>
      </c>
      <c r="M179" s="58">
        <f t="shared" si="162"/>
        <v>1.6047684548372305E-2</v>
      </c>
      <c r="N179" s="58">
        <f>N164/N167</f>
        <v>0.53398678883443429</v>
      </c>
    </row>
    <row r="180" spans="1:14">
      <c r="A180" s="29" t="s">
        <v>151</v>
      </c>
      <c r="B180" s="58">
        <f t="shared" ref="B180:G180" si="163">B165/B167</f>
        <v>2.6780088216761182E-2</v>
      </c>
      <c r="C180" s="58">
        <f t="shared" si="163"/>
        <v>3.5193308170968066E-2</v>
      </c>
      <c r="D180" s="58">
        <f t="shared" si="163"/>
        <v>2.2772496130886579E-2</v>
      </c>
      <c r="E180" s="58">
        <f t="shared" si="163"/>
        <v>0</v>
      </c>
      <c r="F180" s="58">
        <f t="shared" si="163"/>
        <v>1.1555033294163731E-2</v>
      </c>
      <c r="G180" s="58">
        <f t="shared" si="163"/>
        <v>9.170105456212746E-3</v>
      </c>
      <c r="H180" s="58">
        <f t="shared" ref="H180:M180" si="164">H165/H167</f>
        <v>6.0542554430084994E-3</v>
      </c>
      <c r="I180" s="58">
        <f t="shared" si="164"/>
        <v>5.6078959174517716E-3</v>
      </c>
      <c r="J180" s="58">
        <f t="shared" si="164"/>
        <v>0</v>
      </c>
      <c r="K180" s="58">
        <f t="shared" si="164"/>
        <v>0</v>
      </c>
      <c r="L180" s="58">
        <f t="shared" si="164"/>
        <v>0</v>
      </c>
      <c r="M180" s="58">
        <f t="shared" si="164"/>
        <v>0</v>
      </c>
      <c r="N180" s="58">
        <f>N165/N167</f>
        <v>0</v>
      </c>
    </row>
    <row r="181" spans="1:14">
      <c r="A181" s="29" t="s">
        <v>99</v>
      </c>
      <c r="B181" s="58">
        <f t="shared" ref="B181:G181" si="165">B166/B167</f>
        <v>0.90926275992438566</v>
      </c>
      <c r="C181" s="58">
        <f t="shared" si="165"/>
        <v>0.90196878506579614</v>
      </c>
      <c r="D181" s="58">
        <f t="shared" si="165"/>
        <v>0.92759230599159848</v>
      </c>
      <c r="E181" s="58">
        <f t="shared" si="165"/>
        <v>0.93848758465011284</v>
      </c>
      <c r="F181" s="58">
        <f t="shared" si="165"/>
        <v>0.98844496670583637</v>
      </c>
      <c r="G181" s="58">
        <f t="shared" si="165"/>
        <v>0.91380100871160019</v>
      </c>
      <c r="H181" s="58">
        <f t="shared" ref="H181:M181" si="166">H166/H167</f>
        <v>0</v>
      </c>
      <c r="I181" s="58">
        <f t="shared" si="166"/>
        <v>0</v>
      </c>
      <c r="J181" s="58">
        <f t="shared" si="166"/>
        <v>0</v>
      </c>
      <c r="K181" s="58">
        <f t="shared" si="166"/>
        <v>0</v>
      </c>
      <c r="L181" s="58">
        <f t="shared" si="166"/>
        <v>0.51661314229249022</v>
      </c>
      <c r="M181" s="58">
        <f t="shared" si="166"/>
        <v>0.12333791838606144</v>
      </c>
      <c r="N181" s="58">
        <f>N166/N167</f>
        <v>0</v>
      </c>
    </row>
    <row r="182" spans="1:14">
      <c r="A182" s="721" t="s">
        <v>293</v>
      </c>
      <c r="B182" s="722">
        <f t="shared" ref="B182:G182" si="167">SUM(B170:B181)</f>
        <v>1</v>
      </c>
      <c r="C182" s="722">
        <f t="shared" si="167"/>
        <v>1</v>
      </c>
      <c r="D182" s="722">
        <f t="shared" si="167"/>
        <v>1</v>
      </c>
      <c r="E182" s="722">
        <f t="shared" si="167"/>
        <v>1</v>
      </c>
      <c r="F182" s="722">
        <f t="shared" si="167"/>
        <v>1</v>
      </c>
      <c r="G182" s="722">
        <f t="shared" si="167"/>
        <v>1</v>
      </c>
      <c r="H182" s="722">
        <f t="shared" ref="H182:M182" si="168">SUM(H170:H181)</f>
        <v>1</v>
      </c>
      <c r="I182" s="722">
        <f t="shared" si="168"/>
        <v>0.99999999999999989</v>
      </c>
      <c r="J182" s="722">
        <f t="shared" si="168"/>
        <v>1</v>
      </c>
      <c r="K182" s="722">
        <f t="shared" si="168"/>
        <v>1</v>
      </c>
      <c r="L182" s="722">
        <f t="shared" si="168"/>
        <v>1</v>
      </c>
      <c r="M182" s="722">
        <f t="shared" si="168"/>
        <v>1</v>
      </c>
      <c r="N182" s="722">
        <f>SUM(N170:N181)</f>
        <v>1</v>
      </c>
    </row>
    <row r="183" spans="1:14">
      <c r="J183" s="29"/>
    </row>
    <row r="184" spans="1:14">
      <c r="J184" s="29"/>
    </row>
    <row r="185" spans="1:14" ht="16">
      <c r="A185" s="120" t="s">
        <v>764</v>
      </c>
      <c r="B185" s="22"/>
      <c r="J185" s="29"/>
    </row>
    <row r="186" spans="1:14">
      <c r="A186" s="6" t="s">
        <v>511</v>
      </c>
      <c r="J186" s="29"/>
    </row>
    <row r="187" spans="1:14">
      <c r="A187" s="103" t="s">
        <v>765</v>
      </c>
      <c r="B187" s="56">
        <v>1E-3</v>
      </c>
      <c r="J187" s="29"/>
    </row>
    <row r="188" spans="1:14">
      <c r="A188" s="103" t="s">
        <v>132</v>
      </c>
      <c r="B188" s="52">
        <f>3412.1/1000000</f>
        <v>3.4120999999999999E-3</v>
      </c>
      <c r="J188" s="29"/>
    </row>
    <row r="189" spans="1:14">
      <c r="A189" s="104" t="s">
        <v>286</v>
      </c>
      <c r="B189" s="24">
        <v>1E-3</v>
      </c>
      <c r="J189" s="29"/>
    </row>
    <row r="190" spans="1:14" ht="15">
      <c r="A190" s="103" t="s">
        <v>719</v>
      </c>
      <c r="B190" s="13">
        <v>9.9999999999999995E-7</v>
      </c>
      <c r="J190" s="29"/>
    </row>
    <row r="191" spans="1:14">
      <c r="A191" s="104" t="s">
        <v>461</v>
      </c>
      <c r="B191" s="57">
        <f>1/2204.6226</f>
        <v>4.5359237449529909E-4</v>
      </c>
      <c r="J191" s="29"/>
    </row>
    <row r="192" spans="1:14" ht="15">
      <c r="A192" s="160" t="s">
        <v>876</v>
      </c>
      <c r="B192" s="152">
        <v>21</v>
      </c>
      <c r="J192" s="29"/>
    </row>
    <row r="193" spans="1:10" ht="15">
      <c r="A193" s="160" t="s">
        <v>56</v>
      </c>
      <c r="B193" s="152">
        <v>310</v>
      </c>
      <c r="J193" s="29"/>
    </row>
    <row r="194" spans="1:10">
      <c r="J194" s="29"/>
    </row>
    <row r="195" spans="1:10">
      <c r="A195" s="154" t="s">
        <v>291</v>
      </c>
      <c r="J195" s="29"/>
    </row>
    <row r="196" spans="1:10" ht="15">
      <c r="A196" s="10" t="s">
        <v>776</v>
      </c>
      <c r="B196" s="130">
        <f>($B188*$B199*$B200*$B201*$B189)</f>
        <v>1.8000950273059822E-4</v>
      </c>
      <c r="J196" s="29"/>
    </row>
    <row r="197" spans="1:10" ht="15">
      <c r="A197" s="160" t="s">
        <v>633</v>
      </c>
      <c r="B197" s="163">
        <v>0.95</v>
      </c>
      <c r="J197" s="29"/>
    </row>
    <row r="198" spans="1:10" ht="15">
      <c r="A198" s="160" t="s">
        <v>55</v>
      </c>
      <c r="B198" s="162">
        <v>9.5000000000000001E-2</v>
      </c>
      <c r="J198" s="29"/>
    </row>
    <row r="199" spans="1:10">
      <c r="A199" s="160" t="s">
        <v>430</v>
      </c>
      <c r="B199" s="152">
        <v>14.47</v>
      </c>
      <c r="J199" s="29"/>
    </row>
    <row r="200" spans="1:10">
      <c r="A200" s="160" t="s">
        <v>625</v>
      </c>
      <c r="B200" s="152">
        <v>0.995</v>
      </c>
      <c r="J200" s="29"/>
    </row>
    <row r="201" spans="1:10" ht="15">
      <c r="A201" s="160" t="s">
        <v>947</v>
      </c>
      <c r="B201" s="162">
        <f>((12.011+32)/12.011)</f>
        <v>3.6642244609108316</v>
      </c>
      <c r="J201" s="29"/>
    </row>
    <row r="202" spans="1:10">
      <c r="J202" s="29"/>
    </row>
    <row r="203" spans="1:10">
      <c r="A203" s="155" t="s">
        <v>356</v>
      </c>
      <c r="J203" s="29"/>
    </row>
    <row r="204" spans="1:10" ht="15">
      <c r="A204" s="10" t="s">
        <v>777</v>
      </c>
      <c r="B204" s="130">
        <f>($B188*$B207*$B208*$B209*$B189)</f>
        <v>3.1550689191339688E-4</v>
      </c>
      <c r="J204" s="29"/>
    </row>
    <row r="205" spans="1:10" ht="15">
      <c r="A205" s="156" t="s">
        <v>633</v>
      </c>
      <c r="B205" s="159">
        <v>1</v>
      </c>
      <c r="J205" s="29"/>
    </row>
    <row r="206" spans="1:10" ht="15">
      <c r="A206" s="160" t="s">
        <v>55</v>
      </c>
      <c r="B206" s="163">
        <v>1.4</v>
      </c>
      <c r="J206" s="29"/>
    </row>
    <row r="207" spans="1:10">
      <c r="A207" s="160" t="s">
        <v>430</v>
      </c>
      <c r="B207" s="152">
        <v>25.49</v>
      </c>
      <c r="J207" s="29"/>
    </row>
    <row r="208" spans="1:10">
      <c r="A208" s="160" t="s">
        <v>625</v>
      </c>
      <c r="B208" s="152">
        <v>0.99</v>
      </c>
      <c r="J208" s="29"/>
    </row>
    <row r="209" spans="1:10" ht="15">
      <c r="A209" s="160" t="s">
        <v>947</v>
      </c>
      <c r="B209" s="162">
        <f>((12.011+32)/12.011)</f>
        <v>3.6642244609108316</v>
      </c>
      <c r="J209" s="29"/>
    </row>
    <row r="210" spans="1:10">
      <c r="J210" s="29"/>
    </row>
    <row r="211" spans="1:10">
      <c r="A211" s="155" t="s">
        <v>14</v>
      </c>
      <c r="J211" s="29"/>
    </row>
    <row r="212" spans="1:10" ht="15">
      <c r="A212" s="10" t="s">
        <v>407</v>
      </c>
      <c r="B212" s="130">
        <f>($B188*$B215*$B216*$B217*$B189)</f>
        <v>2.4693458194085003E-4</v>
      </c>
      <c r="J212" s="29"/>
    </row>
    <row r="213" spans="1:10" ht="15">
      <c r="A213" s="160" t="s">
        <v>633</v>
      </c>
      <c r="B213" s="163">
        <v>3.01</v>
      </c>
      <c r="J213" s="29"/>
    </row>
    <row r="214" spans="1:10" ht="15">
      <c r="A214" s="156" t="s">
        <v>55</v>
      </c>
      <c r="B214" s="158">
        <v>0.60099999999999998</v>
      </c>
      <c r="J214" s="29"/>
    </row>
    <row r="215" spans="1:10">
      <c r="A215" s="160" t="s">
        <v>430</v>
      </c>
      <c r="B215" s="152">
        <v>19.95</v>
      </c>
      <c r="J215" s="29"/>
    </row>
    <row r="216" spans="1:10">
      <c r="A216" s="160" t="s">
        <v>625</v>
      </c>
      <c r="B216" s="152">
        <v>0.99</v>
      </c>
      <c r="J216" s="29"/>
    </row>
    <row r="217" spans="1:10" ht="15">
      <c r="A217" s="160" t="s">
        <v>947</v>
      </c>
      <c r="B217" s="162">
        <f>((12.011+32)/12.011)</f>
        <v>3.6642244609108316</v>
      </c>
      <c r="J217" s="29"/>
    </row>
    <row r="218" spans="1:10">
      <c r="J218" s="29"/>
    </row>
    <row r="219" spans="1:10">
      <c r="A219" s="155" t="s">
        <v>279</v>
      </c>
      <c r="J219" s="29"/>
    </row>
    <row r="220" spans="1:10" ht="15">
      <c r="A220" s="10" t="s">
        <v>822</v>
      </c>
      <c r="B220" s="130">
        <f>($B188*$B223*$B224*$B225*$B189)</f>
        <v>2.6599619879242442E-4</v>
      </c>
      <c r="J220" s="29"/>
    </row>
    <row r="221" spans="1:10" ht="15">
      <c r="A221" s="156" t="s">
        <v>633</v>
      </c>
      <c r="B221" s="159">
        <v>3.01</v>
      </c>
      <c r="J221" s="29"/>
    </row>
    <row r="222" spans="1:10" ht="15">
      <c r="A222" s="160" t="s">
        <v>55</v>
      </c>
      <c r="B222" s="162">
        <v>0.60099999999999998</v>
      </c>
      <c r="J222" s="29"/>
    </row>
    <row r="223" spans="1:10">
      <c r="A223" s="160" t="s">
        <v>430</v>
      </c>
      <c r="B223" s="152">
        <v>21.49</v>
      </c>
      <c r="J223" s="29"/>
    </row>
    <row r="224" spans="1:10">
      <c r="A224" s="160" t="s">
        <v>625</v>
      </c>
      <c r="B224" s="152">
        <v>0.99</v>
      </c>
      <c r="J224" s="29"/>
    </row>
    <row r="225" spans="1:10" ht="15">
      <c r="A225" s="160" t="s">
        <v>947</v>
      </c>
      <c r="B225" s="162">
        <f>((12.011+32)/12.011)</f>
        <v>3.6642244609108316</v>
      </c>
      <c r="J225" s="29"/>
    </row>
    <row r="226" spans="1:10">
      <c r="J226" s="29"/>
    </row>
    <row r="227" spans="1:10">
      <c r="A227" s="853" t="s">
        <v>278</v>
      </c>
      <c r="B227" s="853"/>
      <c r="J227" s="29"/>
    </row>
    <row r="228" spans="1:10" ht="15">
      <c r="A228" s="10" t="s">
        <v>822</v>
      </c>
      <c r="B228" s="102">
        <f>(B187*B229*B191)</f>
        <v>4.0692225508347782E-4</v>
      </c>
      <c r="J228" s="29"/>
    </row>
    <row r="229" spans="1:10" ht="15">
      <c r="A229" s="160" t="s">
        <v>781</v>
      </c>
      <c r="B229" s="152">
        <v>897.11</v>
      </c>
      <c r="J229" s="29"/>
    </row>
    <row r="230" spans="1:10" ht="15">
      <c r="A230" s="156" t="s">
        <v>782</v>
      </c>
      <c r="B230" s="164">
        <v>7.6600000000000001E-2</v>
      </c>
      <c r="J230" s="29"/>
    </row>
    <row r="231" spans="1:10" ht="15">
      <c r="A231" s="160" t="s">
        <v>55</v>
      </c>
      <c r="B231" s="161">
        <v>1.5900000000000001E-2</v>
      </c>
      <c r="J231" s="29"/>
    </row>
    <row r="232" spans="1:10">
      <c r="J232" s="29"/>
    </row>
    <row r="233" spans="1:10">
      <c r="J233" s="29"/>
    </row>
    <row r="234" spans="1:10">
      <c r="J234" s="29"/>
    </row>
    <row r="235" spans="1:10">
      <c r="J235" s="29"/>
    </row>
    <row r="236" spans="1:10">
      <c r="J236" s="29"/>
    </row>
    <row r="237" spans="1:10">
      <c r="J237" s="29"/>
    </row>
    <row r="238" spans="1:10">
      <c r="J238" s="29"/>
    </row>
    <row r="239" spans="1:10">
      <c r="J239" s="29"/>
    </row>
    <row r="240" spans="1:10">
      <c r="J240" s="29"/>
    </row>
    <row r="241" spans="10:10">
      <c r="J241" s="29"/>
    </row>
    <row r="242" spans="10:10">
      <c r="J242" s="29"/>
    </row>
    <row r="243" spans="10:10">
      <c r="J243" s="29"/>
    </row>
    <row r="244" spans="10:10">
      <c r="J244" s="29"/>
    </row>
    <row r="245" spans="10:10">
      <c r="J245" s="29"/>
    </row>
    <row r="246" spans="10:10">
      <c r="J246" s="29"/>
    </row>
    <row r="247" spans="10:10">
      <c r="J247" s="29"/>
    </row>
    <row r="248" spans="10:10">
      <c r="J248" s="29"/>
    </row>
    <row r="249" spans="10:10">
      <c r="J249" s="29"/>
    </row>
    <row r="250" spans="10:10">
      <c r="J250" s="29"/>
    </row>
    <row r="251" spans="10:10">
      <c r="J251" s="29"/>
    </row>
    <row r="252" spans="10:10">
      <c r="J252" s="29"/>
    </row>
    <row r="253" spans="10:10">
      <c r="J253" s="29"/>
    </row>
    <row r="254" spans="10:10">
      <c r="J254" s="29"/>
    </row>
    <row r="255" spans="10:10">
      <c r="J255" s="29"/>
    </row>
    <row r="256" spans="10:10">
      <c r="J256" s="29"/>
    </row>
    <row r="257" spans="10:10">
      <c r="J257" s="29"/>
    </row>
    <row r="258" spans="10:10">
      <c r="J258" s="29"/>
    </row>
    <row r="259" spans="10:10">
      <c r="J259" s="29"/>
    </row>
    <row r="260" spans="10:10">
      <c r="J260" s="29"/>
    </row>
    <row r="261" spans="10:10">
      <c r="J261" s="29"/>
    </row>
    <row r="262" spans="10:10">
      <c r="J262" s="29"/>
    </row>
    <row r="263" spans="10:10">
      <c r="J263" s="29"/>
    </row>
    <row r="264" spans="10:10">
      <c r="J264" s="29"/>
    </row>
    <row r="265" spans="10:10">
      <c r="J265" s="29"/>
    </row>
    <row r="266" spans="10:10">
      <c r="J266" s="29"/>
    </row>
    <row r="267" spans="10:10">
      <c r="J267" s="29"/>
    </row>
    <row r="268" spans="10:10">
      <c r="J268" s="29"/>
    </row>
    <row r="269" spans="10:10">
      <c r="J269" s="29"/>
    </row>
    <row r="270" spans="10:10">
      <c r="J270" s="29"/>
    </row>
    <row r="271" spans="10:10">
      <c r="J271" s="29"/>
    </row>
    <row r="272" spans="10:10">
      <c r="J272" s="29"/>
    </row>
    <row r="273" spans="10:10">
      <c r="J273" s="29"/>
    </row>
    <row r="274" spans="10:10">
      <c r="J274" s="29"/>
    </row>
    <row r="275" spans="10:10">
      <c r="J275" s="29"/>
    </row>
    <row r="276" spans="10:10">
      <c r="J276" s="29"/>
    </row>
    <row r="277" spans="10:10">
      <c r="J277" s="29"/>
    </row>
    <row r="278" spans="10:10">
      <c r="J278" s="29"/>
    </row>
    <row r="279" spans="10:10">
      <c r="J279" s="29"/>
    </row>
    <row r="280" spans="10:10">
      <c r="J280" s="29"/>
    </row>
    <row r="281" spans="10:10">
      <c r="J281" s="29"/>
    </row>
    <row r="282" spans="10:10">
      <c r="J282" s="29"/>
    </row>
    <row r="283" spans="10:10">
      <c r="J283" s="29"/>
    </row>
    <row r="284" spans="10:10">
      <c r="J284" s="29"/>
    </row>
    <row r="285" spans="10:10">
      <c r="J285" s="29"/>
    </row>
    <row r="286" spans="10:10">
      <c r="J286" s="29"/>
    </row>
    <row r="287" spans="10:10">
      <c r="J287" s="29"/>
    </row>
    <row r="288" spans="10:10">
      <c r="J288" s="29"/>
    </row>
    <row r="289" spans="10:10">
      <c r="J289" s="29"/>
    </row>
    <row r="290" spans="10:10">
      <c r="J290" s="29"/>
    </row>
    <row r="291" spans="10:10">
      <c r="J291" s="29"/>
    </row>
    <row r="292" spans="10:10">
      <c r="J292" s="29"/>
    </row>
    <row r="293" spans="10:10">
      <c r="J293" s="29"/>
    </row>
    <row r="294" spans="10:10">
      <c r="J294" s="29"/>
    </row>
    <row r="295" spans="10:10">
      <c r="J295" s="29"/>
    </row>
    <row r="296" spans="10:10">
      <c r="J296" s="29"/>
    </row>
    <row r="297" spans="10:10">
      <c r="J297" s="29"/>
    </row>
    <row r="298" spans="10:10">
      <c r="J298" s="29"/>
    </row>
    <row r="299" spans="10:10">
      <c r="J299" s="29"/>
    </row>
    <row r="300" spans="10:10">
      <c r="J300" s="29"/>
    </row>
    <row r="301" spans="10:10">
      <c r="J301" s="29"/>
    </row>
    <row r="302" spans="10:10">
      <c r="J302" s="29"/>
    </row>
    <row r="303" spans="10:10">
      <c r="J303" s="29"/>
    </row>
  </sheetData>
  <mergeCells count="2">
    <mergeCell ref="A2:G5"/>
    <mergeCell ref="A227:B227"/>
  </mergeCells>
  <phoneticPr fontId="3" type="noConversion"/>
  <pageMargins left="0.5" right="0.5" top="0.5" bottom="0.5" header="0.5" footer="0.5"/>
  <pageSetup scale="50" fitToHeight="2" orientation="portrait"/>
  <headerFooter alignWithMargins="0"/>
  <rowBreaks count="1" manualBreakCount="1">
    <brk id="54" max="16383" man="1"/>
  </rowBreaks>
  <ignoredErrors>
    <ignoredError sqref="B17" formulaRange="1"/>
  </ignoredErrors>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sheetPr>
  <dimension ref="A1:M37"/>
  <sheetViews>
    <sheetView topLeftCell="A2" zoomScale="125" zoomScaleNormal="100" workbookViewId="0">
      <pane xSplit="1" topLeftCell="B1" activePane="topRight" state="frozen"/>
      <selection pane="topRight" activeCell="M17" sqref="M17"/>
    </sheetView>
  </sheetViews>
  <sheetFormatPr baseColWidth="10" defaultColWidth="11.5" defaultRowHeight="13"/>
  <cols>
    <col min="1" max="1" width="42.1640625" customWidth="1"/>
    <col min="2" max="2" width="10" customWidth="1"/>
    <col min="6" max="6" width="9.1640625" customWidth="1"/>
  </cols>
  <sheetData>
    <row r="1" spans="1:13" ht="18">
      <c r="A1" s="854" t="s">
        <v>288</v>
      </c>
      <c r="B1" s="855"/>
      <c r="C1" s="855"/>
      <c r="D1" s="855"/>
      <c r="E1" s="855"/>
      <c r="F1" s="855"/>
    </row>
    <row r="2" spans="1:13">
      <c r="A2" s="856" t="s">
        <v>871</v>
      </c>
      <c r="B2" s="856"/>
      <c r="C2" s="856"/>
      <c r="D2" s="856"/>
      <c r="E2" s="856"/>
      <c r="F2" s="856"/>
    </row>
    <row r="3" spans="1:13">
      <c r="A3" s="76" t="s">
        <v>872</v>
      </c>
      <c r="B3" s="2"/>
      <c r="C3" s="2"/>
      <c r="D3" s="2"/>
      <c r="E3" s="2"/>
      <c r="F3" s="2"/>
    </row>
    <row r="4" spans="1:13">
      <c r="A4" s="76"/>
      <c r="B4" s="2"/>
      <c r="C4" s="2"/>
      <c r="D4" s="2"/>
      <c r="E4" s="2"/>
      <c r="F4" s="2"/>
    </row>
    <row r="5" spans="1:13">
      <c r="B5" s="10" t="s">
        <v>339</v>
      </c>
      <c r="C5" s="10" t="s">
        <v>731</v>
      </c>
      <c r="D5" s="10" t="s">
        <v>24</v>
      </c>
      <c r="E5" s="10" t="s">
        <v>1005</v>
      </c>
      <c r="F5" s="10" t="s">
        <v>970</v>
      </c>
      <c r="G5" s="10" t="s">
        <v>955</v>
      </c>
      <c r="H5" s="10" t="s">
        <v>1123</v>
      </c>
      <c r="I5" s="10" t="s">
        <v>1154</v>
      </c>
      <c r="J5" s="10" t="s">
        <v>1196</v>
      </c>
      <c r="K5" s="10" t="s">
        <v>1251</v>
      </c>
      <c r="L5" s="10" t="s">
        <v>1261</v>
      </c>
      <c r="M5" s="10" t="s">
        <v>1277</v>
      </c>
    </row>
    <row r="6" spans="1:13">
      <c r="A6" s="119" t="s">
        <v>236</v>
      </c>
    </row>
    <row r="7" spans="1:13">
      <c r="A7" s="26" t="s">
        <v>237</v>
      </c>
      <c r="B7" s="27"/>
      <c r="C7" s="27">
        <v>3882.89</v>
      </c>
      <c r="D7" s="631">
        <v>15093.21</v>
      </c>
      <c r="E7" s="27">
        <v>20653</v>
      </c>
      <c r="F7" s="565">
        <v>17315</v>
      </c>
      <c r="G7" s="27">
        <v>22846</v>
      </c>
      <c r="H7" s="27">
        <v>25349</v>
      </c>
      <c r="I7" s="27"/>
      <c r="K7" s="27">
        <v>21513.49</v>
      </c>
      <c r="L7" s="27">
        <v>20347</v>
      </c>
    </row>
    <row r="8" spans="1:13">
      <c r="B8" s="5"/>
      <c r="C8" s="5"/>
      <c r="D8" s="30"/>
      <c r="E8" s="30"/>
      <c r="F8" s="30"/>
      <c r="G8" s="30"/>
      <c r="H8" s="30"/>
      <c r="I8" s="30"/>
      <c r="K8" s="30"/>
      <c r="L8" s="30"/>
    </row>
    <row r="9" spans="1:13">
      <c r="A9" s="119" t="s">
        <v>287</v>
      </c>
      <c r="B9" s="5"/>
      <c r="C9" s="5"/>
      <c r="D9" s="5"/>
      <c r="E9" s="5"/>
      <c r="F9" s="5"/>
      <c r="G9" s="5"/>
      <c r="H9" s="5"/>
      <c r="I9" s="5"/>
      <c r="K9" s="5"/>
      <c r="L9" s="5"/>
    </row>
    <row r="10" spans="1:13">
      <c r="A10" s="26" t="s">
        <v>235</v>
      </c>
      <c r="B10" s="27">
        <v>1012.7</v>
      </c>
      <c r="C10" s="27">
        <v>938.8</v>
      </c>
      <c r="D10" s="27">
        <v>952.9</v>
      </c>
      <c r="E10" s="27">
        <v>877.1</v>
      </c>
      <c r="F10" s="27">
        <v>1011</v>
      </c>
      <c r="G10" s="27">
        <v>998</v>
      </c>
      <c r="H10" s="27">
        <v>1005</v>
      </c>
      <c r="I10" s="27">
        <v>1000</v>
      </c>
      <c r="J10" s="27">
        <v>1000</v>
      </c>
      <c r="K10" s="27">
        <v>1000</v>
      </c>
      <c r="L10" s="27">
        <v>1000</v>
      </c>
    </row>
    <row r="11" spans="1:13" ht="12" customHeight="1">
      <c r="A11" s="26" t="s">
        <v>1131</v>
      </c>
      <c r="B11" s="27">
        <v>1953</v>
      </c>
      <c r="C11" s="27">
        <v>10634</v>
      </c>
      <c r="D11" s="27">
        <v>10053</v>
      </c>
      <c r="E11" s="27">
        <v>9750</v>
      </c>
      <c r="F11" s="633">
        <v>9663</v>
      </c>
      <c r="G11" s="27">
        <v>9903</v>
      </c>
      <c r="H11" s="634">
        <v>10574</v>
      </c>
      <c r="I11" s="634">
        <v>8986</v>
      </c>
      <c r="J11" s="5">
        <v>11030</v>
      </c>
      <c r="K11" s="771">
        <v>8451</v>
      </c>
      <c r="L11" s="771">
        <v>10119</v>
      </c>
      <c r="M11" s="585">
        <v>9616</v>
      </c>
    </row>
    <row r="12" spans="1:13" ht="12" customHeight="1">
      <c r="A12" s="26" t="s">
        <v>1129</v>
      </c>
      <c r="B12" s="30"/>
      <c r="C12" s="30"/>
      <c r="D12" s="30"/>
      <c r="E12" s="30"/>
      <c r="F12" s="27">
        <v>92150</v>
      </c>
      <c r="G12" s="27">
        <v>234329</v>
      </c>
      <c r="H12" s="27">
        <v>231976</v>
      </c>
      <c r="I12" s="27"/>
      <c r="J12" s="27">
        <v>241900</v>
      </c>
      <c r="K12" s="27">
        <v>223474</v>
      </c>
      <c r="L12" s="27">
        <v>230502</v>
      </c>
    </row>
    <row r="13" spans="1:13" ht="12" customHeight="1">
      <c r="A13" s="26" t="s">
        <v>1130</v>
      </c>
      <c r="B13" s="30"/>
      <c r="C13" s="30"/>
      <c r="D13" s="30"/>
      <c r="E13" s="30"/>
      <c r="F13" s="30"/>
      <c r="G13" s="30"/>
      <c r="H13" s="27"/>
      <c r="I13" s="27"/>
      <c r="J13" s="5">
        <v>780158</v>
      </c>
      <c r="K13" s="27">
        <v>752092</v>
      </c>
      <c r="L13" s="27">
        <v>740550</v>
      </c>
    </row>
    <row r="14" spans="1:13" ht="12" customHeight="1">
      <c r="A14" s="100" t="s">
        <v>1276</v>
      </c>
      <c r="B14" s="384"/>
      <c r="C14" s="384"/>
      <c r="D14" s="384"/>
      <c r="E14" s="384"/>
      <c r="F14" s="384"/>
      <c r="G14" s="384"/>
      <c r="H14" s="384"/>
      <c r="I14" s="384"/>
      <c r="K14" s="109">
        <v>410480</v>
      </c>
      <c r="L14" s="109">
        <v>778960</v>
      </c>
    </row>
    <row r="15" spans="1:13" ht="12" customHeight="1">
      <c r="A15" s="100" t="s">
        <v>1263</v>
      </c>
      <c r="B15" s="384"/>
      <c r="C15" s="384"/>
      <c r="D15" s="384"/>
      <c r="E15" s="384"/>
      <c r="F15" s="384"/>
      <c r="G15" s="384"/>
      <c r="H15" s="384"/>
      <c r="I15" s="384"/>
      <c r="J15" s="5">
        <v>8237</v>
      </c>
      <c r="K15" s="109"/>
      <c r="L15" s="109">
        <v>7729</v>
      </c>
    </row>
    <row r="16" spans="1:13" ht="12" customHeight="1">
      <c r="A16" s="100" t="s">
        <v>1264</v>
      </c>
      <c r="B16" s="384"/>
      <c r="C16" s="384"/>
      <c r="D16" s="384"/>
      <c r="E16" s="384"/>
      <c r="F16" s="384"/>
      <c r="G16" s="384"/>
      <c r="H16" s="384"/>
      <c r="I16" s="384"/>
      <c r="J16" s="5">
        <v>9259</v>
      </c>
      <c r="K16" s="109"/>
      <c r="L16" s="109">
        <v>8469</v>
      </c>
    </row>
    <row r="17" spans="1:13" ht="12" customHeight="1">
      <c r="A17" s="635" t="s">
        <v>1265</v>
      </c>
      <c r="B17" s="589"/>
      <c r="C17" s="589"/>
      <c r="D17" s="589"/>
      <c r="E17" s="589"/>
      <c r="F17" s="589"/>
      <c r="G17" s="589"/>
      <c r="H17" s="589">
        <v>2227</v>
      </c>
      <c r="I17" s="589"/>
      <c r="J17" s="593">
        <v>10370</v>
      </c>
      <c r="K17" s="636"/>
      <c r="L17" s="636">
        <v>9134</v>
      </c>
      <c r="M17" s="778"/>
    </row>
    <row r="18" spans="1:13">
      <c r="A18" s="29" t="s">
        <v>1256</v>
      </c>
      <c r="B18" s="30">
        <f t="shared" ref="B18:H18" si="0">SUM(B10:B14)</f>
        <v>2965.7</v>
      </c>
      <c r="C18" s="30">
        <f t="shared" si="0"/>
        <v>11572.8</v>
      </c>
      <c r="D18" s="30">
        <f t="shared" si="0"/>
        <v>11005.9</v>
      </c>
      <c r="E18" s="30">
        <f t="shared" si="0"/>
        <v>10627.1</v>
      </c>
      <c r="F18" s="30">
        <f t="shared" si="0"/>
        <v>102824</v>
      </c>
      <c r="G18" s="30">
        <f t="shared" si="0"/>
        <v>245230</v>
      </c>
      <c r="H18" s="30">
        <f t="shared" si="0"/>
        <v>243555</v>
      </c>
      <c r="I18" s="384"/>
      <c r="J18" s="24"/>
      <c r="K18" s="30">
        <f>SUM(K10:K14)</f>
        <v>1395497</v>
      </c>
      <c r="L18" s="30">
        <f>SUM(L10:L17)</f>
        <v>1786463</v>
      </c>
    </row>
    <row r="19" spans="1:13">
      <c r="A19" s="29"/>
      <c r="B19" s="30"/>
      <c r="C19" s="30"/>
      <c r="D19" s="30"/>
      <c r="E19" s="30"/>
      <c r="F19" s="30"/>
      <c r="G19" s="30"/>
      <c r="H19" s="30"/>
      <c r="I19" s="30"/>
      <c r="K19" s="30"/>
      <c r="L19" s="30"/>
    </row>
    <row r="20" spans="1:13">
      <c r="A20" s="391" t="s">
        <v>1253</v>
      </c>
      <c r="B20" s="30"/>
      <c r="C20" s="30"/>
      <c r="D20" s="30"/>
      <c r="E20" s="30"/>
      <c r="F20" s="30"/>
      <c r="G20" s="30"/>
      <c r="H20" s="30"/>
      <c r="I20" s="30"/>
      <c r="K20" s="30"/>
      <c r="L20" s="30"/>
    </row>
    <row r="21" spans="1:13">
      <c r="A21" s="635" t="s">
        <v>1254</v>
      </c>
      <c r="B21" s="636">
        <v>4317</v>
      </c>
      <c r="C21" s="636">
        <v>5168</v>
      </c>
      <c r="D21" s="637">
        <v>3965</v>
      </c>
      <c r="E21" s="637">
        <v>4910</v>
      </c>
      <c r="F21" s="637">
        <v>2768</v>
      </c>
      <c r="G21" s="637">
        <v>2328</v>
      </c>
      <c r="H21" s="637">
        <v>4172</v>
      </c>
      <c r="I21" s="782"/>
      <c r="J21" s="613"/>
      <c r="K21" s="767">
        <v>4341</v>
      </c>
      <c r="L21" s="767">
        <v>3863</v>
      </c>
    </row>
    <row r="22" spans="1:13">
      <c r="A22" s="70" t="s">
        <v>1255</v>
      </c>
      <c r="B22" s="384">
        <f>SUM(B21)</f>
        <v>4317</v>
      </c>
      <c r="C22" s="384">
        <f t="shared" ref="C22:H22" si="1">SUM(C21)</f>
        <v>5168</v>
      </c>
      <c r="D22" s="384">
        <f t="shared" si="1"/>
        <v>3965</v>
      </c>
      <c r="E22" s="384">
        <f t="shared" si="1"/>
        <v>4910</v>
      </c>
      <c r="F22" s="384">
        <f t="shared" si="1"/>
        <v>2768</v>
      </c>
      <c r="G22" s="384">
        <f t="shared" si="1"/>
        <v>2328</v>
      </c>
      <c r="H22" s="384">
        <f t="shared" si="1"/>
        <v>4172</v>
      </c>
      <c r="I22" s="384"/>
      <c r="K22" s="384">
        <f>SUM(K21)</f>
        <v>4341</v>
      </c>
      <c r="L22" s="384">
        <f>SUM(L21)</f>
        <v>3863</v>
      </c>
    </row>
    <row r="23" spans="1:13">
      <c r="B23" s="5"/>
      <c r="C23" s="5"/>
      <c r="D23" s="586"/>
      <c r="E23" s="586"/>
      <c r="F23" s="586"/>
      <c r="G23" s="586"/>
      <c r="H23" s="586"/>
      <c r="I23" s="384"/>
      <c r="K23" s="384"/>
      <c r="L23" s="384"/>
    </row>
    <row r="24" spans="1:13">
      <c r="A24" s="119" t="s">
        <v>238</v>
      </c>
      <c r="B24" s="5"/>
      <c r="C24" s="5"/>
      <c r="D24" s="5"/>
      <c r="E24" s="5"/>
      <c r="F24" s="5"/>
      <c r="G24" s="5"/>
      <c r="H24" s="5"/>
      <c r="I24" s="5"/>
      <c r="K24" s="5"/>
      <c r="L24" s="5"/>
    </row>
    <row r="25" spans="1:13">
      <c r="A25" s="26" t="s">
        <v>239</v>
      </c>
      <c r="B25" s="27"/>
      <c r="C25" s="632"/>
      <c r="D25" s="27" t="s">
        <v>1132</v>
      </c>
      <c r="E25" s="27" t="s">
        <v>1132</v>
      </c>
      <c r="F25" s="27" t="s">
        <v>1132</v>
      </c>
      <c r="G25" s="27" t="s">
        <v>1132</v>
      </c>
      <c r="H25" s="27" t="s">
        <v>1132</v>
      </c>
      <c r="I25" s="27"/>
      <c r="K25" s="27" t="s">
        <v>1132</v>
      </c>
      <c r="L25" s="27" t="s">
        <v>1132</v>
      </c>
    </row>
    <row r="26" spans="1:13">
      <c r="A26" s="26" t="s">
        <v>160</v>
      </c>
      <c r="B26" s="27"/>
      <c r="C26" s="632"/>
      <c r="D26" s="27" t="s">
        <v>1132</v>
      </c>
      <c r="E26" s="27" t="s">
        <v>1132</v>
      </c>
      <c r="F26" s="27" t="s">
        <v>1132</v>
      </c>
      <c r="G26" s="27" t="s">
        <v>1132</v>
      </c>
      <c r="H26" s="27" t="s">
        <v>1132</v>
      </c>
      <c r="I26" s="27"/>
      <c r="K26" s="27" t="s">
        <v>1132</v>
      </c>
      <c r="L26" s="27" t="s">
        <v>1132</v>
      </c>
    </row>
    <row r="27" spans="1:13">
      <c r="A27" t="s">
        <v>234</v>
      </c>
      <c r="B27" s="5"/>
      <c r="C27" s="5"/>
      <c r="D27" s="30"/>
      <c r="E27" s="30"/>
      <c r="F27" s="30"/>
      <c r="G27" s="30"/>
      <c r="H27" s="30"/>
      <c r="I27" s="30"/>
      <c r="K27" s="30"/>
      <c r="L27" s="30"/>
    </row>
    <row r="28" spans="1:13">
      <c r="B28" s="5"/>
      <c r="C28" s="5"/>
      <c r="D28" s="5"/>
      <c r="E28" s="5"/>
      <c r="F28" s="5"/>
      <c r="G28" s="5"/>
      <c r="H28" s="5"/>
      <c r="I28" s="5"/>
      <c r="K28" s="5"/>
      <c r="L28" s="5"/>
    </row>
    <row r="29" spans="1:13">
      <c r="A29" s="119" t="s">
        <v>105</v>
      </c>
      <c r="B29" s="5"/>
      <c r="C29" s="5"/>
      <c r="D29" s="5"/>
      <c r="E29" s="5"/>
      <c r="F29" s="5"/>
      <c r="G29" s="5"/>
      <c r="H29" s="5"/>
      <c r="I29" s="5"/>
      <c r="K29" s="5"/>
      <c r="L29" s="5"/>
    </row>
    <row r="30" spans="1:13">
      <c r="A30" s="26" t="s">
        <v>320</v>
      </c>
      <c r="B30" s="380">
        <f>'Scope1A Stationary'!D31</f>
        <v>138141.79999999999</v>
      </c>
      <c r="C30" s="27">
        <f>'Scope1A Stationary'!E31</f>
        <v>149398.20000000001</v>
      </c>
      <c r="D30" s="27">
        <v>129233.5</v>
      </c>
      <c r="E30" s="27">
        <v>142187.9</v>
      </c>
      <c r="F30" s="27">
        <v>124268.9</v>
      </c>
      <c r="G30" s="27">
        <v>142688.70000000001</v>
      </c>
      <c r="H30" s="27">
        <v>142688.70000000001</v>
      </c>
      <c r="I30" s="27"/>
      <c r="K30" s="27"/>
      <c r="L30" s="27"/>
    </row>
    <row r="31" spans="1:13">
      <c r="A31" s="70" t="s">
        <v>479</v>
      </c>
      <c r="B31" s="5" t="e">
        <f>(#REF!*0.05)+(B30*0.2)</f>
        <v>#REF!</v>
      </c>
      <c r="C31" s="51" t="e">
        <f>(#REF!*0.05)+(C30*0.2)</f>
        <v>#REF!</v>
      </c>
      <c r="D31" s="30"/>
      <c r="E31" s="30"/>
      <c r="F31" s="30"/>
      <c r="G31" s="30"/>
      <c r="H31" s="30"/>
      <c r="I31" s="30"/>
      <c r="K31" s="30"/>
      <c r="L31" s="30"/>
    </row>
    <row r="32" spans="1:13">
      <c r="B32" s="5"/>
      <c r="C32" s="5"/>
      <c r="D32" s="5"/>
      <c r="E32" s="5"/>
      <c r="F32" s="5"/>
      <c r="G32" s="5"/>
      <c r="H32" s="5"/>
      <c r="I32" s="5"/>
      <c r="K32" s="5"/>
      <c r="L32" s="5"/>
    </row>
    <row r="33" spans="1:12">
      <c r="A33" s="119" t="s">
        <v>873</v>
      </c>
      <c r="B33" s="5"/>
      <c r="C33" s="5"/>
      <c r="D33" s="5"/>
      <c r="E33" s="5"/>
      <c r="F33" s="5"/>
      <c r="G33" s="5"/>
      <c r="H33" s="5"/>
      <c r="I33" s="5"/>
      <c r="K33" s="5"/>
      <c r="L33" s="5"/>
    </row>
    <row r="34" spans="1:12">
      <c r="A34" s="91" t="s">
        <v>854</v>
      </c>
      <c r="B34" s="27"/>
      <c r="C34" s="27">
        <v>49240</v>
      </c>
      <c r="D34" s="27">
        <v>47200</v>
      </c>
      <c r="E34" s="27">
        <v>34960</v>
      </c>
      <c r="F34" s="27">
        <f>AVERAGE(C34:E34)</f>
        <v>43800</v>
      </c>
      <c r="G34" s="27">
        <v>18372</v>
      </c>
      <c r="H34" s="27">
        <v>18372</v>
      </c>
      <c r="I34" s="27"/>
      <c r="K34" s="27"/>
      <c r="L34" s="27"/>
    </row>
    <row r="35" spans="1:12">
      <c r="A35" s="638" t="s">
        <v>855</v>
      </c>
      <c r="B35" s="636"/>
      <c r="C35" s="636">
        <v>13891</v>
      </c>
      <c r="D35" s="636">
        <v>31154</v>
      </c>
      <c r="E35" s="636">
        <v>31531</v>
      </c>
      <c r="F35" s="636">
        <f>AVERAGE(C35:E35)</f>
        <v>25525.333333333332</v>
      </c>
      <c r="G35" s="636">
        <v>13463</v>
      </c>
      <c r="H35" s="636">
        <v>13463</v>
      </c>
      <c r="I35" s="782"/>
      <c r="J35" s="613"/>
      <c r="K35" s="636"/>
      <c r="L35" s="636"/>
    </row>
    <row r="36" spans="1:12">
      <c r="A36" s="50" t="s">
        <v>797</v>
      </c>
      <c r="B36" s="5"/>
      <c r="C36" s="5">
        <f>C34+C35/2</f>
        <v>56185.5</v>
      </c>
      <c r="D36" s="5">
        <f>D34+D35/2</f>
        <v>62777</v>
      </c>
      <c r="E36" s="5">
        <f>E34+E35/2</f>
        <v>50725.5</v>
      </c>
      <c r="F36" s="5">
        <f>F34+F35/2</f>
        <v>56562.666666666664</v>
      </c>
      <c r="G36" s="5">
        <f>G34+G35</f>
        <v>31835</v>
      </c>
      <c r="H36" s="5">
        <f>SUM(H34:H35)</f>
        <v>31835</v>
      </c>
      <c r="I36" s="5"/>
      <c r="J36" s="5"/>
      <c r="L36" t="s">
        <v>1133</v>
      </c>
    </row>
    <row r="37" spans="1:12">
      <c r="L37" t="s">
        <v>1134</v>
      </c>
    </row>
  </sheetData>
  <mergeCells count="2">
    <mergeCell ref="A1:F1"/>
    <mergeCell ref="A2:F2"/>
  </mergeCells>
  <phoneticPr fontId="54" type="noConversion"/>
  <pageMargins left="0.75" right="0.75" top="1" bottom="1" header="0.5" footer="0.5"/>
  <pageSetup scale="125" orientation="portrait" horizontalDpi="4294967292" verticalDpi="4294967292"/>
  <headerFooter alignWithMargins="0"/>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26"/>
  <sheetViews>
    <sheetView topLeftCell="A10" zoomScaleNormal="100" workbookViewId="0">
      <selection activeCell="B24" sqref="B24:H27"/>
    </sheetView>
  </sheetViews>
  <sheetFormatPr baseColWidth="10" defaultColWidth="8.83203125" defaultRowHeight="13"/>
  <cols>
    <col min="1" max="1" width="26.5" customWidth="1"/>
  </cols>
  <sheetData>
    <row r="1" spans="1:8" ht="18">
      <c r="A1" s="859" t="s">
        <v>199</v>
      </c>
      <c r="B1" s="859"/>
      <c r="C1" s="859"/>
      <c r="D1" s="859"/>
      <c r="E1" s="859"/>
      <c r="F1" s="859"/>
      <c r="G1" s="859"/>
    </row>
    <row r="2" spans="1:8" ht="12.75" customHeight="1">
      <c r="A2" s="839" t="s">
        <v>200</v>
      </c>
      <c r="B2" s="839"/>
      <c r="C2" s="839"/>
      <c r="D2" s="839"/>
      <c r="E2" s="839"/>
      <c r="F2" s="839"/>
      <c r="G2" s="839"/>
    </row>
    <row r="3" spans="1:8">
      <c r="A3" s="839"/>
      <c r="B3" s="839"/>
      <c r="C3" s="839"/>
      <c r="D3" s="839"/>
      <c r="E3" s="839"/>
      <c r="F3" s="839"/>
      <c r="G3" s="839"/>
    </row>
    <row r="4" spans="1:8">
      <c r="A4" s="839"/>
      <c r="B4" s="839"/>
      <c r="C4" s="839"/>
      <c r="D4" s="839"/>
      <c r="E4" s="839"/>
      <c r="F4" s="839"/>
      <c r="G4" s="839"/>
    </row>
    <row r="5" spans="1:8">
      <c r="A5" s="839"/>
      <c r="B5" s="839"/>
      <c r="C5" s="839"/>
      <c r="D5" s="839"/>
      <c r="E5" s="839"/>
      <c r="F5" s="839"/>
      <c r="G5" s="839"/>
    </row>
    <row r="7" spans="1:8" ht="16">
      <c r="A7" s="4" t="s">
        <v>749</v>
      </c>
    </row>
    <row r="8" spans="1:8">
      <c r="A8" t="s">
        <v>430</v>
      </c>
      <c r="B8" s="842" t="s">
        <v>381</v>
      </c>
      <c r="C8" s="842"/>
      <c r="D8" s="842"/>
      <c r="E8" s="842"/>
      <c r="F8" s="842"/>
      <c r="G8" s="842"/>
      <c r="H8" s="842"/>
    </row>
    <row r="9" spans="1:8">
      <c r="B9" s="842"/>
      <c r="C9" s="842"/>
      <c r="D9" s="842"/>
      <c r="E9" s="842"/>
      <c r="F9" s="842"/>
      <c r="G9" s="842"/>
      <c r="H9" s="842"/>
    </row>
    <row r="10" spans="1:8">
      <c r="A10" t="s">
        <v>625</v>
      </c>
      <c r="B10" s="842" t="s">
        <v>381</v>
      </c>
      <c r="C10" s="842"/>
      <c r="D10" s="842"/>
      <c r="E10" s="842"/>
      <c r="F10" s="842"/>
      <c r="G10" s="842"/>
      <c r="H10" s="842"/>
    </row>
    <row r="11" spans="1:8">
      <c r="B11" s="842"/>
      <c r="C11" s="842"/>
      <c r="D11" s="842"/>
      <c r="E11" s="842"/>
      <c r="F11" s="842"/>
      <c r="G11" s="842"/>
      <c r="H11" s="842"/>
    </row>
    <row r="12" spans="1:8" ht="15">
      <c r="A12" t="s">
        <v>534</v>
      </c>
      <c r="B12" s="842" t="s">
        <v>142</v>
      </c>
      <c r="C12" s="842"/>
      <c r="D12" s="842"/>
      <c r="E12" s="842"/>
      <c r="F12" s="842"/>
      <c r="G12" s="842"/>
      <c r="H12" s="842"/>
    </row>
    <row r="13" spans="1:8">
      <c r="B13" s="842"/>
      <c r="C13" s="842"/>
      <c r="D13" s="842"/>
      <c r="E13" s="842"/>
      <c r="F13" s="842"/>
      <c r="G13" s="842"/>
      <c r="H13" s="842"/>
    </row>
    <row r="14" spans="1:8" ht="15">
      <c r="A14" t="s">
        <v>431</v>
      </c>
      <c r="B14" s="842" t="s">
        <v>22</v>
      </c>
      <c r="C14" s="842"/>
      <c r="D14" s="842"/>
      <c r="E14" s="842"/>
      <c r="F14" s="842"/>
      <c r="G14" s="842"/>
      <c r="H14" s="842"/>
    </row>
    <row r="15" spans="1:8">
      <c r="B15" s="842"/>
      <c r="C15" s="842"/>
      <c r="D15" s="842"/>
      <c r="E15" s="842"/>
      <c r="F15" s="842"/>
      <c r="G15" s="842"/>
      <c r="H15" s="842"/>
    </row>
    <row r="16" spans="1:8" ht="15" customHeight="1">
      <c r="B16" s="842"/>
      <c r="C16" s="842"/>
      <c r="D16" s="842"/>
      <c r="E16" s="842"/>
      <c r="F16" s="842"/>
      <c r="G16" s="842"/>
      <c r="H16" s="842"/>
    </row>
    <row r="17" spans="1:8" ht="15">
      <c r="A17" t="s">
        <v>432</v>
      </c>
      <c r="B17" s="842" t="s">
        <v>722</v>
      </c>
      <c r="C17" s="842"/>
      <c r="D17" s="842"/>
      <c r="E17" s="842"/>
      <c r="F17" s="842"/>
      <c r="G17" s="842"/>
      <c r="H17" s="842"/>
    </row>
    <row r="18" spans="1:8">
      <c r="B18" s="842"/>
      <c r="C18" s="842"/>
      <c r="D18" s="842"/>
      <c r="E18" s="842"/>
      <c r="F18" s="842"/>
      <c r="G18" s="842"/>
      <c r="H18" s="842"/>
    </row>
    <row r="19" spans="1:8">
      <c r="B19" s="842"/>
      <c r="C19" s="842"/>
      <c r="D19" s="842"/>
      <c r="E19" s="842"/>
      <c r="F19" s="842"/>
      <c r="G19" s="842"/>
      <c r="H19" s="842"/>
    </row>
    <row r="20" spans="1:8" ht="15.75" customHeight="1">
      <c r="B20" s="842"/>
      <c r="C20" s="842"/>
      <c r="D20" s="842"/>
      <c r="E20" s="842"/>
      <c r="F20" s="842"/>
      <c r="G20" s="842"/>
      <c r="H20" s="842"/>
    </row>
    <row r="21" spans="1:8" ht="15">
      <c r="A21" t="s">
        <v>433</v>
      </c>
      <c r="B21" s="842" t="s">
        <v>553</v>
      </c>
      <c r="C21" s="842"/>
      <c r="D21" s="842"/>
      <c r="E21" s="842"/>
      <c r="F21" s="842"/>
      <c r="G21" s="842"/>
      <c r="H21" s="842"/>
    </row>
    <row r="22" spans="1:8">
      <c r="B22" s="842"/>
      <c r="C22" s="842"/>
      <c r="D22" s="842"/>
      <c r="E22" s="842"/>
      <c r="F22" s="842"/>
      <c r="G22" s="842"/>
      <c r="H22" s="842"/>
    </row>
    <row r="23" spans="1:8">
      <c r="B23" s="842"/>
      <c r="C23" s="842"/>
      <c r="D23" s="842"/>
      <c r="E23" s="842"/>
      <c r="F23" s="842"/>
      <c r="G23" s="842"/>
      <c r="H23" s="842"/>
    </row>
    <row r="24" spans="1:8" ht="15">
      <c r="A24" t="s">
        <v>457</v>
      </c>
      <c r="B24" s="842" t="s">
        <v>722</v>
      </c>
      <c r="C24" s="842"/>
      <c r="D24" s="842"/>
      <c r="E24" s="842"/>
      <c r="F24" s="842"/>
      <c r="G24" s="842"/>
      <c r="H24" s="842"/>
    </row>
    <row r="25" spans="1:8">
      <c r="B25" s="842"/>
      <c r="C25" s="842"/>
      <c r="D25" s="842"/>
      <c r="E25" s="842"/>
      <c r="F25" s="842"/>
      <c r="G25" s="842"/>
      <c r="H25" s="842"/>
    </row>
    <row r="26" spans="1:8">
      <c r="B26" s="842"/>
      <c r="C26" s="842"/>
      <c r="D26" s="842"/>
      <c r="E26" s="842"/>
      <c r="F26" s="842"/>
      <c r="G26" s="842"/>
      <c r="H26" s="842"/>
    </row>
    <row r="27" spans="1:8" ht="15.75" customHeight="1">
      <c r="B27" s="842"/>
      <c r="C27" s="842"/>
      <c r="D27" s="842"/>
      <c r="E27" s="842"/>
      <c r="F27" s="842"/>
      <c r="G27" s="842"/>
      <c r="H27" s="842"/>
    </row>
    <row r="29" spans="1:8">
      <c r="A29" s="131" t="s">
        <v>765</v>
      </c>
      <c r="B29" s="840" t="s">
        <v>620</v>
      </c>
      <c r="C29" s="840"/>
    </row>
    <row r="30" spans="1:8">
      <c r="A30" t="s">
        <v>132</v>
      </c>
      <c r="B30" s="840" t="s">
        <v>620</v>
      </c>
      <c r="C30" s="840"/>
    </row>
    <row r="31" spans="1:8">
      <c r="A31" t="s">
        <v>601</v>
      </c>
      <c r="B31" s="840" t="s">
        <v>620</v>
      </c>
      <c r="C31" s="840"/>
    </row>
    <row r="32" spans="1:8">
      <c r="A32" t="s">
        <v>393</v>
      </c>
      <c r="B32" s="840" t="s">
        <v>620</v>
      </c>
      <c r="C32" s="840"/>
    </row>
    <row r="33" spans="1:8">
      <c r="A33" t="s">
        <v>224</v>
      </c>
      <c r="B33" s="840" t="s">
        <v>620</v>
      </c>
      <c r="C33" s="840"/>
    </row>
    <row r="35" spans="1:8" ht="16">
      <c r="A35" s="835" t="s">
        <v>326</v>
      </c>
      <c r="B35" s="835"/>
      <c r="C35" s="835"/>
      <c r="D35" s="835"/>
      <c r="E35" s="835"/>
    </row>
    <row r="36" spans="1:8">
      <c r="A36" s="26" t="s">
        <v>1022</v>
      </c>
      <c r="B36" s="841" t="s">
        <v>928</v>
      </c>
      <c r="C36" s="841"/>
      <c r="D36" s="841"/>
      <c r="E36" s="841"/>
      <c r="F36" s="841"/>
      <c r="G36" s="841"/>
      <c r="H36" s="841"/>
    </row>
    <row r="37" spans="1:8">
      <c r="A37" s="26"/>
      <c r="B37" s="841"/>
      <c r="C37" s="841"/>
      <c r="D37" s="841"/>
      <c r="E37" s="841"/>
      <c r="F37" s="841"/>
      <c r="G37" s="841"/>
      <c r="H37" s="841"/>
    </row>
    <row r="38" spans="1:8" ht="12.75" customHeight="1">
      <c r="A38" s="26" t="s">
        <v>1020</v>
      </c>
      <c r="B38" s="861" t="s">
        <v>276</v>
      </c>
      <c r="C38" s="861"/>
      <c r="D38" s="861"/>
      <c r="E38" s="861"/>
      <c r="F38" s="861"/>
      <c r="G38" s="861"/>
      <c r="H38" s="861"/>
    </row>
    <row r="39" spans="1:8">
      <c r="A39" s="26"/>
      <c r="B39" s="861"/>
      <c r="C39" s="861"/>
      <c r="D39" s="861"/>
      <c r="E39" s="861"/>
      <c r="F39" s="861"/>
      <c r="G39" s="861"/>
      <c r="H39" s="861"/>
    </row>
    <row r="40" spans="1:8">
      <c r="A40" s="26"/>
      <c r="B40" s="861"/>
      <c r="C40" s="861"/>
      <c r="D40" s="861"/>
      <c r="E40" s="861"/>
      <c r="F40" s="861"/>
      <c r="G40" s="861"/>
      <c r="H40" s="861"/>
    </row>
    <row r="41" spans="1:8">
      <c r="A41" s="26" t="s">
        <v>1021</v>
      </c>
      <c r="B41" s="841" t="s">
        <v>245</v>
      </c>
      <c r="C41" s="841"/>
      <c r="D41" s="841"/>
      <c r="E41" s="841"/>
      <c r="F41" s="841"/>
      <c r="G41" s="841"/>
      <c r="H41" s="841"/>
    </row>
    <row r="42" spans="1:8">
      <c r="A42" s="26"/>
      <c r="B42" s="841"/>
      <c r="C42" s="841"/>
      <c r="D42" s="841"/>
      <c r="E42" s="841"/>
      <c r="F42" s="841"/>
      <c r="G42" s="841"/>
      <c r="H42" s="841"/>
    </row>
    <row r="43" spans="1:8">
      <c r="A43" s="26" t="s">
        <v>191</v>
      </c>
      <c r="B43" s="841" t="s">
        <v>965</v>
      </c>
      <c r="C43" s="841"/>
      <c r="D43" s="841"/>
      <c r="E43" s="841"/>
      <c r="F43" s="841"/>
      <c r="G43" s="841"/>
      <c r="H43" s="841"/>
    </row>
    <row r="44" spans="1:8">
      <c r="A44" s="26"/>
      <c r="B44" s="841"/>
      <c r="C44" s="841"/>
      <c r="D44" s="841"/>
      <c r="E44" s="841"/>
      <c r="F44" s="841"/>
      <c r="G44" s="841"/>
      <c r="H44" s="841"/>
    </row>
    <row r="45" spans="1:8">
      <c r="A45" s="26" t="s">
        <v>486</v>
      </c>
      <c r="B45" s="860" t="s">
        <v>230</v>
      </c>
      <c r="C45" s="860"/>
      <c r="D45" s="860"/>
      <c r="E45" s="860"/>
      <c r="F45" s="860"/>
      <c r="G45" s="860"/>
      <c r="H45" s="860"/>
    </row>
    <row r="46" spans="1:8">
      <c r="A46" s="26" t="s">
        <v>487</v>
      </c>
      <c r="B46" s="860" t="s">
        <v>230</v>
      </c>
      <c r="C46" s="860"/>
      <c r="D46" s="860"/>
      <c r="E46" s="860"/>
      <c r="F46" s="860"/>
      <c r="G46" s="860"/>
      <c r="H46" s="860"/>
    </row>
    <row r="47" spans="1:8">
      <c r="A47" s="29"/>
      <c r="B47" s="29"/>
      <c r="C47" s="29"/>
      <c r="D47" s="29"/>
      <c r="E47" s="29"/>
      <c r="F47" s="29"/>
      <c r="G47" s="29"/>
      <c r="H47" s="29"/>
    </row>
    <row r="48" spans="1:8">
      <c r="A48" s="63" t="s">
        <v>1019</v>
      </c>
      <c r="B48" s="29"/>
      <c r="C48" s="29"/>
      <c r="D48" s="29"/>
      <c r="E48" s="29"/>
      <c r="F48" s="29"/>
      <c r="G48" s="29"/>
      <c r="H48" s="29"/>
    </row>
    <row r="49" spans="1:8">
      <c r="A49" s="402"/>
      <c r="B49" s="404" t="s">
        <v>1023</v>
      </c>
      <c r="C49" s="88"/>
      <c r="D49" s="88"/>
      <c r="E49" s="88"/>
      <c r="F49" s="88"/>
      <c r="G49" s="88"/>
      <c r="H49" s="29"/>
    </row>
    <row r="50" spans="1:8">
      <c r="A50" s="402"/>
      <c r="B50" s="404" t="s">
        <v>1024</v>
      </c>
      <c r="C50" s="88"/>
      <c r="D50" s="88"/>
      <c r="E50" s="88"/>
      <c r="F50" s="88"/>
      <c r="G50" s="88"/>
      <c r="H50" s="29"/>
    </row>
    <row r="51" spans="1:8">
      <c r="A51" s="88"/>
      <c r="B51" s="404" t="s">
        <v>128</v>
      </c>
      <c r="C51" s="88"/>
      <c r="D51" s="88"/>
      <c r="E51" s="88"/>
      <c r="F51" s="88"/>
      <c r="G51" s="88"/>
    </row>
    <row r="52" spans="1:8" ht="12.75" customHeight="1">
      <c r="A52" s="88" t="s">
        <v>422</v>
      </c>
      <c r="B52" s="848" t="s">
        <v>1025</v>
      </c>
      <c r="C52" s="848"/>
      <c r="D52" s="848"/>
      <c r="E52" s="848"/>
      <c r="F52" s="848"/>
      <c r="G52" s="848"/>
    </row>
    <row r="53" spans="1:8">
      <c r="A53" s="88"/>
      <c r="B53" s="848"/>
      <c r="C53" s="848"/>
      <c r="D53" s="848"/>
      <c r="E53" s="848"/>
      <c r="F53" s="848"/>
      <c r="G53" s="848"/>
    </row>
    <row r="54" spans="1:8" ht="12.75" customHeight="1">
      <c r="A54" s="88" t="s">
        <v>318</v>
      </c>
      <c r="B54" s="848" t="s">
        <v>1025</v>
      </c>
      <c r="C54" s="848"/>
      <c r="D54" s="848"/>
      <c r="E54" s="848"/>
      <c r="F54" s="848"/>
      <c r="G54" s="848"/>
    </row>
    <row r="55" spans="1:8">
      <c r="A55" s="88"/>
      <c r="B55" s="848"/>
      <c r="C55" s="848"/>
      <c r="D55" s="848"/>
      <c r="E55" s="848"/>
      <c r="F55" s="848"/>
      <c r="G55" s="848"/>
    </row>
    <row r="56" spans="1:8" ht="12.75" customHeight="1">
      <c r="A56" s="88" t="s">
        <v>421</v>
      </c>
      <c r="B56" s="848" t="s">
        <v>1025</v>
      </c>
      <c r="C56" s="848"/>
      <c r="D56" s="848"/>
      <c r="E56" s="848"/>
      <c r="F56" s="848"/>
      <c r="G56" s="848"/>
    </row>
    <row r="57" spans="1:8">
      <c r="A57" s="88"/>
      <c r="B57" s="848"/>
      <c r="C57" s="848"/>
      <c r="D57" s="848"/>
      <c r="E57" s="848"/>
      <c r="F57" s="848"/>
      <c r="G57" s="848"/>
    </row>
    <row r="58" spans="1:8" ht="12.75" customHeight="1">
      <c r="A58" s="88" t="s">
        <v>364</v>
      </c>
      <c r="B58" s="848" t="s">
        <v>1025</v>
      </c>
      <c r="C58" s="848"/>
      <c r="D58" s="848"/>
      <c r="E58" s="848"/>
      <c r="F58" s="848"/>
      <c r="G58" s="848"/>
    </row>
    <row r="59" spans="1:8">
      <c r="A59" s="88"/>
      <c r="B59" s="848"/>
      <c r="C59" s="848"/>
      <c r="D59" s="848"/>
      <c r="E59" s="848"/>
      <c r="F59" s="848"/>
      <c r="G59" s="848"/>
    </row>
    <row r="60" spans="1:8" ht="12.75" customHeight="1">
      <c r="A60" s="88" t="s">
        <v>319</v>
      </c>
      <c r="B60" s="848" t="s">
        <v>1025</v>
      </c>
      <c r="C60" s="848"/>
      <c r="D60" s="848"/>
      <c r="E60" s="848"/>
      <c r="F60" s="848"/>
      <c r="G60" s="848"/>
    </row>
    <row r="61" spans="1:8">
      <c r="A61" s="88"/>
      <c r="B61" s="848"/>
      <c r="C61" s="848"/>
      <c r="D61" s="848"/>
      <c r="E61" s="848"/>
      <c r="F61" s="848"/>
      <c r="G61" s="848"/>
    </row>
    <row r="62" spans="1:8" ht="12.75" customHeight="1">
      <c r="A62" s="88" t="s">
        <v>154</v>
      </c>
      <c r="B62" s="848" t="s">
        <v>1025</v>
      </c>
      <c r="C62" s="848"/>
      <c r="D62" s="848"/>
      <c r="E62" s="848"/>
      <c r="F62" s="848"/>
      <c r="G62" s="848"/>
    </row>
    <row r="63" spans="1:8">
      <c r="A63" s="88"/>
      <c r="B63" s="848"/>
      <c r="C63" s="848"/>
      <c r="D63" s="848"/>
      <c r="E63" s="848"/>
      <c r="F63" s="848"/>
      <c r="G63" s="848"/>
    </row>
    <row r="64" spans="1:8" ht="12.75" customHeight="1">
      <c r="A64" s="88" t="s">
        <v>90</v>
      </c>
      <c r="B64" s="848" t="s">
        <v>1025</v>
      </c>
      <c r="C64" s="848"/>
      <c r="D64" s="848"/>
      <c r="E64" s="848"/>
      <c r="F64" s="848"/>
      <c r="G64" s="848"/>
    </row>
    <row r="65" spans="1:7">
      <c r="A65" s="88"/>
      <c r="B65" s="848"/>
      <c r="C65" s="848"/>
      <c r="D65" s="848"/>
      <c r="E65" s="848"/>
      <c r="F65" s="848"/>
      <c r="G65" s="848"/>
    </row>
    <row r="66" spans="1:7" ht="12.75" customHeight="1">
      <c r="A66" s="88" t="s">
        <v>451</v>
      </c>
      <c r="B66" s="848" t="s">
        <v>1025</v>
      </c>
      <c r="C66" s="848"/>
      <c r="D66" s="848"/>
      <c r="E66" s="848"/>
      <c r="F66" s="848"/>
      <c r="G66" s="848"/>
    </row>
    <row r="67" spans="1:7">
      <c r="A67" s="88"/>
      <c r="B67" s="848"/>
      <c r="C67" s="848"/>
      <c r="D67" s="848"/>
      <c r="E67" s="848"/>
      <c r="F67" s="848"/>
      <c r="G67" s="848"/>
    </row>
    <row r="68" spans="1:7" ht="12.75" customHeight="1">
      <c r="A68" s="88" t="s">
        <v>563</v>
      </c>
      <c r="B68" s="848" t="s">
        <v>1025</v>
      </c>
      <c r="C68" s="848"/>
      <c r="D68" s="848"/>
      <c r="E68" s="848"/>
      <c r="F68" s="848"/>
      <c r="G68" s="848"/>
    </row>
    <row r="69" spans="1:7">
      <c r="A69" s="88"/>
      <c r="B69" s="848"/>
      <c r="C69" s="848"/>
      <c r="D69" s="848"/>
      <c r="E69" s="848"/>
      <c r="F69" s="848"/>
      <c r="G69" s="848"/>
    </row>
    <row r="70" spans="1:7">
      <c r="B70" s="116"/>
      <c r="C70" s="116"/>
      <c r="D70" s="116"/>
      <c r="E70" s="116"/>
      <c r="F70" s="116"/>
      <c r="G70" s="116"/>
    </row>
    <row r="71" spans="1:7">
      <c r="A71" s="63" t="s">
        <v>153</v>
      </c>
      <c r="B71" s="116"/>
      <c r="C71" s="116"/>
      <c r="D71" s="116"/>
      <c r="E71" s="116"/>
      <c r="F71" s="116"/>
      <c r="G71" s="116"/>
    </row>
    <row r="72" spans="1:7">
      <c r="A72" s="88"/>
      <c r="B72" s="857" t="s">
        <v>1189</v>
      </c>
      <c r="C72" s="857"/>
      <c r="D72" s="857"/>
      <c r="E72" s="857"/>
      <c r="F72" s="857"/>
      <c r="G72" s="857"/>
    </row>
    <row r="73" spans="1:7">
      <c r="A73" s="88"/>
      <c r="B73" s="857"/>
      <c r="C73" s="857"/>
      <c r="D73" s="857"/>
      <c r="E73" s="857"/>
      <c r="F73" s="857"/>
      <c r="G73" s="857"/>
    </row>
    <row r="74" spans="1:7">
      <c r="A74" s="88"/>
      <c r="B74" s="857"/>
      <c r="C74" s="857"/>
      <c r="D74" s="857"/>
      <c r="E74" s="857"/>
      <c r="F74" s="857"/>
      <c r="G74" s="857"/>
    </row>
    <row r="75" spans="1:7">
      <c r="A75" s="88"/>
      <c r="B75" s="857"/>
      <c r="C75" s="857"/>
      <c r="D75" s="857"/>
      <c r="E75" s="857"/>
      <c r="F75" s="857"/>
      <c r="G75" s="857"/>
    </row>
    <row r="76" spans="1:7">
      <c r="A76" s="88"/>
      <c r="B76" s="857"/>
      <c r="C76" s="857"/>
      <c r="D76" s="857"/>
      <c r="E76" s="857"/>
      <c r="F76" s="857"/>
      <c r="G76" s="857"/>
    </row>
    <row r="77" spans="1:7" ht="35" customHeight="1">
      <c r="A77" s="88"/>
      <c r="B77" s="857"/>
      <c r="C77" s="857"/>
      <c r="D77" s="857"/>
      <c r="E77" s="857"/>
      <c r="F77" s="857"/>
      <c r="G77" s="857"/>
    </row>
    <row r="78" spans="1:7">
      <c r="A78" s="88" t="s">
        <v>422</v>
      </c>
      <c r="B78" s="858" t="s">
        <v>223</v>
      </c>
      <c r="C78" s="848"/>
      <c r="D78" s="848"/>
      <c r="E78" s="848"/>
      <c r="F78" s="848"/>
      <c r="G78" s="848"/>
    </row>
    <row r="79" spans="1:7" ht="13.5" customHeight="1">
      <c r="A79" s="88"/>
      <c r="B79" s="848"/>
      <c r="C79" s="848"/>
      <c r="D79" s="848"/>
      <c r="E79" s="848"/>
      <c r="F79" s="848"/>
      <c r="G79" s="848"/>
    </row>
    <row r="80" spans="1:7">
      <c r="A80" s="88" t="s">
        <v>318</v>
      </c>
      <c r="B80" s="848" t="s">
        <v>223</v>
      </c>
      <c r="C80" s="848"/>
      <c r="D80" s="848"/>
      <c r="E80" s="848"/>
      <c r="F80" s="848"/>
      <c r="G80" s="848"/>
    </row>
    <row r="81" spans="1:7">
      <c r="A81" s="88"/>
      <c r="B81" s="848"/>
      <c r="C81" s="848"/>
      <c r="D81" s="848"/>
      <c r="E81" s="848"/>
      <c r="F81" s="848"/>
      <c r="G81" s="848"/>
    </row>
    <row r="82" spans="1:7">
      <c r="A82" s="88" t="s">
        <v>421</v>
      </c>
      <c r="B82" s="848" t="s">
        <v>223</v>
      </c>
      <c r="C82" s="848"/>
      <c r="D82" s="848"/>
      <c r="E82" s="848"/>
      <c r="F82" s="848"/>
      <c r="G82" s="848"/>
    </row>
    <row r="83" spans="1:7">
      <c r="A83" s="88"/>
      <c r="B83" s="848"/>
      <c r="C83" s="848"/>
      <c r="D83" s="848"/>
      <c r="E83" s="848"/>
      <c r="F83" s="848"/>
      <c r="G83" s="848"/>
    </row>
    <row r="84" spans="1:7">
      <c r="A84" s="88" t="s">
        <v>364</v>
      </c>
      <c r="B84" s="848" t="s">
        <v>223</v>
      </c>
      <c r="C84" s="848"/>
      <c r="D84" s="848"/>
      <c r="E84" s="848"/>
      <c r="F84" s="848"/>
      <c r="G84" s="848"/>
    </row>
    <row r="85" spans="1:7">
      <c r="A85" s="88"/>
      <c r="B85" s="848"/>
      <c r="C85" s="848"/>
      <c r="D85" s="848"/>
      <c r="E85" s="848"/>
      <c r="F85" s="848"/>
      <c r="G85" s="848"/>
    </row>
    <row r="86" spans="1:7">
      <c r="A86" s="88" t="s">
        <v>319</v>
      </c>
      <c r="B86" s="848" t="s">
        <v>223</v>
      </c>
      <c r="C86" s="848"/>
      <c r="D86" s="848"/>
      <c r="E86" s="848"/>
      <c r="F86" s="848"/>
      <c r="G86" s="848"/>
    </row>
    <row r="87" spans="1:7">
      <c r="A87" s="88"/>
      <c r="B87" s="848"/>
      <c r="C87" s="848"/>
      <c r="D87" s="848"/>
      <c r="E87" s="848"/>
      <c r="F87" s="848"/>
      <c r="G87" s="848"/>
    </row>
    <row r="88" spans="1:7">
      <c r="A88" s="88" t="s">
        <v>154</v>
      </c>
      <c r="B88" s="848" t="s">
        <v>223</v>
      </c>
      <c r="C88" s="848"/>
      <c r="D88" s="848"/>
      <c r="E88" s="848"/>
      <c r="F88" s="848"/>
      <c r="G88" s="848"/>
    </row>
    <row r="89" spans="1:7">
      <c r="A89" s="88"/>
      <c r="B89" s="848"/>
      <c r="C89" s="848"/>
      <c r="D89" s="848"/>
      <c r="E89" s="848"/>
      <c r="F89" s="848"/>
      <c r="G89" s="848"/>
    </row>
    <row r="90" spans="1:7">
      <c r="A90" s="88" t="s">
        <v>90</v>
      </c>
      <c r="B90" s="848" t="s">
        <v>223</v>
      </c>
      <c r="C90" s="848"/>
      <c r="D90" s="848"/>
      <c r="E90" s="848"/>
      <c r="F90" s="848"/>
      <c r="G90" s="848"/>
    </row>
    <row r="91" spans="1:7">
      <c r="A91" s="88"/>
      <c r="B91" s="848"/>
      <c r="C91" s="848"/>
      <c r="D91" s="848"/>
      <c r="E91" s="848"/>
      <c r="F91" s="848"/>
      <c r="G91" s="848"/>
    </row>
    <row r="92" spans="1:7">
      <c r="A92" s="88" t="s">
        <v>451</v>
      </c>
      <c r="B92" s="858" t="s">
        <v>223</v>
      </c>
      <c r="C92" s="848"/>
      <c r="D92" s="848"/>
      <c r="E92" s="848"/>
      <c r="F92" s="848"/>
      <c r="G92" s="848"/>
    </row>
    <row r="93" spans="1:7">
      <c r="A93" s="88"/>
      <c r="B93" s="848"/>
      <c r="C93" s="848"/>
      <c r="D93" s="848"/>
      <c r="E93" s="848"/>
      <c r="F93" s="848"/>
      <c r="G93" s="848"/>
    </row>
    <row r="94" spans="1:7">
      <c r="B94" s="116"/>
      <c r="C94" s="116"/>
      <c r="D94" s="116"/>
      <c r="E94" s="116"/>
      <c r="F94" s="116"/>
      <c r="G94" s="116"/>
    </row>
    <row r="95" spans="1:7" ht="16">
      <c r="A95" s="4" t="s">
        <v>330</v>
      </c>
      <c r="B95" s="37"/>
      <c r="C95" s="37"/>
      <c r="D95" s="37"/>
      <c r="E95" s="37"/>
      <c r="F95" s="37"/>
      <c r="G95" s="37"/>
    </row>
    <row r="96" spans="1:7" ht="15">
      <c r="A96" t="s">
        <v>315</v>
      </c>
      <c r="B96" t="s">
        <v>725</v>
      </c>
    </row>
    <row r="98" spans="1:8" ht="16">
      <c r="A98" s="4" t="s">
        <v>331</v>
      </c>
    </row>
    <row r="99" spans="1:8" ht="15">
      <c r="A99" t="s">
        <v>516</v>
      </c>
      <c r="B99" s="840" t="s">
        <v>725</v>
      </c>
      <c r="C99" s="840"/>
      <c r="D99" s="840"/>
    </row>
    <row r="101" spans="1:8" ht="16">
      <c r="A101" s="4" t="s">
        <v>150</v>
      </c>
    </row>
    <row r="102" spans="1:8" ht="15">
      <c r="A102" t="s">
        <v>378</v>
      </c>
      <c r="B102" t="s">
        <v>725</v>
      </c>
    </row>
    <row r="104" spans="1:8" ht="16">
      <c r="A104" s="4" t="s">
        <v>151</v>
      </c>
    </row>
    <row r="105" spans="1:8" ht="15">
      <c r="A105" t="s">
        <v>379</v>
      </c>
      <c r="B105" t="s">
        <v>725</v>
      </c>
    </row>
    <row r="107" spans="1:8" ht="16">
      <c r="A107" s="4" t="s">
        <v>15</v>
      </c>
    </row>
    <row r="108" spans="1:8" ht="15">
      <c r="A108" t="s">
        <v>470</v>
      </c>
      <c r="B108" s="863" t="s">
        <v>549</v>
      </c>
      <c r="C108" s="842"/>
      <c r="D108" s="842"/>
      <c r="E108" s="842"/>
      <c r="F108" s="842"/>
      <c r="G108" s="842"/>
      <c r="H108" s="842"/>
    </row>
    <row r="109" spans="1:8">
      <c r="B109" s="842"/>
      <c r="C109" s="842"/>
      <c r="D109" s="842"/>
      <c r="E109" s="842"/>
      <c r="F109" s="842"/>
      <c r="G109" s="842"/>
      <c r="H109" s="842"/>
    </row>
    <row r="110" spans="1:8">
      <c r="B110" s="842"/>
      <c r="C110" s="842"/>
      <c r="D110" s="842"/>
      <c r="E110" s="842"/>
      <c r="F110" s="842"/>
      <c r="G110" s="842"/>
      <c r="H110" s="842"/>
    </row>
    <row r="111" spans="1:8" ht="15">
      <c r="A111" t="s">
        <v>379</v>
      </c>
      <c r="B111" t="s">
        <v>725</v>
      </c>
    </row>
    <row r="113" spans="1:8" ht="16">
      <c r="A113" s="835" t="s">
        <v>257</v>
      </c>
      <c r="B113" s="835"/>
    </row>
    <row r="114" spans="1:8">
      <c r="A114" s="862" t="s">
        <v>596</v>
      </c>
      <c r="B114" s="862"/>
    </row>
    <row r="115" spans="1:8" ht="12.75" customHeight="1">
      <c r="A115" s="842" t="s">
        <v>661</v>
      </c>
      <c r="B115" s="842"/>
      <c r="C115" s="842"/>
      <c r="D115" s="842"/>
      <c r="E115" s="842"/>
      <c r="F115" s="842"/>
      <c r="G115" s="842"/>
      <c r="H115" s="842"/>
    </row>
    <row r="116" spans="1:8">
      <c r="A116" s="842"/>
      <c r="B116" s="842"/>
      <c r="C116" s="842"/>
      <c r="D116" s="842"/>
      <c r="E116" s="842"/>
      <c r="F116" s="842"/>
      <c r="G116" s="842"/>
      <c r="H116" s="842"/>
    </row>
    <row r="117" spans="1:8" ht="12.75" customHeight="1">
      <c r="A117" s="842" t="s">
        <v>738</v>
      </c>
      <c r="B117" s="842"/>
      <c r="C117" s="842"/>
      <c r="D117" s="842"/>
      <c r="E117" s="842"/>
      <c r="F117" s="842"/>
      <c r="G117" s="842"/>
      <c r="H117" s="842"/>
    </row>
    <row r="118" spans="1:8">
      <c r="A118" s="842"/>
      <c r="B118" s="842"/>
      <c r="C118" s="842"/>
      <c r="D118" s="842"/>
      <c r="E118" s="842"/>
      <c r="F118" s="842"/>
      <c r="G118" s="842"/>
      <c r="H118" s="842"/>
    </row>
    <row r="119" spans="1:8">
      <c r="A119" s="842"/>
      <c r="B119" s="842"/>
      <c r="C119" s="842"/>
      <c r="D119" s="842"/>
      <c r="E119" s="842"/>
      <c r="F119" s="842"/>
      <c r="G119" s="842"/>
      <c r="H119" s="842"/>
    </row>
    <row r="120" spans="1:8">
      <c r="A120" s="10" t="s">
        <v>444</v>
      </c>
    </row>
    <row r="121" spans="1:8" ht="12.75" customHeight="1">
      <c r="A121" s="842" t="s">
        <v>406</v>
      </c>
      <c r="B121" s="842"/>
      <c r="C121" s="842"/>
      <c r="D121" s="842"/>
      <c r="E121" s="842"/>
      <c r="F121" s="842"/>
      <c r="G121" s="842"/>
      <c r="H121" s="842"/>
    </row>
    <row r="122" spans="1:8">
      <c r="A122" s="842"/>
      <c r="B122" s="842"/>
      <c r="C122" s="842"/>
      <c r="D122" s="842"/>
      <c r="E122" s="842"/>
      <c r="F122" s="842"/>
      <c r="G122" s="842"/>
      <c r="H122" s="842"/>
    </row>
    <row r="123" spans="1:8">
      <c r="A123" s="842"/>
      <c r="B123" s="842"/>
      <c r="C123" s="842"/>
      <c r="D123" s="842"/>
      <c r="E123" s="842"/>
      <c r="F123" s="842"/>
      <c r="G123" s="842"/>
      <c r="H123" s="842"/>
    </row>
    <row r="124" spans="1:8" ht="12.75" customHeight="1">
      <c r="A124" s="842" t="s">
        <v>763</v>
      </c>
      <c r="B124" s="842"/>
      <c r="C124" s="842"/>
      <c r="D124" s="842"/>
      <c r="E124" s="842"/>
      <c r="F124" s="842"/>
      <c r="G124" s="842"/>
      <c r="H124" s="842"/>
    </row>
    <row r="125" spans="1:8">
      <c r="A125" s="842"/>
      <c r="B125" s="842"/>
      <c r="C125" s="842"/>
      <c r="D125" s="842"/>
      <c r="E125" s="842"/>
      <c r="F125" s="842"/>
      <c r="G125" s="842"/>
      <c r="H125" s="842"/>
    </row>
    <row r="126" spans="1:8">
      <c r="A126" s="37"/>
      <c r="B126" s="37"/>
      <c r="C126" s="37"/>
      <c r="D126" s="37"/>
      <c r="E126" s="37"/>
      <c r="F126" s="37"/>
      <c r="G126" s="37"/>
    </row>
  </sheetData>
  <mergeCells count="47">
    <mergeCell ref="B29:C29"/>
    <mergeCell ref="A121:H123"/>
    <mergeCell ref="A124:H125"/>
    <mergeCell ref="B108:H110"/>
    <mergeCell ref="A117:H119"/>
    <mergeCell ref="A115:H116"/>
    <mergeCell ref="B36:H37"/>
    <mergeCell ref="B43:H44"/>
    <mergeCell ref="B45:H45"/>
    <mergeCell ref="B33:C33"/>
    <mergeCell ref="B31:C31"/>
    <mergeCell ref="B32:C32"/>
    <mergeCell ref="B30:C30"/>
    <mergeCell ref="B60:G61"/>
    <mergeCell ref="B52:G53"/>
    <mergeCell ref="B54:G55"/>
    <mergeCell ref="B56:G57"/>
    <mergeCell ref="B58:G59"/>
    <mergeCell ref="A113:B113"/>
    <mergeCell ref="A114:B114"/>
    <mergeCell ref="B8:H9"/>
    <mergeCell ref="B10:H11"/>
    <mergeCell ref="B12:H13"/>
    <mergeCell ref="B14:H16"/>
    <mergeCell ref="B17:H20"/>
    <mergeCell ref="B21:H23"/>
    <mergeCell ref="B24:H27"/>
    <mergeCell ref="B99:D99"/>
    <mergeCell ref="A1:G1"/>
    <mergeCell ref="A2:G5"/>
    <mergeCell ref="A35:E35"/>
    <mergeCell ref="B68:G69"/>
    <mergeCell ref="B46:H46"/>
    <mergeCell ref="B38:H40"/>
    <mergeCell ref="B41:H42"/>
    <mergeCell ref="B62:G63"/>
    <mergeCell ref="B64:G65"/>
    <mergeCell ref="B66:G67"/>
    <mergeCell ref="B72:G77"/>
    <mergeCell ref="B92:G93"/>
    <mergeCell ref="B84:G85"/>
    <mergeCell ref="B86:G87"/>
    <mergeCell ref="B88:G89"/>
    <mergeCell ref="B90:G91"/>
    <mergeCell ref="B78:G79"/>
    <mergeCell ref="B80:G81"/>
    <mergeCell ref="B82:G83"/>
  </mergeCells>
  <phoneticPr fontId="3" type="noConversion"/>
  <pageMargins left="0.5" right="0.5" top="0.5" bottom="0.5" header="0.5" footer="0.5"/>
  <pageSetup orientation="portrait" horizontalDpi="4294967293" verticalDpi="4294967293"/>
  <headerFooter alignWithMargins="0"/>
  <rowBreaks count="1" manualBreakCount="1">
    <brk id="46" max="16383" man="1"/>
  </rowBreak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P303"/>
  <sheetViews>
    <sheetView topLeftCell="A9" zoomScale="133" zoomScaleNormal="133" workbookViewId="0">
      <selection activeCell="L170" sqref="L170"/>
    </sheetView>
  </sheetViews>
  <sheetFormatPr baseColWidth="10" defaultColWidth="8.83203125" defaultRowHeight="13"/>
  <cols>
    <col min="1" max="1" width="27.6640625" customWidth="1"/>
    <col min="2" max="2" width="10.6640625" customWidth="1"/>
    <col min="3" max="3" width="11" customWidth="1"/>
    <col min="4" max="4" width="10.5" customWidth="1"/>
    <col min="5" max="5" width="11" customWidth="1"/>
    <col min="6" max="6" width="10.33203125" customWidth="1"/>
    <col min="7" max="7" width="11" customWidth="1"/>
    <col min="8" max="8" width="11.33203125" bestFit="1" customWidth="1"/>
    <col min="9" max="9" width="11.5" bestFit="1" customWidth="1"/>
    <col min="10" max="10" width="10.5" bestFit="1" customWidth="1"/>
    <col min="11" max="11" width="8" customWidth="1"/>
    <col min="12" max="12" width="9.5" customWidth="1"/>
    <col min="13" max="13" width="26" customWidth="1"/>
    <col min="16" max="16" width="21.33203125" customWidth="1"/>
    <col min="19" max="19" width="22.5" customWidth="1"/>
  </cols>
  <sheetData>
    <row r="1" spans="1:16" ht="27.75" customHeight="1">
      <c r="A1" s="36" t="s">
        <v>199</v>
      </c>
      <c r="B1" s="32"/>
      <c r="C1" s="32"/>
      <c r="D1" s="32"/>
      <c r="E1" s="32"/>
      <c r="F1" s="32"/>
      <c r="G1" s="32"/>
      <c r="H1" s="32"/>
      <c r="I1" s="487"/>
      <c r="J1" s="488"/>
    </row>
    <row r="2" spans="1:16" ht="12.75" customHeight="1">
      <c r="A2" s="852" t="s">
        <v>678</v>
      </c>
      <c r="B2" s="838"/>
      <c r="C2" s="838"/>
      <c r="D2" s="838"/>
      <c r="E2" s="838"/>
      <c r="F2" s="838"/>
      <c r="G2" s="838"/>
      <c r="I2" s="10"/>
      <c r="J2" s="22"/>
      <c r="K2" s="22"/>
      <c r="L2" s="22"/>
    </row>
    <row r="3" spans="1:16">
      <c r="A3" s="838"/>
      <c r="B3" s="838"/>
      <c r="C3" s="838"/>
      <c r="D3" s="838"/>
      <c r="E3" s="838"/>
      <c r="F3" s="838"/>
      <c r="G3" s="838"/>
      <c r="H3" s="27"/>
      <c r="I3" s="35"/>
      <c r="J3" s="5"/>
      <c r="K3" s="5"/>
      <c r="L3" s="5"/>
    </row>
    <row r="4" spans="1:16">
      <c r="A4" s="838"/>
      <c r="B4" s="838"/>
      <c r="C4" s="838"/>
      <c r="D4" s="838"/>
      <c r="E4" s="838"/>
      <c r="F4" s="838"/>
      <c r="G4" s="838"/>
      <c r="J4" s="5"/>
      <c r="K4" s="5"/>
      <c r="L4" s="5"/>
    </row>
    <row r="5" spans="1:16">
      <c r="A5" s="837"/>
      <c r="B5" s="837"/>
      <c r="C5" s="837"/>
      <c r="D5" s="837"/>
      <c r="E5" s="837"/>
      <c r="F5" s="837"/>
      <c r="G5" s="837"/>
      <c r="J5" s="5"/>
      <c r="K5" s="5"/>
      <c r="L5" s="5"/>
      <c r="P5" t="s">
        <v>1083</v>
      </c>
    </row>
    <row r="6" spans="1:16">
      <c r="H6" s="30"/>
      <c r="I6" s="10"/>
      <c r="J6" s="11"/>
      <c r="K6" s="11"/>
      <c r="L6" s="11"/>
    </row>
    <row r="7" spans="1:16" ht="16">
      <c r="A7" s="4" t="s">
        <v>326</v>
      </c>
      <c r="B7" s="2"/>
      <c r="C7" s="2"/>
      <c r="D7" s="2"/>
      <c r="E7" s="2"/>
      <c r="F7" s="2"/>
    </row>
    <row r="8" spans="1:16">
      <c r="A8" s="10"/>
      <c r="B8" s="6" t="s">
        <v>629</v>
      </c>
    </row>
    <row r="9" spans="1:16" ht="14" thickBot="1">
      <c r="A9" s="6" t="s">
        <v>267</v>
      </c>
      <c r="B9" s="22" t="s">
        <v>310</v>
      </c>
      <c r="C9" s="22" t="s">
        <v>339</v>
      </c>
      <c r="D9" s="22" t="s">
        <v>731</v>
      </c>
      <c r="E9" s="22" t="s">
        <v>94</v>
      </c>
      <c r="F9" s="22" t="s">
        <v>103</v>
      </c>
      <c r="G9" s="22" t="s">
        <v>970</v>
      </c>
      <c r="H9" s="22" t="s">
        <v>955</v>
      </c>
      <c r="I9" s="22" t="s">
        <v>1123</v>
      </c>
      <c r="J9" s="22" t="s">
        <v>1154</v>
      </c>
      <c r="P9" t="s">
        <v>1084</v>
      </c>
    </row>
    <row r="10" spans="1:16" s="29" customFormat="1" ht="14" thickBot="1">
      <c r="A10" s="26" t="s">
        <v>1018</v>
      </c>
      <c r="B10" s="41">
        <v>22115225</v>
      </c>
      <c r="C10" s="27">
        <v>22429291</v>
      </c>
      <c r="D10" s="27">
        <v>21892008.760000002</v>
      </c>
      <c r="E10" s="27">
        <v>22594374</v>
      </c>
      <c r="F10" s="27">
        <v>22385615</v>
      </c>
      <c r="G10" s="27">
        <v>21613330</v>
      </c>
      <c r="H10" s="576">
        <v>21910033</v>
      </c>
      <c r="I10" s="576">
        <v>21424503</v>
      </c>
      <c r="J10" s="676">
        <v>22552894</v>
      </c>
      <c r="K10" s="29" t="s">
        <v>1183</v>
      </c>
      <c r="L10" s="29" t="s">
        <v>1182</v>
      </c>
      <c r="M10" s="29">
        <f>J19*0.003412</f>
        <v>75784.133308000004</v>
      </c>
    </row>
    <row r="11" spans="1:16" s="29" customFormat="1">
      <c r="A11" s="26" t="s">
        <v>1015</v>
      </c>
      <c r="B11" s="41">
        <v>523794</v>
      </c>
      <c r="C11" s="41">
        <v>429990</v>
      </c>
      <c r="D11" s="41">
        <v>443344</v>
      </c>
      <c r="E11" s="41">
        <v>353345</v>
      </c>
      <c r="F11" s="41">
        <v>314891</v>
      </c>
      <c r="G11" s="41">
        <v>310000</v>
      </c>
      <c r="H11" s="41">
        <v>310000</v>
      </c>
      <c r="I11" s="41">
        <v>310000</v>
      </c>
      <c r="J11" s="41">
        <v>310000</v>
      </c>
      <c r="K11" s="29" t="s">
        <v>1184</v>
      </c>
      <c r="L11" s="29" t="s">
        <v>1182</v>
      </c>
      <c r="M11" s="29">
        <f>B19*0.003412</f>
        <v>73527.750412000009</v>
      </c>
      <c r="N11" s="29">
        <f>M10-M11</f>
        <v>2256.3828959999955</v>
      </c>
    </row>
    <row r="12" spans="1:16" s="29" customFormat="1" ht="15">
      <c r="A12" s="33" t="s">
        <v>1016</v>
      </c>
      <c r="B12" s="41">
        <v>41680</v>
      </c>
      <c r="C12" s="27">
        <v>50869</v>
      </c>
      <c r="D12" s="409">
        <f>30252+8689</f>
        <v>38941</v>
      </c>
      <c r="E12" s="555">
        <f xml:space="preserve"> 47200+ 31154</f>
        <v>78354</v>
      </c>
      <c r="F12" s="555">
        <f>34960+31531</f>
        <v>66491</v>
      </c>
      <c r="G12" s="555">
        <v>66000</v>
      </c>
      <c r="H12" s="555">
        <v>31835</v>
      </c>
      <c r="I12" s="555">
        <v>31835</v>
      </c>
      <c r="J12" s="555">
        <v>31835</v>
      </c>
      <c r="K12" s="29" t="s">
        <v>1183</v>
      </c>
      <c r="L12" s="29" t="s">
        <v>1185</v>
      </c>
      <c r="M12" s="29">
        <f>J17*0.003412</f>
        <v>15834.192324454159</v>
      </c>
      <c r="P12" s="29">
        <f>((21586198/1000)*722)/2200</f>
        <v>7084.1977072727277</v>
      </c>
    </row>
    <row r="13" spans="1:16" s="29" customFormat="1">
      <c r="A13" s="26" t="s">
        <v>69</v>
      </c>
      <c r="B13" s="41">
        <v>4242211</v>
      </c>
      <c r="C13" s="380">
        <v>4450804</v>
      </c>
      <c r="D13" s="27">
        <v>4139840</v>
      </c>
      <c r="E13" s="27">
        <v>3813050</v>
      </c>
      <c r="F13" s="27">
        <v>4115865</v>
      </c>
      <c r="G13" s="555">
        <v>3654240</v>
      </c>
      <c r="H13" s="555">
        <v>3320096</v>
      </c>
      <c r="I13" s="619">
        <v>3756420</v>
      </c>
      <c r="J13" s="619">
        <v>3604293</v>
      </c>
    </row>
    <row r="14" spans="1:16" s="29" customFormat="1">
      <c r="A14" s="26" t="s">
        <v>697</v>
      </c>
      <c r="B14" s="41">
        <v>4825</v>
      </c>
      <c r="C14" s="27">
        <v>4317</v>
      </c>
      <c r="D14" s="26">
        <f>5168</f>
        <v>5168</v>
      </c>
      <c r="E14" s="451">
        <v>3965</v>
      </c>
      <c r="F14" s="451">
        <v>4910</v>
      </c>
      <c r="G14" s="100">
        <v>2768</v>
      </c>
      <c r="H14" s="555">
        <v>2328</v>
      </c>
      <c r="I14" s="555">
        <v>4172</v>
      </c>
      <c r="J14" s="555">
        <v>4902</v>
      </c>
    </row>
    <row r="15" spans="1:16" s="29" customFormat="1">
      <c r="A15" s="100" t="s">
        <v>524</v>
      </c>
      <c r="B15" s="118">
        <v>1000.6</v>
      </c>
      <c r="C15" s="27">
        <f>1012.7+1953</f>
        <v>2965.7</v>
      </c>
      <c r="D15" s="621">
        <f>938.8+10634</f>
        <v>11572.8</v>
      </c>
      <c r="E15" s="622">
        <v>11005.9</v>
      </c>
      <c r="F15" s="622">
        <v>10627.1</v>
      </c>
      <c r="G15" s="623">
        <v>143023.29999999999</v>
      </c>
      <c r="H15" s="621">
        <f>940+10089+7882+240451</f>
        <v>259362</v>
      </c>
      <c r="I15" s="620">
        <v>606777</v>
      </c>
      <c r="J15" s="620">
        <v>1031541.32018</v>
      </c>
      <c r="K15" s="29" t="s">
        <v>1175</v>
      </c>
      <c r="L15" s="686">
        <f>J15/J16</f>
        <v>3.8370610958955241E-2</v>
      </c>
    </row>
    <row r="16" spans="1:16" s="29" customFormat="1">
      <c r="A16" s="70" t="s">
        <v>491</v>
      </c>
      <c r="B16" s="117">
        <f t="shared" ref="B16:G16" si="0">((B10-B11)+B13+B14+B15)</f>
        <v>25839467.600000001</v>
      </c>
      <c r="C16" s="117">
        <f t="shared" si="0"/>
        <v>26457387.699999999</v>
      </c>
      <c r="D16" s="117">
        <f t="shared" si="0"/>
        <v>25605245.560000002</v>
      </c>
      <c r="E16" s="117">
        <f t="shared" si="0"/>
        <v>26069049.899999999</v>
      </c>
      <c r="F16" s="117">
        <f t="shared" si="0"/>
        <v>26202126.100000001</v>
      </c>
      <c r="G16" s="117">
        <f t="shared" si="0"/>
        <v>25103361.300000001</v>
      </c>
      <c r="H16" s="117">
        <f>((H10-H11)+H13+H14+H15)</f>
        <v>25181819</v>
      </c>
      <c r="I16" s="117">
        <f>((I10-I11)+I13+I14+I15)</f>
        <v>25481872</v>
      </c>
      <c r="J16" s="117">
        <f>((J10-J11)+J13+J14+J15)</f>
        <v>26883630.320179999</v>
      </c>
      <c r="K16" s="29" t="s">
        <v>1176</v>
      </c>
      <c r="L16" s="687">
        <f>(J13*0.8)/J16</f>
        <v>0.1072561393553895</v>
      </c>
    </row>
    <row r="17" spans="1:14">
      <c r="A17" s="29" t="s">
        <v>527</v>
      </c>
      <c r="B17" s="44">
        <f t="shared" ref="B17:G17" si="1">SUM(B13:B15)</f>
        <v>4248036.5999999996</v>
      </c>
      <c r="C17" s="44">
        <f t="shared" si="1"/>
        <v>4458086.7</v>
      </c>
      <c r="D17" s="44">
        <f t="shared" si="1"/>
        <v>4156580.8</v>
      </c>
      <c r="E17" s="44">
        <f t="shared" si="1"/>
        <v>3828020.9</v>
      </c>
      <c r="F17" s="44">
        <f>SUM(F13:F15)</f>
        <v>4131402.1</v>
      </c>
      <c r="G17" s="44">
        <f t="shared" si="1"/>
        <v>3800031.3</v>
      </c>
      <c r="H17" s="44">
        <f>SUM(H13:H15)</f>
        <v>3581786</v>
      </c>
      <c r="I17" s="44">
        <f>SUM(I13:I15)</f>
        <v>4367369</v>
      </c>
      <c r="J17" s="44">
        <f>SUM(J13:J15)</f>
        <v>4640736.3201799998</v>
      </c>
      <c r="K17" t="s">
        <v>1177</v>
      </c>
      <c r="L17" s="44">
        <f>42+(44*0.09)</f>
        <v>45.96</v>
      </c>
    </row>
    <row r="18" spans="1:14">
      <c r="A18" t="s">
        <v>408</v>
      </c>
      <c r="B18" s="38">
        <f t="shared" ref="B18:G18" si="2">B12</f>
        <v>41680</v>
      </c>
      <c r="C18" s="38">
        <f t="shared" si="2"/>
        <v>50869</v>
      </c>
      <c r="D18" s="38">
        <f t="shared" si="2"/>
        <v>38941</v>
      </c>
      <c r="E18" s="38">
        <f t="shared" si="2"/>
        <v>78354</v>
      </c>
      <c r="F18" s="38">
        <f t="shared" si="2"/>
        <v>66491</v>
      </c>
      <c r="G18" s="38">
        <f t="shared" si="2"/>
        <v>66000</v>
      </c>
      <c r="H18" s="38">
        <f>H12</f>
        <v>31835</v>
      </c>
      <c r="I18" s="38">
        <f>I12</f>
        <v>31835</v>
      </c>
      <c r="J18" s="38">
        <f>J12</f>
        <v>31835</v>
      </c>
      <c r="K18" t="s">
        <v>1178</v>
      </c>
      <c r="L18" s="38">
        <f>44*0.3</f>
        <v>13.2</v>
      </c>
    </row>
    <row r="19" spans="1:14">
      <c r="A19" t="s">
        <v>1017</v>
      </c>
      <c r="B19" s="38">
        <f t="shared" ref="B19:G19" si="3">B16-(B17+B18)</f>
        <v>21549751</v>
      </c>
      <c r="C19" s="38">
        <f t="shared" si="3"/>
        <v>21948432</v>
      </c>
      <c r="D19" s="38">
        <f t="shared" si="3"/>
        <v>21409723.760000002</v>
      </c>
      <c r="E19" s="38">
        <f t="shared" si="3"/>
        <v>22162675</v>
      </c>
      <c r="F19" s="38">
        <f t="shared" si="3"/>
        <v>22004233</v>
      </c>
      <c r="G19" s="38">
        <f t="shared" si="3"/>
        <v>21237330</v>
      </c>
      <c r="H19" s="38">
        <f>H16-(H17+H18)</f>
        <v>21568198</v>
      </c>
      <c r="I19" s="38">
        <f>I16-(I17+I18)</f>
        <v>21082668</v>
      </c>
      <c r="J19" s="38">
        <f>J16-(J17+J18)</f>
        <v>22211059</v>
      </c>
      <c r="K19" t="s">
        <v>1179</v>
      </c>
      <c r="L19" s="38">
        <f>13+(44*0.3)</f>
        <v>26.2</v>
      </c>
    </row>
    <row r="21" spans="1:14">
      <c r="A21" s="119" t="s">
        <v>1002</v>
      </c>
    </row>
    <row r="22" spans="1:14" s="29" customFormat="1" ht="12.75" customHeight="1">
      <c r="A22" s="88" t="s">
        <v>422</v>
      </c>
      <c r="B22" s="461">
        <v>1.54</v>
      </c>
      <c r="C22" s="385">
        <v>1.8</v>
      </c>
      <c r="D22" s="98">
        <v>1.6</v>
      </c>
      <c r="E22" s="98">
        <v>3.5</v>
      </c>
      <c r="F22" s="98">
        <v>3.9</v>
      </c>
      <c r="G22" s="558">
        <v>3.4</v>
      </c>
      <c r="H22" s="88">
        <v>2.83</v>
      </c>
      <c r="I22" s="88">
        <v>2.83</v>
      </c>
      <c r="J22" s="88">
        <v>0</v>
      </c>
    </row>
    <row r="23" spans="1:14" s="29" customFormat="1" ht="12.75" customHeight="1">
      <c r="A23" s="88" t="s">
        <v>318</v>
      </c>
      <c r="B23" s="461">
        <v>35.94</v>
      </c>
      <c r="C23" s="385">
        <v>37.57</v>
      </c>
      <c r="D23" s="368">
        <v>37.14</v>
      </c>
      <c r="E23" s="88">
        <v>39.700000000000003</v>
      </c>
      <c r="F23" s="88">
        <v>40.299999999999997</v>
      </c>
      <c r="G23" s="88">
        <v>39.5</v>
      </c>
      <c r="H23" s="88">
        <v>45.33</v>
      </c>
      <c r="I23" s="88">
        <v>45.33</v>
      </c>
      <c r="J23" s="88">
        <v>32</v>
      </c>
    </row>
    <row r="24" spans="1:14" s="29" customFormat="1" ht="12.75" customHeight="1">
      <c r="A24" s="88" t="s">
        <v>1001</v>
      </c>
      <c r="B24" s="461"/>
      <c r="C24" s="385"/>
      <c r="D24" s="368"/>
      <c r="E24" s="98">
        <v>0.3</v>
      </c>
      <c r="F24" s="98">
        <v>0.1</v>
      </c>
      <c r="G24" s="29">
        <v>0.4</v>
      </c>
      <c r="H24" s="88">
        <v>0.38</v>
      </c>
      <c r="I24" s="88">
        <v>0.38</v>
      </c>
      <c r="J24" s="88">
        <v>0</v>
      </c>
    </row>
    <row r="25" spans="1:14" s="29" customFormat="1">
      <c r="A25" s="88" t="s">
        <v>421</v>
      </c>
      <c r="B25" s="461">
        <v>54.16</v>
      </c>
      <c r="C25" s="385">
        <v>48.01</v>
      </c>
      <c r="D25" s="368">
        <v>49.68</v>
      </c>
      <c r="E25" s="464">
        <v>54.5</v>
      </c>
      <c r="F25" s="464">
        <v>50.1</v>
      </c>
      <c r="G25" s="464">
        <v>51.9</v>
      </c>
      <c r="H25" s="88">
        <v>6.52</v>
      </c>
      <c r="I25" s="88">
        <v>6.52</v>
      </c>
      <c r="J25" s="88">
        <v>14</v>
      </c>
    </row>
    <row r="26" spans="1:14" s="29" customFormat="1">
      <c r="A26" s="88" t="s">
        <v>364</v>
      </c>
      <c r="B26" s="461">
        <v>0</v>
      </c>
      <c r="C26" s="385">
        <v>0</v>
      </c>
      <c r="D26" s="98">
        <v>0</v>
      </c>
      <c r="E26" s="462">
        <v>0</v>
      </c>
      <c r="F26" s="462">
        <v>0</v>
      </c>
      <c r="G26" s="559">
        <v>0</v>
      </c>
      <c r="H26" s="88">
        <v>0.36</v>
      </c>
      <c r="I26" s="88">
        <v>0.36</v>
      </c>
      <c r="J26" s="88">
        <v>0.3</v>
      </c>
    </row>
    <row r="27" spans="1:14" s="29" customFormat="1">
      <c r="A27" s="88" t="s">
        <v>319</v>
      </c>
      <c r="B27" s="461">
        <v>0</v>
      </c>
      <c r="C27" s="385">
        <v>0</v>
      </c>
      <c r="D27" s="98">
        <v>0</v>
      </c>
      <c r="E27" s="462">
        <v>0</v>
      </c>
      <c r="F27" s="462">
        <v>0</v>
      </c>
      <c r="G27" s="559">
        <v>0</v>
      </c>
      <c r="H27" s="88">
        <v>0</v>
      </c>
      <c r="I27" s="88">
        <v>0</v>
      </c>
      <c r="J27" s="88">
        <v>0</v>
      </c>
    </row>
    <row r="28" spans="1:14" s="29" customFormat="1">
      <c r="A28" s="88" t="s">
        <v>154</v>
      </c>
      <c r="B28" s="461">
        <v>0.02</v>
      </c>
      <c r="C28" s="385">
        <v>0.02</v>
      </c>
      <c r="D28" s="368">
        <v>0.02</v>
      </c>
      <c r="E28" s="88">
        <v>0.2</v>
      </c>
      <c r="F28" s="88">
        <v>0</v>
      </c>
      <c r="G28" s="557">
        <v>0.03</v>
      </c>
      <c r="H28" s="87" t="s">
        <v>1193</v>
      </c>
      <c r="I28" s="88">
        <v>1</v>
      </c>
      <c r="J28" s="88">
        <v>1</v>
      </c>
      <c r="K28" s="557"/>
    </row>
    <row r="29" spans="1:14" s="29" customFormat="1">
      <c r="A29" s="88" t="s">
        <v>90</v>
      </c>
      <c r="B29" s="461">
        <v>0.03</v>
      </c>
      <c r="C29" s="385">
        <v>0.17</v>
      </c>
      <c r="D29" s="403">
        <v>7.0000000000000007E-2</v>
      </c>
      <c r="E29" s="88">
        <v>0</v>
      </c>
      <c r="F29" s="88">
        <v>0.1</v>
      </c>
      <c r="G29" s="29">
        <v>7.0000000000000007E-2</v>
      </c>
      <c r="H29" s="88">
        <v>0.09</v>
      </c>
      <c r="I29" s="88">
        <v>0.09</v>
      </c>
      <c r="J29" s="88">
        <v>0</v>
      </c>
    </row>
    <row r="30" spans="1:14" s="29" customFormat="1">
      <c r="A30" s="88" t="s">
        <v>995</v>
      </c>
      <c r="B30" s="461">
        <v>6.35</v>
      </c>
      <c r="C30" s="385">
        <v>9.5500000000000007</v>
      </c>
      <c r="D30" s="368">
        <v>9.23</v>
      </c>
      <c r="E30" s="88">
        <v>1.8</v>
      </c>
      <c r="F30" s="88">
        <v>5.5</v>
      </c>
      <c r="G30" s="88">
        <v>4.5</v>
      </c>
      <c r="H30" s="88">
        <v>1E-4</v>
      </c>
      <c r="I30" s="88">
        <v>1E-4</v>
      </c>
      <c r="J30" s="88">
        <v>0</v>
      </c>
      <c r="M30"/>
      <c r="N30"/>
    </row>
    <row r="31" spans="1:14" s="29" customFormat="1">
      <c r="A31" s="88" t="s">
        <v>997</v>
      </c>
      <c r="B31" s="461"/>
      <c r="C31" s="385"/>
      <c r="D31" s="368"/>
      <c r="E31" s="88"/>
      <c r="F31" s="88"/>
      <c r="G31" s="88">
        <v>0.3</v>
      </c>
      <c r="H31" s="88">
        <v>0.28999999999999998</v>
      </c>
      <c r="I31" s="88">
        <v>0.28999999999999998</v>
      </c>
      <c r="J31" s="88">
        <v>1</v>
      </c>
      <c r="M31"/>
      <c r="N31"/>
    </row>
    <row r="32" spans="1:14">
      <c r="A32" s="88" t="s">
        <v>563</v>
      </c>
      <c r="B32" s="461">
        <v>1.96</v>
      </c>
      <c r="C32" s="385">
        <v>2.89</v>
      </c>
      <c r="D32" s="98">
        <v>2.2599999999999998</v>
      </c>
      <c r="E32" s="463">
        <v>0</v>
      </c>
      <c r="F32" s="463"/>
      <c r="G32" s="560">
        <v>1.71</v>
      </c>
      <c r="H32" s="88">
        <v>44.12</v>
      </c>
      <c r="I32" s="88">
        <v>44.12</v>
      </c>
      <c r="J32" s="88">
        <v>53</v>
      </c>
    </row>
    <row r="33" spans="1:14">
      <c r="A33" s="45" t="s">
        <v>268</v>
      </c>
      <c r="B33" s="188">
        <f>SUM(B22:B32)</f>
        <v>99.999999999999972</v>
      </c>
      <c r="C33" s="188">
        <f>SUM(C22:C32)</f>
        <v>100.00999999999999</v>
      </c>
      <c r="D33" s="188">
        <f>SUM(D22:D32)</f>
        <v>100</v>
      </c>
      <c r="E33" s="188">
        <f>SUM(E22:E32)</f>
        <v>100</v>
      </c>
      <c r="F33" s="188">
        <f>SUM(F22:F32)</f>
        <v>100</v>
      </c>
      <c r="G33" s="467">
        <f>SUM(G22:G31)</f>
        <v>100.09999999999998</v>
      </c>
      <c r="H33" s="188">
        <f>SUM(H22:H32)</f>
        <v>99.920100000000005</v>
      </c>
      <c r="I33" s="188">
        <f>SUM(I22:I32)</f>
        <v>100.92010000000001</v>
      </c>
      <c r="J33" s="188">
        <f>SUM(J22:J32)</f>
        <v>101.3</v>
      </c>
    </row>
    <row r="34" spans="1:14">
      <c r="B34" s="466"/>
      <c r="E34" s="29"/>
      <c r="F34" s="29"/>
    </row>
    <row r="35" spans="1:14" s="29" customFormat="1">
      <c r="A35" s="119" t="s">
        <v>994</v>
      </c>
      <c r="B35" s="466"/>
      <c r="C35"/>
      <c r="D35"/>
      <c r="G35"/>
      <c r="M35"/>
      <c r="N35"/>
    </row>
    <row r="36" spans="1:14" s="29" customFormat="1">
      <c r="A36" s="88" t="s">
        <v>422</v>
      </c>
      <c r="B36" s="461">
        <v>3.4</v>
      </c>
      <c r="C36" s="377">
        <v>3.4</v>
      </c>
      <c r="D36" s="377">
        <v>3.3</v>
      </c>
      <c r="E36" s="465">
        <v>3.2</v>
      </c>
      <c r="F36" s="465">
        <v>2.94</v>
      </c>
      <c r="G36" s="465">
        <v>4.9000000000000004</v>
      </c>
      <c r="H36" s="88">
        <v>5.51</v>
      </c>
      <c r="I36" s="88">
        <v>5.51</v>
      </c>
      <c r="J36" s="88">
        <v>0</v>
      </c>
      <c r="M36"/>
      <c r="N36"/>
    </row>
    <row r="37" spans="1:14" s="29" customFormat="1">
      <c r="A37" s="88" t="s">
        <v>971</v>
      </c>
      <c r="B37" s="461">
        <v>5.6</v>
      </c>
      <c r="C37" s="377">
        <v>4.8</v>
      </c>
      <c r="D37" s="377">
        <f>2.4+4.1</f>
        <v>6.5</v>
      </c>
      <c r="E37" s="465">
        <v>7.6</v>
      </c>
      <c r="F37" s="465">
        <v>6.2</v>
      </c>
      <c r="G37" s="465">
        <v>7.8</v>
      </c>
      <c r="H37" s="88">
        <v>7.12</v>
      </c>
      <c r="I37" s="88">
        <v>7.12</v>
      </c>
      <c r="J37" s="88">
        <v>8</v>
      </c>
      <c r="M37"/>
      <c r="N37"/>
    </row>
    <row r="38" spans="1:14" s="29" customFormat="1">
      <c r="A38" s="88" t="s">
        <v>421</v>
      </c>
      <c r="B38" s="461">
        <v>28</v>
      </c>
      <c r="C38" s="377">
        <v>27.5</v>
      </c>
      <c r="D38" s="377">
        <v>27</v>
      </c>
      <c r="E38" s="465">
        <v>28.6</v>
      </c>
      <c r="F38" s="465">
        <v>29</v>
      </c>
      <c r="G38" s="465">
        <v>28.4</v>
      </c>
      <c r="H38" s="88">
        <v>30.45</v>
      </c>
      <c r="I38" s="88">
        <v>30.45</v>
      </c>
      <c r="J38" s="88">
        <v>34</v>
      </c>
      <c r="M38"/>
      <c r="N38"/>
    </row>
    <row r="39" spans="1:14" s="29" customFormat="1">
      <c r="A39" s="88" t="s">
        <v>364</v>
      </c>
      <c r="B39" s="461">
        <v>29.8</v>
      </c>
      <c r="C39" s="377">
        <v>29.3</v>
      </c>
      <c r="D39" s="377">
        <v>29.1</v>
      </c>
      <c r="E39" s="465">
        <v>30.3</v>
      </c>
      <c r="F39" s="465">
        <v>32</v>
      </c>
      <c r="G39" s="465">
        <v>38.5</v>
      </c>
      <c r="H39" s="88">
        <v>39.79</v>
      </c>
      <c r="I39" s="88">
        <v>39.79</v>
      </c>
      <c r="J39" s="88">
        <v>44</v>
      </c>
      <c r="M39"/>
      <c r="N39"/>
    </row>
    <row r="40" spans="1:14" s="29" customFormat="1" ht="12.75" customHeight="1">
      <c r="A40" s="88" t="s">
        <v>319</v>
      </c>
      <c r="B40" s="461">
        <v>11.5</v>
      </c>
      <c r="C40" s="377">
        <v>11.9</v>
      </c>
      <c r="D40" s="377">
        <v>11</v>
      </c>
      <c r="E40" s="465">
        <v>11.5</v>
      </c>
      <c r="F40" s="465">
        <v>11</v>
      </c>
      <c r="G40" s="465">
        <v>5.9</v>
      </c>
      <c r="H40" s="377">
        <v>5</v>
      </c>
      <c r="I40" s="377">
        <v>5</v>
      </c>
      <c r="J40" s="377">
        <v>5</v>
      </c>
      <c r="L40" s="29" t="s">
        <v>1155</v>
      </c>
      <c r="M40"/>
      <c r="N40"/>
    </row>
    <row r="41" spans="1:14" s="29" customFormat="1" ht="12.75" customHeight="1">
      <c r="A41" s="88" t="s">
        <v>1156</v>
      </c>
      <c r="B41" s="461">
        <v>1.4</v>
      </c>
      <c r="C41" s="377">
        <v>2</v>
      </c>
      <c r="D41" s="377">
        <v>1.4</v>
      </c>
      <c r="E41" s="461">
        <v>0.7</v>
      </c>
      <c r="F41" s="461">
        <v>0.4</v>
      </c>
      <c r="G41" s="88"/>
      <c r="H41" s="88">
        <v>0.28000000000000003</v>
      </c>
      <c r="I41" s="88">
        <v>0.28000000000000003</v>
      </c>
      <c r="J41" s="88"/>
      <c r="M41"/>
      <c r="N41"/>
    </row>
    <row r="42" spans="1:14" s="29" customFormat="1">
      <c r="A42" s="88" t="s">
        <v>90</v>
      </c>
      <c r="B42" s="461">
        <v>13.5</v>
      </c>
      <c r="C42" s="377">
        <v>14.5</v>
      </c>
      <c r="D42" s="377">
        <f>9.7+3.1</f>
        <v>12.799999999999999</v>
      </c>
      <c r="E42" s="461">
        <v>9.8000000000000007</v>
      </c>
      <c r="F42" s="461">
        <v>12</v>
      </c>
      <c r="G42" s="465"/>
      <c r="H42" s="88">
        <v>0</v>
      </c>
      <c r="I42" s="88">
        <v>0</v>
      </c>
      <c r="J42" s="88">
        <v>0</v>
      </c>
      <c r="M42"/>
      <c r="N42"/>
    </row>
    <row r="43" spans="1:14">
      <c r="A43" s="88" t="s">
        <v>996</v>
      </c>
      <c r="B43" s="461"/>
      <c r="C43" s="377"/>
      <c r="D43" s="377"/>
      <c r="E43" s="461"/>
      <c r="F43" s="461"/>
      <c r="G43" s="465">
        <v>13.2</v>
      </c>
      <c r="H43" s="88">
        <v>10</v>
      </c>
      <c r="I43" s="88">
        <v>10</v>
      </c>
      <c r="J43" s="88">
        <v>1</v>
      </c>
    </row>
    <row r="44" spans="1:14">
      <c r="A44" s="88" t="s">
        <v>997</v>
      </c>
      <c r="B44" s="461"/>
      <c r="C44" s="377"/>
      <c r="D44" s="377"/>
      <c r="E44" s="461"/>
      <c r="F44" s="461"/>
      <c r="G44" s="465">
        <v>0.6</v>
      </c>
      <c r="H44" s="88">
        <v>1.86</v>
      </c>
      <c r="I44" s="88">
        <v>1.86</v>
      </c>
      <c r="J44" s="88">
        <v>9</v>
      </c>
    </row>
    <row r="45" spans="1:14">
      <c r="A45" s="88" t="s">
        <v>98</v>
      </c>
      <c r="B45" s="461">
        <v>3.7</v>
      </c>
      <c r="C45" s="377">
        <v>3.8</v>
      </c>
      <c r="D45" s="377">
        <f>3.8+1.2+0+2.1+0+0.3</f>
        <v>7.3999999999999995</v>
      </c>
      <c r="E45" s="461">
        <v>8.3000000000000007</v>
      </c>
      <c r="F45" s="461">
        <v>6.46</v>
      </c>
      <c r="G45" s="465"/>
      <c r="H45" s="88">
        <v>0</v>
      </c>
      <c r="I45" s="88">
        <v>0</v>
      </c>
      <c r="J45" s="88">
        <v>0</v>
      </c>
    </row>
    <row r="46" spans="1:14" s="29" customFormat="1">
      <c r="A46" s="16" t="s">
        <v>268</v>
      </c>
      <c r="B46" s="189">
        <f t="shared" ref="B46:G46" si="4">SUM(B36:B45)</f>
        <v>96.9</v>
      </c>
      <c r="C46" s="189">
        <f t="shared" si="4"/>
        <v>97.2</v>
      </c>
      <c r="D46" s="188">
        <f t="shared" si="4"/>
        <v>98.500000000000014</v>
      </c>
      <c r="E46" s="188">
        <f t="shared" si="4"/>
        <v>100</v>
      </c>
      <c r="F46" s="188">
        <f t="shared" si="4"/>
        <v>100</v>
      </c>
      <c r="G46" s="467">
        <f t="shared" si="4"/>
        <v>99.3</v>
      </c>
      <c r="H46" s="188">
        <f>SUM(H36:H45)</f>
        <v>100.01</v>
      </c>
      <c r="I46" s="188">
        <f>SUM(I36:I45)</f>
        <v>100.01</v>
      </c>
      <c r="J46" s="188">
        <f>SUM(J36:J45)</f>
        <v>101</v>
      </c>
      <c r="M46"/>
      <c r="N46"/>
    </row>
    <row r="47" spans="1:14" s="29" customFormat="1">
      <c r="A47"/>
      <c r="B47"/>
      <c r="C47"/>
      <c r="D47"/>
      <c r="G47"/>
      <c r="M47"/>
      <c r="N47"/>
    </row>
    <row r="48" spans="1:14" s="29" customFormat="1">
      <c r="A48" s="119" t="s">
        <v>91</v>
      </c>
      <c r="B48"/>
      <c r="C48"/>
      <c r="D48"/>
      <c r="G48"/>
      <c r="M48"/>
      <c r="N48"/>
    </row>
    <row r="49" spans="1:14" s="29" customFormat="1">
      <c r="A49" s="29" t="s">
        <v>422</v>
      </c>
      <c r="B49" s="43">
        <f>B22+(B32*B36/100)</f>
        <v>1.6066400000000001</v>
      </c>
      <c r="C49" s="43">
        <f>C22+(C32*C36/100)</f>
        <v>1.8982600000000001</v>
      </c>
      <c r="D49" s="43">
        <f>D22+(D32*'Scope2 Electricity'!D36/100)</f>
        <v>1.6745800000000002</v>
      </c>
      <c r="E49" s="43">
        <f>E22+(E32*'Scope2 Electricity'!E36/100)</f>
        <v>3.5</v>
      </c>
      <c r="F49" s="43">
        <f>F22+(F32*'Scope2 Electricity'!F36/100)</f>
        <v>3.9</v>
      </c>
      <c r="G49" s="43">
        <f>G22+(G32*'Scope2 Electricity'!G36/100)</f>
        <v>3.4837899999999999</v>
      </c>
      <c r="H49" s="43">
        <f>H22+(H32*'Scope2 Electricity'!H36/100)</f>
        <v>5.261012</v>
      </c>
      <c r="I49" s="43">
        <f>I22+(I32*'Scope2 Electricity'!I36/100)</f>
        <v>5.261012</v>
      </c>
      <c r="J49" s="43">
        <f>J22+(J32*'Scope2 Electricity'!J36/100)</f>
        <v>0</v>
      </c>
      <c r="M49"/>
      <c r="N49"/>
    </row>
    <row r="50" spans="1:14" s="29" customFormat="1">
      <c r="A50" s="29" t="s">
        <v>318</v>
      </c>
      <c r="B50" s="43">
        <f t="shared" ref="B50:G50" si="5">B23+(B32*B37/100)</f>
        <v>36.049759999999999</v>
      </c>
      <c r="C50" s="43">
        <f t="shared" si="5"/>
        <v>37.70872</v>
      </c>
      <c r="D50" s="43">
        <f t="shared" si="5"/>
        <v>37.286900000000003</v>
      </c>
      <c r="E50" s="43">
        <f t="shared" si="5"/>
        <v>39.700000000000003</v>
      </c>
      <c r="F50" s="43">
        <f t="shared" si="5"/>
        <v>40.299999999999997</v>
      </c>
      <c r="G50" s="43">
        <f t="shared" si="5"/>
        <v>39.633380000000002</v>
      </c>
      <c r="H50" s="43">
        <f>H23+(H32*H37/100)</f>
        <v>48.471343999999995</v>
      </c>
      <c r="I50" s="43">
        <f>I23+(I32*I37/100)</f>
        <v>48.471343999999995</v>
      </c>
      <c r="J50" s="43">
        <f>J23+(J32*J37/100)</f>
        <v>36.24</v>
      </c>
      <c r="M50"/>
      <c r="N50"/>
    </row>
    <row r="51" spans="1:14" s="29" customFormat="1">
      <c r="A51" s="29" t="s">
        <v>421</v>
      </c>
      <c r="B51" s="43">
        <f t="shared" ref="B51:G51" si="6">B25+(B32*B38/100)</f>
        <v>54.708799999999997</v>
      </c>
      <c r="C51" s="43">
        <f t="shared" si="6"/>
        <v>48.804749999999999</v>
      </c>
      <c r="D51" s="43">
        <f t="shared" si="6"/>
        <v>50.290199999999999</v>
      </c>
      <c r="E51" s="43">
        <f t="shared" si="6"/>
        <v>54.5</v>
      </c>
      <c r="F51" s="43">
        <f t="shared" si="6"/>
        <v>50.1</v>
      </c>
      <c r="G51" s="43">
        <f t="shared" si="6"/>
        <v>52.385639999999995</v>
      </c>
      <c r="H51" s="43">
        <f>H25+(H32*H38/100)</f>
        <v>19.954540000000001</v>
      </c>
      <c r="I51" s="43">
        <f>I25+(I32*I38/100)</f>
        <v>19.954540000000001</v>
      </c>
      <c r="J51" s="43">
        <f>J25+(J32*J38/100)</f>
        <v>32.019999999999996</v>
      </c>
      <c r="M51"/>
      <c r="N51"/>
    </row>
    <row r="52" spans="1:14" s="29" customFormat="1">
      <c r="A52" s="29" t="s">
        <v>364</v>
      </c>
      <c r="B52" s="43">
        <f t="shared" ref="B52:G52" si="7">B26+(B32*B39/100)</f>
        <v>0.58408000000000004</v>
      </c>
      <c r="C52" s="43">
        <f t="shared" si="7"/>
        <v>0.84677000000000002</v>
      </c>
      <c r="D52" s="43">
        <f t="shared" si="7"/>
        <v>0.65765999999999991</v>
      </c>
      <c r="E52" s="43">
        <f t="shared" si="7"/>
        <v>0</v>
      </c>
      <c r="F52" s="43">
        <f t="shared" si="7"/>
        <v>0</v>
      </c>
      <c r="G52" s="43">
        <f t="shared" si="7"/>
        <v>0.65834999999999999</v>
      </c>
      <c r="H52" s="43">
        <f>H26+(H32*H39/100)</f>
        <v>17.915347999999998</v>
      </c>
      <c r="I52" s="43">
        <f>I26+(I32*I39/100)</f>
        <v>17.915347999999998</v>
      </c>
      <c r="J52" s="43">
        <f>J26+(J32*J39/100)</f>
        <v>23.62</v>
      </c>
      <c r="M52"/>
      <c r="N52"/>
    </row>
    <row r="53" spans="1:14" s="29" customFormat="1">
      <c r="A53" s="29" t="s">
        <v>319</v>
      </c>
      <c r="B53" s="43">
        <f t="shared" ref="B53:G53" si="8">B27+(B32*B40/100)</f>
        <v>0.22539999999999999</v>
      </c>
      <c r="C53" s="43">
        <f t="shared" si="8"/>
        <v>0.34391000000000005</v>
      </c>
      <c r="D53" s="43">
        <f t="shared" si="8"/>
        <v>0.24859999999999999</v>
      </c>
      <c r="E53" s="43">
        <f t="shared" si="8"/>
        <v>0</v>
      </c>
      <c r="F53" s="43">
        <f t="shared" si="8"/>
        <v>0</v>
      </c>
      <c r="G53" s="43">
        <f t="shared" si="8"/>
        <v>0.10089000000000001</v>
      </c>
      <c r="H53" s="43">
        <f>H27+(H32*H40/100)</f>
        <v>2.206</v>
      </c>
      <c r="I53" s="43">
        <f>I27+(I32*I40/100)</f>
        <v>2.206</v>
      </c>
      <c r="J53" s="43">
        <f>J27+(J32*J40/100)</f>
        <v>2.65</v>
      </c>
      <c r="M53"/>
      <c r="N53"/>
    </row>
    <row r="54" spans="1:14">
      <c r="A54" s="29" t="s">
        <v>154</v>
      </c>
      <c r="B54" s="43">
        <f t="shared" ref="B54:G54" si="9">B28+(B32*B41/100)</f>
        <v>4.7439999999999996E-2</v>
      </c>
      <c r="C54" s="43">
        <f t="shared" si="9"/>
        <v>7.7800000000000008E-2</v>
      </c>
      <c r="D54" s="43">
        <f t="shared" si="9"/>
        <v>5.1639999999999991E-2</v>
      </c>
      <c r="E54" s="43">
        <f t="shared" si="9"/>
        <v>0.2</v>
      </c>
      <c r="F54" s="43">
        <f t="shared" si="9"/>
        <v>0</v>
      </c>
      <c r="G54" s="43">
        <f t="shared" si="9"/>
        <v>0.03</v>
      </c>
      <c r="H54" s="43" t="e">
        <f>H28+(H32*H41/100)</f>
        <v>#VALUE!</v>
      </c>
      <c r="I54" s="43">
        <f>I28+(I32*I41/100)</f>
        <v>1.1235360000000001</v>
      </c>
      <c r="J54" s="43">
        <f>J28+(J32*J41/100)</f>
        <v>1</v>
      </c>
    </row>
    <row r="55" spans="1:14">
      <c r="A55" s="29" t="s">
        <v>90</v>
      </c>
      <c r="B55" s="43">
        <f t="shared" ref="B55:G55" si="10">B29+(B32*B42/100)</f>
        <v>0.29459999999999997</v>
      </c>
      <c r="C55" s="43">
        <f t="shared" si="10"/>
        <v>0.58905000000000007</v>
      </c>
      <c r="D55" s="43">
        <f t="shared" si="10"/>
        <v>0.35927999999999993</v>
      </c>
      <c r="E55" s="43">
        <f t="shared" si="10"/>
        <v>0</v>
      </c>
      <c r="F55" s="43">
        <f t="shared" si="10"/>
        <v>0.1</v>
      </c>
      <c r="G55" s="43">
        <f t="shared" si="10"/>
        <v>7.0000000000000007E-2</v>
      </c>
      <c r="H55" s="43">
        <f>H29+(H32*H42/100)</f>
        <v>0.09</v>
      </c>
      <c r="I55" s="43">
        <f>I29+(I32*I42/100)</f>
        <v>0.09</v>
      </c>
      <c r="J55" s="43">
        <f>J29+(J32*J42/100)</f>
        <v>0</v>
      </c>
      <c r="N55">
        <v>100.00026303099382</v>
      </c>
    </row>
    <row r="56" spans="1:14">
      <c r="A56" s="29" t="s">
        <v>98</v>
      </c>
      <c r="B56" s="43">
        <f t="shared" ref="B56:G56" si="11">B30+(B32*B45/100)</f>
        <v>6.4225199999999996</v>
      </c>
      <c r="C56" s="43">
        <f t="shared" si="11"/>
        <v>9.6598199999999999</v>
      </c>
      <c r="D56" s="43">
        <f t="shared" si="11"/>
        <v>9.39724</v>
      </c>
      <c r="E56" s="43">
        <f t="shared" si="11"/>
        <v>1.8</v>
      </c>
      <c r="F56" s="43">
        <f t="shared" si="11"/>
        <v>5.5</v>
      </c>
      <c r="G56" s="43">
        <f t="shared" si="11"/>
        <v>4.5</v>
      </c>
      <c r="H56" s="43">
        <f>H30+(H32*H45/100)</f>
        <v>1E-4</v>
      </c>
      <c r="I56" s="43">
        <f>I30+(I32*I45/100)</f>
        <v>1E-4</v>
      </c>
      <c r="J56" s="43">
        <f>J30+(J32*J45/100)</f>
        <v>0</v>
      </c>
    </row>
    <row r="57" spans="1:14">
      <c r="A57" s="16" t="s">
        <v>268</v>
      </c>
      <c r="B57" s="42">
        <f t="shared" ref="B57:G57" si="12">SUM(B49:B56)</f>
        <v>99.939239999999984</v>
      </c>
      <c r="C57" s="42">
        <f t="shared" si="12"/>
        <v>99.929079999999999</v>
      </c>
      <c r="D57" s="42">
        <f t="shared" si="12"/>
        <v>99.966099999999983</v>
      </c>
      <c r="E57" s="42">
        <f t="shared" si="12"/>
        <v>99.7</v>
      </c>
      <c r="F57" s="42">
        <f t="shared" si="12"/>
        <v>99.899999999999991</v>
      </c>
      <c r="G57" s="42">
        <f t="shared" si="12"/>
        <v>100.86205</v>
      </c>
      <c r="H57" s="42" t="e">
        <f>SUM(H49:H56)</f>
        <v>#VALUE!</v>
      </c>
      <c r="I57" s="42">
        <f>SUM(I49:I56)</f>
        <v>95.021879999999996</v>
      </c>
      <c r="J57" s="42">
        <f>SUM(J49:J56)</f>
        <v>95.53</v>
      </c>
    </row>
    <row r="58" spans="1:14">
      <c r="E58" s="29"/>
      <c r="F58" s="29"/>
    </row>
    <row r="59" spans="1:14">
      <c r="A59" s="119" t="s">
        <v>100</v>
      </c>
      <c r="E59" s="29"/>
      <c r="F59" s="29"/>
    </row>
    <row r="60" spans="1:14">
      <c r="A60" s="47" t="s">
        <v>354</v>
      </c>
      <c r="B60" s="38">
        <f t="shared" ref="B60:G60" si="13">B13</f>
        <v>4242211</v>
      </c>
      <c r="C60" s="38">
        <f t="shared" si="13"/>
        <v>4450804</v>
      </c>
      <c r="D60" s="38">
        <f t="shared" si="13"/>
        <v>4139840</v>
      </c>
      <c r="E60" s="38">
        <f t="shared" si="13"/>
        <v>3813050</v>
      </c>
      <c r="F60" s="38">
        <f t="shared" si="13"/>
        <v>4115865</v>
      </c>
      <c r="G60" s="38">
        <f t="shared" si="13"/>
        <v>3654240</v>
      </c>
      <c r="H60" s="38">
        <f>H13</f>
        <v>3320096</v>
      </c>
      <c r="I60" s="38">
        <f>I13</f>
        <v>3756420</v>
      </c>
      <c r="J60" s="38">
        <f>J13</f>
        <v>3604293</v>
      </c>
    </row>
    <row r="61" spans="1:14">
      <c r="A61" s="47" t="s">
        <v>548</v>
      </c>
      <c r="B61" s="5">
        <v>5032</v>
      </c>
      <c r="C61" s="384">
        <v>4317</v>
      </c>
      <c r="D61" s="70">
        <v>5168</v>
      </c>
      <c r="E61" s="70">
        <v>5168</v>
      </c>
      <c r="F61" s="70">
        <v>5168</v>
      </c>
      <c r="G61" s="70"/>
      <c r="H61" s="70"/>
      <c r="I61" s="70"/>
      <c r="J61" s="70"/>
    </row>
    <row r="62" spans="1:14">
      <c r="A62" s="47" t="s">
        <v>547</v>
      </c>
      <c r="B62" s="384">
        <v>957.3</v>
      </c>
      <c r="C62" s="30">
        <v>2966</v>
      </c>
      <c r="D62" s="138">
        <v>11572.8</v>
      </c>
      <c r="E62" s="138">
        <v>11572.8</v>
      </c>
      <c r="F62" s="138">
        <v>11572.8</v>
      </c>
      <c r="G62" s="138"/>
      <c r="H62" s="138"/>
      <c r="I62" s="138"/>
      <c r="J62" s="138"/>
    </row>
    <row r="63" spans="1:14" ht="15">
      <c r="A63" s="47" t="s">
        <v>535</v>
      </c>
      <c r="B63" s="38">
        <f t="shared" ref="B63:G63" si="14">B12</f>
        <v>41680</v>
      </c>
      <c r="C63" s="38">
        <f t="shared" si="14"/>
        <v>50869</v>
      </c>
      <c r="D63" s="38">
        <f t="shared" si="14"/>
        <v>38941</v>
      </c>
      <c r="E63" s="38">
        <f t="shared" si="14"/>
        <v>78354</v>
      </c>
      <c r="F63" s="38">
        <f t="shared" si="14"/>
        <v>66491</v>
      </c>
      <c r="G63" s="38">
        <f t="shared" si="14"/>
        <v>66000</v>
      </c>
      <c r="H63" s="38">
        <f>H12</f>
        <v>31835</v>
      </c>
      <c r="I63" s="38">
        <f>I12</f>
        <v>31835</v>
      </c>
      <c r="J63" s="38">
        <f>J12</f>
        <v>31835</v>
      </c>
    </row>
    <row r="64" spans="1:14" s="29" customFormat="1">
      <c r="A64" t="s">
        <v>233</v>
      </c>
      <c r="B64" s="38">
        <f t="shared" ref="B64:G64" si="15">(B49/100)*B19</f>
        <v>346226.91946640005</v>
      </c>
      <c r="C64" s="38">
        <f t="shared" si="15"/>
        <v>416638.30528320005</v>
      </c>
      <c r="D64" s="38">
        <f t="shared" si="15"/>
        <v>358522.95214020804</v>
      </c>
      <c r="E64" s="38">
        <f t="shared" si="15"/>
        <v>775693.62500000012</v>
      </c>
      <c r="F64" s="38">
        <f t="shared" si="15"/>
        <v>858165.08699999994</v>
      </c>
      <c r="G64" s="38">
        <f t="shared" si="15"/>
        <v>739863.97880699998</v>
      </c>
      <c r="H64" s="38">
        <f>(H49/100)*H19</f>
        <v>1134705.48496376</v>
      </c>
      <c r="I64" s="38">
        <f>(I49/100)*I19</f>
        <v>1109161.6934001602</v>
      </c>
      <c r="J64" s="38">
        <f>(J49/100)*J19</f>
        <v>0</v>
      </c>
    </row>
    <row r="65" spans="1:10" s="29" customFormat="1">
      <c r="A65" t="s">
        <v>328</v>
      </c>
      <c r="B65" s="38">
        <f t="shared" ref="B65:G65" si="16">(B50/100)*B19</f>
        <v>7768633.5160975996</v>
      </c>
      <c r="C65" s="38">
        <f t="shared" si="16"/>
        <v>8276472.7672704002</v>
      </c>
      <c r="D65" s="38">
        <f t="shared" si="16"/>
        <v>7983022.2886674404</v>
      </c>
      <c r="E65" s="38">
        <f t="shared" si="16"/>
        <v>8798581.9749999996</v>
      </c>
      <c r="F65" s="38">
        <f t="shared" si="16"/>
        <v>8867705.8990000002</v>
      </c>
      <c r="G65" s="38">
        <f t="shared" si="16"/>
        <v>8417071.7007539999</v>
      </c>
      <c r="H65" s="38">
        <f>(H50/100)*H19</f>
        <v>10454395.447181119</v>
      </c>
      <c r="I65" s="38">
        <f>(I50/100)*I19</f>
        <v>10219052.530657919</v>
      </c>
      <c r="J65" s="38">
        <f>(J50/100)*J19</f>
        <v>8049287.7816000003</v>
      </c>
    </row>
    <row r="66" spans="1:10" s="29" customFormat="1">
      <c r="A66" t="s">
        <v>329</v>
      </c>
      <c r="B66" s="38">
        <f t="shared" ref="B66:G66" si="17">(B51/100)*B19</f>
        <v>11789610.175088</v>
      </c>
      <c r="C66" s="38">
        <f t="shared" si="17"/>
        <v>10711877.366519999</v>
      </c>
      <c r="D66" s="38">
        <f t="shared" si="17"/>
        <v>10766992.89835152</v>
      </c>
      <c r="E66" s="38">
        <f t="shared" si="17"/>
        <v>12078657.875</v>
      </c>
      <c r="F66" s="38">
        <f t="shared" si="17"/>
        <v>11024120.733000001</v>
      </c>
      <c r="G66" s="38">
        <f t="shared" si="17"/>
        <v>11125311.239412</v>
      </c>
      <c r="H66" s="38">
        <f>(H51/100)*H19</f>
        <v>4303834.6971892007</v>
      </c>
      <c r="I66" s="38">
        <f>(I51/100)*I19</f>
        <v>4206949.4191271998</v>
      </c>
      <c r="J66" s="38">
        <f>(J51/100)*J19</f>
        <v>7111981.0917999996</v>
      </c>
    </row>
    <row r="67" spans="1:10" s="29" customFormat="1">
      <c r="A67" s="29" t="s">
        <v>330</v>
      </c>
      <c r="B67" s="44">
        <f t="shared" ref="B67:G67" si="18">(B52/100)*B19</f>
        <v>125867.78564080001</v>
      </c>
      <c r="C67" s="44">
        <f t="shared" si="18"/>
        <v>185852.7376464</v>
      </c>
      <c r="D67" s="44">
        <f t="shared" si="18"/>
        <v>140803.189280016</v>
      </c>
      <c r="E67" s="44">
        <f t="shared" si="18"/>
        <v>0</v>
      </c>
      <c r="F67" s="44">
        <f t="shared" si="18"/>
        <v>0</v>
      </c>
      <c r="G67" s="44">
        <f t="shared" si="18"/>
        <v>139815.96205500001</v>
      </c>
      <c r="H67" s="44">
        <f>(H52/100)*H19</f>
        <v>3864017.7290290394</v>
      </c>
      <c r="I67" s="44">
        <f>(I52/100)*I19</f>
        <v>3777033.3398846397</v>
      </c>
      <c r="J67" s="44">
        <f>(J52/100)*J19</f>
        <v>5246252.1358000003</v>
      </c>
    </row>
    <row r="68" spans="1:10" s="29" customFormat="1">
      <c r="A68" s="29" t="s">
        <v>331</v>
      </c>
      <c r="B68" s="44">
        <f t="shared" ref="B68:G68" si="19">(B53/100)*B19</f>
        <v>48573.138754</v>
      </c>
      <c r="C68" s="44">
        <f t="shared" si="19"/>
        <v>75482.852491200014</v>
      </c>
      <c r="D68" s="44">
        <f t="shared" si="19"/>
        <v>53224.57326736</v>
      </c>
      <c r="E68" s="44">
        <f t="shared" si="19"/>
        <v>0</v>
      </c>
      <c r="F68" s="44">
        <f t="shared" si="19"/>
        <v>0</v>
      </c>
      <c r="G68" s="44">
        <f t="shared" si="19"/>
        <v>21426.342237000001</v>
      </c>
      <c r="H68" s="44">
        <f>(H53/100)*H19</f>
        <v>475794.44787999999</v>
      </c>
      <c r="I68" s="44">
        <f>(I53/100)*I19</f>
        <v>465083.65607999999</v>
      </c>
      <c r="J68" s="44">
        <f>(J53/100)*J19</f>
        <v>588593.06349999993</v>
      </c>
    </row>
    <row r="69" spans="1:10" s="29" customFormat="1">
      <c r="A69" s="29" t="s">
        <v>150</v>
      </c>
      <c r="B69" s="44">
        <f t="shared" ref="B69:G69" si="20">(B54/100)*B19</f>
        <v>10223.2018744</v>
      </c>
      <c r="C69" s="44">
        <f t="shared" si="20"/>
        <v>17075.880096000001</v>
      </c>
      <c r="D69" s="44">
        <f t="shared" si="20"/>
        <v>11055.981349663998</v>
      </c>
      <c r="E69" s="44">
        <f t="shared" si="20"/>
        <v>44325.35</v>
      </c>
      <c r="F69" s="44">
        <f t="shared" si="20"/>
        <v>0</v>
      </c>
      <c r="G69" s="44">
        <f t="shared" si="20"/>
        <v>6371.1989999999996</v>
      </c>
      <c r="H69" s="44" t="e">
        <f>(H54/100)*H19</f>
        <v>#VALUE!</v>
      </c>
      <c r="I69" s="44">
        <f>(I54/100)*I19</f>
        <v>236871.36474048003</v>
      </c>
      <c r="J69" s="44">
        <f>(J54/100)*J19</f>
        <v>222110.59</v>
      </c>
    </row>
    <row r="70" spans="1:10" s="29" customFormat="1">
      <c r="A70" s="29" t="s">
        <v>151</v>
      </c>
      <c r="B70" s="44">
        <f t="shared" ref="B70:G70" si="21">(B55/100)*B19</f>
        <v>63485.566445999997</v>
      </c>
      <c r="C70" s="44">
        <f t="shared" si="21"/>
        <v>129287.23869600001</v>
      </c>
      <c r="D70" s="44">
        <f t="shared" si="21"/>
        <v>76920.855524927989</v>
      </c>
      <c r="E70" s="44">
        <f t="shared" si="21"/>
        <v>0</v>
      </c>
      <c r="F70" s="44">
        <f t="shared" si="21"/>
        <v>22004.233</v>
      </c>
      <c r="G70" s="44">
        <f t="shared" si="21"/>
        <v>14866.131000000003</v>
      </c>
      <c r="H70" s="44">
        <f>(H55/100)*H19</f>
        <v>19411.378199999999</v>
      </c>
      <c r="I70" s="44">
        <f>(I55/100)*I19</f>
        <v>18974.4012</v>
      </c>
      <c r="J70" s="44">
        <f>(J55/100)*J19</f>
        <v>0</v>
      </c>
    </row>
    <row r="71" spans="1:10" s="29" customFormat="1">
      <c r="A71" s="29" t="s">
        <v>99</v>
      </c>
      <c r="B71" s="44">
        <f t="shared" ref="B71:G71" si="22">(B56/100)*B19</f>
        <v>1384037.0679251999</v>
      </c>
      <c r="C71" s="44">
        <f t="shared" si="22"/>
        <v>2120179.0240223999</v>
      </c>
      <c r="D71" s="44">
        <f t="shared" si="22"/>
        <v>2011923.125064224</v>
      </c>
      <c r="E71" s="44">
        <f t="shared" si="22"/>
        <v>398928.15</v>
      </c>
      <c r="F71" s="44">
        <f t="shared" si="22"/>
        <v>1210232.8149999999</v>
      </c>
      <c r="G71" s="44">
        <f t="shared" si="22"/>
        <v>955679.85</v>
      </c>
      <c r="H71" s="44">
        <f>(H56/100)*H19</f>
        <v>21.568197999999999</v>
      </c>
      <c r="I71" s="44">
        <f>(I56/100)*I19</f>
        <v>21.082667999999998</v>
      </c>
      <c r="J71" s="44">
        <f>(J56/100)*J19</f>
        <v>0</v>
      </c>
    </row>
    <row r="72" spans="1:10" s="29" customFormat="1">
      <c r="A72" s="45" t="s">
        <v>159</v>
      </c>
      <c r="B72" s="46">
        <f t="shared" ref="B72:G72" si="23">SUM(B60:B71)</f>
        <v>25826537.671292394</v>
      </c>
      <c r="C72" s="46">
        <f t="shared" si="23"/>
        <v>26441822.172025602</v>
      </c>
      <c r="D72" s="46">
        <f t="shared" si="23"/>
        <v>25597987.663645361</v>
      </c>
      <c r="E72" s="46">
        <f t="shared" si="23"/>
        <v>26004331.774999999</v>
      </c>
      <c r="F72" s="46">
        <f t="shared" si="23"/>
        <v>26181325.567000002</v>
      </c>
      <c r="G72" s="46">
        <f t="shared" si="23"/>
        <v>25140646.403265003</v>
      </c>
      <c r="H72" s="46" t="e">
        <f>SUM(H60:H71)</f>
        <v>#VALUE!</v>
      </c>
      <c r="I72" s="46">
        <f>SUM(I60:I71)</f>
        <v>23821402.487758398</v>
      </c>
      <c r="J72" s="46">
        <f>SUM(J60:J71)</f>
        <v>24854352.662699997</v>
      </c>
    </row>
    <row r="73" spans="1:10" s="29" customFormat="1">
      <c r="A73" s="70"/>
      <c r="B73" s="117"/>
      <c r="E73"/>
      <c r="F73"/>
    </row>
    <row r="74" spans="1:10" s="29" customFormat="1">
      <c r="A74" s="70"/>
      <c r="B74" s="117"/>
      <c r="E74"/>
      <c r="F74"/>
    </row>
    <row r="75" spans="1:10" s="29" customFormat="1">
      <c r="A75" s="70"/>
      <c r="B75" s="117"/>
      <c r="E75"/>
      <c r="F75"/>
    </row>
    <row r="76" spans="1:10" s="29" customFormat="1">
      <c r="E76"/>
      <c r="F76"/>
    </row>
    <row r="77" spans="1:10" s="29" customFormat="1">
      <c r="A77" s="6" t="s">
        <v>130</v>
      </c>
      <c r="D77"/>
      <c r="E77"/>
      <c r="F77"/>
    </row>
    <row r="78" spans="1:10" s="29" customFormat="1">
      <c r="A78" s="47" t="s">
        <v>546</v>
      </c>
      <c r="B78" s="53">
        <f t="shared" ref="B78:G78" si="24">(B60/B72)</f>
        <v>0.16425782867191868</v>
      </c>
      <c r="C78" s="53">
        <f t="shared" si="24"/>
        <v>0.16832440559670558</v>
      </c>
      <c r="D78" s="53">
        <f t="shared" si="24"/>
        <v>0.16172521271582069</v>
      </c>
      <c r="E78" s="53">
        <f t="shared" si="24"/>
        <v>0.14663133946267304</v>
      </c>
      <c r="F78" s="53">
        <f t="shared" si="24"/>
        <v>0.15720613494023397</v>
      </c>
      <c r="G78" s="53">
        <f t="shared" si="24"/>
        <v>0.14535187128384358</v>
      </c>
      <c r="H78" s="53" t="e">
        <f>(H60/H72)</f>
        <v>#VALUE!</v>
      </c>
      <c r="I78" s="53">
        <f>(I60/I72)</f>
        <v>0.15769096726905102</v>
      </c>
      <c r="J78" s="53">
        <f>(J60/J72)</f>
        <v>0.14501657109779079</v>
      </c>
    </row>
    <row r="79" spans="1:10" s="29" customFormat="1">
      <c r="A79" s="47" t="s">
        <v>548</v>
      </c>
      <c r="B79" s="53">
        <f t="shared" ref="B79:G79" si="25">(B61/B72)</f>
        <v>1.9483835053869193E-4</v>
      </c>
      <c r="C79" s="53">
        <f t="shared" si="25"/>
        <v>1.6326408868172536E-4</v>
      </c>
      <c r="D79" s="53">
        <f t="shared" si="25"/>
        <v>2.0189087001317959E-4</v>
      </c>
      <c r="E79" s="53">
        <f t="shared" si="25"/>
        <v>1.9873611999399283E-4</v>
      </c>
      <c r="F79" s="53">
        <f t="shared" si="25"/>
        <v>1.973926028601835E-4</v>
      </c>
      <c r="G79" s="53">
        <f t="shared" si="25"/>
        <v>0</v>
      </c>
      <c r="H79" s="53" t="e">
        <f>(H61/H72)</f>
        <v>#VALUE!</v>
      </c>
      <c r="I79" s="53">
        <f>(I61/I72)</f>
        <v>0</v>
      </c>
      <c r="J79" s="53">
        <f>(J61/J72)</f>
        <v>0</v>
      </c>
    </row>
    <row r="80" spans="1:10" s="29" customFormat="1">
      <c r="A80" s="47" t="s">
        <v>547</v>
      </c>
      <c r="B80" s="53">
        <f t="shared" ref="B80:G80" si="26">(B62/B72)</f>
        <v>3.7066524835192722E-5</v>
      </c>
      <c r="C80" s="53">
        <f t="shared" si="26"/>
        <v>1.1217078689599199E-4</v>
      </c>
      <c r="D80" s="53">
        <f t="shared" si="26"/>
        <v>4.5209803802022532E-4</v>
      </c>
      <c r="E80" s="53">
        <f t="shared" si="26"/>
        <v>4.4503354672339009E-4</v>
      </c>
      <c r="F80" s="53">
        <f t="shared" si="26"/>
        <v>4.420249834327267E-4</v>
      </c>
      <c r="G80" s="53">
        <f t="shared" si="26"/>
        <v>0</v>
      </c>
      <c r="H80" s="53" t="e">
        <f>(H62/H72)</f>
        <v>#VALUE!</v>
      </c>
      <c r="I80" s="53">
        <f>(I62/I72)</f>
        <v>0</v>
      </c>
      <c r="J80" s="53">
        <f>(J62/J72)</f>
        <v>0</v>
      </c>
    </row>
    <row r="81" spans="1:10" s="29" customFormat="1" ht="15">
      <c r="A81" s="47" t="s">
        <v>535</v>
      </c>
      <c r="B81" s="53">
        <f t="shared" ref="B81:G81" si="27">(B63/B72)</f>
        <v>1.6138438891996581E-3</v>
      </c>
      <c r="C81" s="53">
        <f t="shared" si="27"/>
        <v>1.9238084149063442E-3</v>
      </c>
      <c r="D81" s="53">
        <f t="shared" si="27"/>
        <v>1.5212523934178069E-3</v>
      </c>
      <c r="E81" s="53">
        <f t="shared" si="27"/>
        <v>3.0131133796457649E-3</v>
      </c>
      <c r="F81" s="53">
        <f t="shared" si="27"/>
        <v>2.5396345891595322E-3</v>
      </c>
      <c r="G81" s="53">
        <f t="shared" si="27"/>
        <v>2.6252308290461704E-3</v>
      </c>
      <c r="H81" s="53" t="e">
        <f>(H63/H72)</f>
        <v>#VALUE!</v>
      </c>
      <c r="I81" s="53">
        <f>(I63/I72)</f>
        <v>1.3364032624174718E-3</v>
      </c>
      <c r="J81" s="53">
        <f>(J63/J72)</f>
        <v>1.2808621665603129E-3</v>
      </c>
    </row>
    <row r="82" spans="1:10" s="29" customFormat="1">
      <c r="A82" t="s">
        <v>233</v>
      </c>
      <c r="B82" s="53">
        <f t="shared" ref="B82:G82" si="28">(B64/B72)</f>
        <v>1.3405858883331859E-2</v>
      </c>
      <c r="C82" s="53">
        <f t="shared" si="28"/>
        <v>1.5756792499874946E-2</v>
      </c>
      <c r="D82" s="53">
        <f t="shared" si="28"/>
        <v>1.4005903778498481E-2</v>
      </c>
      <c r="E82" s="53">
        <f t="shared" si="28"/>
        <v>2.9829400413424013E-2</v>
      </c>
      <c r="F82" s="53">
        <f t="shared" si="28"/>
        <v>3.2777755457946173E-2</v>
      </c>
      <c r="G82" s="53">
        <f t="shared" si="28"/>
        <v>2.9428995855528765E-2</v>
      </c>
      <c r="H82" s="53" t="e">
        <f>(H64/H72)</f>
        <v>#VALUE!</v>
      </c>
      <c r="I82" s="53">
        <f>(I64/I72)</f>
        <v>4.656156135098042E-2</v>
      </c>
      <c r="J82" s="53">
        <f>(J64/J72)</f>
        <v>0</v>
      </c>
    </row>
    <row r="83" spans="1:10" s="29" customFormat="1">
      <c r="A83" t="s">
        <v>328</v>
      </c>
      <c r="B83" s="53">
        <f t="shared" ref="B83:G83" si="29">(B65/B72)</f>
        <v>0.30080042532115558</v>
      </c>
      <c r="C83" s="53">
        <f t="shared" si="29"/>
        <v>0.31300689920025931</v>
      </c>
      <c r="D83" s="53">
        <f t="shared" si="29"/>
        <v>0.31186132259939503</v>
      </c>
      <c r="E83" s="53">
        <f t="shared" si="29"/>
        <v>0.33835062754655232</v>
      </c>
      <c r="F83" s="53">
        <f t="shared" si="29"/>
        <v>0.33870347306544379</v>
      </c>
      <c r="G83" s="53">
        <f t="shared" si="29"/>
        <v>0.33479933513805271</v>
      </c>
      <c r="H83" s="53" t="e">
        <f>(H65/H72)</f>
        <v>#VALUE!</v>
      </c>
      <c r="I83" s="53">
        <f>(I65/I72)</f>
        <v>0.42898618315648701</v>
      </c>
      <c r="J83" s="53">
        <f>(J65/J72)</f>
        <v>0.32385827508112552</v>
      </c>
    </row>
    <row r="84" spans="1:10" s="29" customFormat="1">
      <c r="A84" t="s">
        <v>329</v>
      </c>
      <c r="B84" s="53">
        <f t="shared" ref="B84:G84" si="30">(B66/B72)</f>
        <v>0.45649209062168616</v>
      </c>
      <c r="C84" s="53">
        <f t="shared" si="30"/>
        <v>0.40511116430745608</v>
      </c>
      <c r="D84" s="53">
        <f t="shared" si="30"/>
        <v>0.42061872362111347</v>
      </c>
      <c r="E84" s="53">
        <f t="shared" si="30"/>
        <v>0.46448637786617381</v>
      </c>
      <c r="F84" s="53">
        <f t="shared" si="30"/>
        <v>0.4210680893443855</v>
      </c>
      <c r="G84" s="53">
        <f t="shared" si="30"/>
        <v>0.44252287952179153</v>
      </c>
      <c r="H84" s="53" t="e">
        <f>(H66/H72)</f>
        <v>#VALUE!</v>
      </c>
      <c r="I84" s="53">
        <f>(I66/I72)</f>
        <v>0.17660376719167198</v>
      </c>
      <c r="J84" s="53">
        <f>(J66/J72)</f>
        <v>0.28614630154794807</v>
      </c>
    </row>
    <row r="85" spans="1:10" s="29" customFormat="1">
      <c r="A85" s="29" t="s">
        <v>330</v>
      </c>
      <c r="B85" s="53">
        <f t="shared" ref="B85:G85" si="31">(B67/B72)</f>
        <v>4.8735834141914007E-3</v>
      </c>
      <c r="C85" s="53">
        <f t="shared" si="31"/>
        <v>7.02874168191876E-3</v>
      </c>
      <c r="D85" s="53">
        <f t="shared" si="31"/>
        <v>5.5005569629204398E-3</v>
      </c>
      <c r="E85" s="53">
        <f t="shared" si="31"/>
        <v>0</v>
      </c>
      <c r="F85" s="53">
        <f t="shared" si="31"/>
        <v>0</v>
      </c>
      <c r="G85" s="53">
        <f t="shared" si="31"/>
        <v>5.561351120902054E-3</v>
      </c>
      <c r="H85" s="53" t="e">
        <f>(H67/H72)</f>
        <v>#VALUE!</v>
      </c>
      <c r="I85" s="53">
        <f>(I67/I72)</f>
        <v>0.15855629582790615</v>
      </c>
      <c r="J85" s="53">
        <f>(J67/J72)</f>
        <v>0.21107981394636272</v>
      </c>
    </row>
    <row r="86" spans="1:10" s="29" customFormat="1">
      <c r="A86" s="29" t="s">
        <v>331</v>
      </c>
      <c r="B86" s="53">
        <f t="shared" ref="B86:G86" si="32">(B68/B72)</f>
        <v>1.8807452772886275E-3</v>
      </c>
      <c r="C86" s="53">
        <f t="shared" si="32"/>
        <v>2.8546766557963569E-3</v>
      </c>
      <c r="D86" s="53">
        <f t="shared" si="32"/>
        <v>2.0792483364991351E-3</v>
      </c>
      <c r="E86" s="53">
        <f t="shared" si="32"/>
        <v>0</v>
      </c>
      <c r="F86" s="53">
        <f t="shared" si="32"/>
        <v>0</v>
      </c>
      <c r="G86" s="53">
        <f t="shared" si="32"/>
        <v>8.5225900294343159E-4</v>
      </c>
      <c r="H86" s="53" t="e">
        <f>(H68/H72)</f>
        <v>#VALUE!</v>
      </c>
      <c r="I86" s="53">
        <f>(I68/I72)</f>
        <v>1.9523773057400891E-2</v>
      </c>
      <c r="J86" s="53">
        <f>(J68/J72)</f>
        <v>2.3681689540976339E-2</v>
      </c>
    </row>
    <row r="87" spans="1:10" s="29" customFormat="1">
      <c r="A87" s="29" t="s">
        <v>150</v>
      </c>
      <c r="B87" s="53">
        <f t="shared" ref="B87:G87" si="33">(B69/B72)</f>
        <v>3.9584097584104919E-4</v>
      </c>
      <c r="C87" s="53">
        <f t="shared" si="33"/>
        <v>6.457905958563477E-4</v>
      </c>
      <c r="D87" s="53">
        <f t="shared" si="33"/>
        <v>4.3190822243288542E-4</v>
      </c>
      <c r="E87" s="53">
        <f t="shared" si="33"/>
        <v>1.7045371664813718E-3</v>
      </c>
      <c r="F87" s="53">
        <f t="shared" si="33"/>
        <v>0</v>
      </c>
      <c r="G87" s="53">
        <f t="shared" si="33"/>
        <v>2.5342224292103225E-4</v>
      </c>
      <c r="H87" s="53" t="e">
        <f>(H69/H72)</f>
        <v>#VALUE!</v>
      </c>
      <c r="I87" s="53">
        <f>(I69/I72)</f>
        <v>9.9436363942973574E-3</v>
      </c>
      <c r="J87" s="53">
        <f>(J69/J72)</f>
        <v>8.9364866192363553E-3</v>
      </c>
    </row>
    <row r="88" spans="1:10" s="29" customFormat="1">
      <c r="A88" s="29" t="s">
        <v>151</v>
      </c>
      <c r="B88" s="53">
        <f t="shared" ref="B88:G88" si="34">(B70/B72)</f>
        <v>2.4581524342911698E-3</v>
      </c>
      <c r="C88" s="53">
        <f t="shared" si="34"/>
        <v>4.8894980782671167E-3</v>
      </c>
      <c r="D88" s="53">
        <f t="shared" si="34"/>
        <v>3.0049571292735688E-3</v>
      </c>
      <c r="E88" s="53">
        <f t="shared" si="34"/>
        <v>0</v>
      </c>
      <c r="F88" s="53">
        <f t="shared" si="34"/>
        <v>8.4045526815246599E-4</v>
      </c>
      <c r="G88" s="53">
        <f t="shared" si="34"/>
        <v>5.9131856681574209E-4</v>
      </c>
      <c r="H88" s="53" t="e">
        <f>(H70/H72)</f>
        <v>#VALUE!</v>
      </c>
      <c r="I88" s="53">
        <f>(I70/I72)</f>
        <v>7.9652745927746166E-4</v>
      </c>
      <c r="J88" s="53">
        <f>(J70/J72)</f>
        <v>0</v>
      </c>
    </row>
    <row r="89" spans="1:10">
      <c r="A89" s="29" t="s">
        <v>99</v>
      </c>
      <c r="B89" s="53">
        <f t="shared" ref="B89:G89" si="35">(B71/B72)</f>
        <v>5.358972563572207E-2</v>
      </c>
      <c r="C89" s="53">
        <f t="shared" si="35"/>
        <v>8.0182788093381294E-2</v>
      </c>
      <c r="D89" s="53">
        <f t="shared" si="35"/>
        <v>7.8596925332595061E-2</v>
      </c>
      <c r="E89" s="53">
        <f t="shared" si="35"/>
        <v>1.5340834498332347E-2</v>
      </c>
      <c r="F89" s="53">
        <f t="shared" si="35"/>
        <v>4.6225039748385627E-2</v>
      </c>
      <c r="G89" s="53">
        <f t="shared" si="35"/>
        <v>3.8013336438154841E-2</v>
      </c>
      <c r="H89" s="53" t="e">
        <f>(H71/H72)</f>
        <v>#VALUE!</v>
      </c>
      <c r="I89" s="53">
        <f>(I71/I72)</f>
        <v>8.8503051030829059E-7</v>
      </c>
      <c r="J89" s="53">
        <f>(J71/J72)</f>
        <v>0</v>
      </c>
    </row>
    <row r="90" spans="1:10">
      <c r="A90" s="45" t="s">
        <v>159</v>
      </c>
      <c r="B90" s="54">
        <f t="shared" ref="B90:G90" si="36">SUM(B78:B89)</f>
        <v>1.0000000000000002</v>
      </c>
      <c r="C90" s="54">
        <f t="shared" si="36"/>
        <v>0.99999999999999989</v>
      </c>
      <c r="D90" s="54">
        <f t="shared" si="36"/>
        <v>0.99999999999999989</v>
      </c>
      <c r="E90" s="54">
        <f t="shared" si="36"/>
        <v>1.0000000000000002</v>
      </c>
      <c r="F90" s="54">
        <f t="shared" si="36"/>
        <v>1</v>
      </c>
      <c r="G90" s="54">
        <f t="shared" si="36"/>
        <v>0.99999999999999989</v>
      </c>
      <c r="H90" s="54" t="e">
        <f>SUM(H78:H89)</f>
        <v>#VALUE!</v>
      </c>
      <c r="I90" s="54">
        <f>SUM(I78:I89)</f>
        <v>1</v>
      </c>
      <c r="J90" s="54">
        <f>SUM(J78:J89)</f>
        <v>1</v>
      </c>
    </row>
    <row r="91" spans="1:10">
      <c r="A91" s="29"/>
      <c r="B91" s="29"/>
      <c r="C91" s="29"/>
      <c r="D91" s="29"/>
      <c r="G91" s="29"/>
    </row>
    <row r="92" spans="1:10" ht="16">
      <c r="A92" s="4" t="s">
        <v>330</v>
      </c>
    </row>
    <row r="93" spans="1:10">
      <c r="A93" s="10"/>
    </row>
    <row r="94" spans="1:10">
      <c r="A94" s="6" t="s">
        <v>628</v>
      </c>
      <c r="B94" s="3" t="s">
        <v>310</v>
      </c>
      <c r="C94" s="3" t="s">
        <v>339</v>
      </c>
      <c r="D94" s="3" t="s">
        <v>731</v>
      </c>
      <c r="E94" s="526" t="s">
        <v>24</v>
      </c>
      <c r="F94" s="3" t="s">
        <v>103</v>
      </c>
      <c r="G94" s="3" t="s">
        <v>970</v>
      </c>
      <c r="H94" s="3" t="s">
        <v>955</v>
      </c>
      <c r="I94" s="3" t="s">
        <v>1123</v>
      </c>
      <c r="J94" s="3" t="s">
        <v>1154</v>
      </c>
    </row>
    <row r="95" spans="1:10">
      <c r="A95" s="121" t="s">
        <v>131</v>
      </c>
      <c r="B95" s="122">
        <f t="shared" ref="B95:G95" si="37">B67</f>
        <v>125867.78564080001</v>
      </c>
      <c r="C95" s="122">
        <f t="shared" si="37"/>
        <v>185852.7376464</v>
      </c>
      <c r="D95" s="122">
        <f t="shared" si="37"/>
        <v>140803.189280016</v>
      </c>
      <c r="E95" s="122">
        <f t="shared" si="37"/>
        <v>0</v>
      </c>
      <c r="F95" s="122">
        <f t="shared" si="37"/>
        <v>0</v>
      </c>
      <c r="G95" s="122">
        <f t="shared" si="37"/>
        <v>139815.96205500001</v>
      </c>
      <c r="H95" s="122">
        <f>H67</f>
        <v>3864017.7290290394</v>
      </c>
      <c r="I95" s="122">
        <f>I67</f>
        <v>3777033.3398846397</v>
      </c>
      <c r="J95" s="122">
        <f>J67</f>
        <v>5246252.1358000003</v>
      </c>
    </row>
    <row r="96" spans="1:10">
      <c r="A96" s="71" t="s">
        <v>285</v>
      </c>
      <c r="B96" s="123">
        <f t="shared" ref="B96:G96" si="38">ROUND(B95*$B188,1)</f>
        <v>429.5</v>
      </c>
      <c r="C96" s="123">
        <f t="shared" si="38"/>
        <v>634.1</v>
      </c>
      <c r="D96" s="123">
        <f t="shared" si="38"/>
        <v>480.4</v>
      </c>
      <c r="E96" s="123">
        <f t="shared" si="38"/>
        <v>0</v>
      </c>
      <c r="F96" s="123">
        <f t="shared" si="38"/>
        <v>0</v>
      </c>
      <c r="G96" s="123">
        <f t="shared" si="38"/>
        <v>477.1</v>
      </c>
      <c r="H96" s="123">
        <f>ROUND(H95*$B188,1)</f>
        <v>13184.4</v>
      </c>
      <c r="I96" s="123">
        <f>ROUND(I95*$B188,1)</f>
        <v>12887.6</v>
      </c>
      <c r="J96" s="123">
        <f>ROUND(J95*$B188,1)</f>
        <v>17900.7</v>
      </c>
    </row>
    <row r="97" spans="1:13" s="24" customFormat="1" ht="15">
      <c r="A97" s="83" t="s">
        <v>173</v>
      </c>
      <c r="B97" s="115">
        <f t="shared" ref="B97:G97" si="39">ROUND(B95*$B196,1)</f>
        <v>22.7</v>
      </c>
      <c r="C97" s="115">
        <f t="shared" si="39"/>
        <v>33.5</v>
      </c>
      <c r="D97" s="115">
        <f t="shared" si="39"/>
        <v>25.3</v>
      </c>
      <c r="E97" s="115">
        <f t="shared" si="39"/>
        <v>0</v>
      </c>
      <c r="F97" s="115">
        <f t="shared" si="39"/>
        <v>0</v>
      </c>
      <c r="G97" s="115">
        <f t="shared" si="39"/>
        <v>25.2</v>
      </c>
      <c r="H97" s="115">
        <f>ROUND(H95*$B196,1)</f>
        <v>695.6</v>
      </c>
      <c r="I97" s="115">
        <f>ROUND(I95*$B196,1)</f>
        <v>679.9</v>
      </c>
      <c r="J97" s="115">
        <f>ROUND(J95*$B196,1)</f>
        <v>944.4</v>
      </c>
    </row>
    <row r="98" spans="1:13" s="24" customFormat="1" ht="15">
      <c r="A98" s="25" t="s">
        <v>866</v>
      </c>
      <c r="B98" s="82">
        <f t="shared" ref="B98:G98" si="40">($B197*B96*$B190)</f>
        <v>4.0802499999999996E-4</v>
      </c>
      <c r="C98" s="82">
        <f t="shared" si="40"/>
        <v>6.0239499999999993E-4</v>
      </c>
      <c r="D98" s="82">
        <f t="shared" si="40"/>
        <v>4.5637999999999994E-4</v>
      </c>
      <c r="E98" s="82">
        <f t="shared" si="40"/>
        <v>0</v>
      </c>
      <c r="F98" s="82">
        <f t="shared" si="40"/>
        <v>0</v>
      </c>
      <c r="G98" s="82">
        <f t="shared" si="40"/>
        <v>4.5324499999999996E-4</v>
      </c>
      <c r="H98" s="82">
        <f>($B197*H96*$B190)</f>
        <v>1.2525179999999999E-2</v>
      </c>
      <c r="I98" s="82">
        <f>($B197*I96*$B190)</f>
        <v>1.2243219999999999E-2</v>
      </c>
      <c r="J98" s="82">
        <f>($B197*J96*$B190)</f>
        <v>1.7005665E-2</v>
      </c>
    </row>
    <row r="99" spans="1:13" ht="15">
      <c r="A99" s="83" t="s">
        <v>188</v>
      </c>
      <c r="B99" s="124">
        <f t="shared" ref="B99:G99" si="41">B96*$B197*$B190*$B192</f>
        <v>8.5685249999999987E-3</v>
      </c>
      <c r="C99" s="124">
        <f t="shared" si="41"/>
        <v>1.2650294999999999E-2</v>
      </c>
      <c r="D99" s="124">
        <f t="shared" si="41"/>
        <v>9.5839799999999989E-3</v>
      </c>
      <c r="E99" s="124">
        <f t="shared" si="41"/>
        <v>0</v>
      </c>
      <c r="F99" s="124">
        <f t="shared" si="41"/>
        <v>0</v>
      </c>
      <c r="G99" s="124">
        <f t="shared" si="41"/>
        <v>9.5181449999999987E-3</v>
      </c>
      <c r="H99" s="124">
        <f>H96*$B197*$B190*$B192</f>
        <v>0.26302877999999996</v>
      </c>
      <c r="I99" s="124">
        <f>I96*$B197*$B190*$B192</f>
        <v>0.25710761999999998</v>
      </c>
      <c r="J99" s="124">
        <f>J96*$B197*$B190*$B192</f>
        <v>0.35711896500000001</v>
      </c>
    </row>
    <row r="100" spans="1:13" ht="15">
      <c r="A100" s="25" t="s">
        <v>859</v>
      </c>
      <c r="B100" s="82">
        <f t="shared" ref="B100:G100" si="42">($B198*B96*$B190)</f>
        <v>4.0802500000000001E-5</v>
      </c>
      <c r="C100" s="82">
        <f t="shared" si="42"/>
        <v>6.0239499999999998E-5</v>
      </c>
      <c r="D100" s="82">
        <f t="shared" si="42"/>
        <v>4.5637999999999999E-5</v>
      </c>
      <c r="E100" s="82">
        <f t="shared" si="42"/>
        <v>0</v>
      </c>
      <c r="F100" s="82">
        <f t="shared" si="42"/>
        <v>0</v>
      </c>
      <c r="G100" s="82">
        <f t="shared" si="42"/>
        <v>4.5324499999999996E-5</v>
      </c>
      <c r="H100" s="82">
        <f>($B198*H96*$B190)</f>
        <v>1.252518E-3</v>
      </c>
      <c r="I100" s="82">
        <f>($B198*I96*$B190)</f>
        <v>1.2243220000000001E-3</v>
      </c>
      <c r="J100" s="82">
        <f>($B198*J96*$B190)</f>
        <v>1.7005665000000001E-3</v>
      </c>
    </row>
    <row r="101" spans="1:13" ht="15">
      <c r="A101" s="83" t="s">
        <v>190</v>
      </c>
      <c r="B101" s="124">
        <f t="shared" ref="B101:G101" si="43">B96*$B198*$B190*$B193</f>
        <v>1.2648775000000001E-2</v>
      </c>
      <c r="C101" s="124">
        <f t="shared" si="43"/>
        <v>1.8674244999999999E-2</v>
      </c>
      <c r="D101" s="124">
        <f t="shared" si="43"/>
        <v>1.414778E-2</v>
      </c>
      <c r="E101" s="124">
        <f t="shared" si="43"/>
        <v>0</v>
      </c>
      <c r="F101" s="124">
        <f t="shared" si="43"/>
        <v>0</v>
      </c>
      <c r="G101" s="124">
        <f t="shared" si="43"/>
        <v>1.4050594999999999E-2</v>
      </c>
      <c r="H101" s="124">
        <f>H96*$B198*$B190*$B193</f>
        <v>0.38828057999999999</v>
      </c>
      <c r="I101" s="124">
        <f>I96*$B198*$B190*$B193</f>
        <v>0.37953982000000003</v>
      </c>
      <c r="J101" s="124">
        <f>J96*$B198*$B190*$B193</f>
        <v>0.52717561499999999</v>
      </c>
    </row>
    <row r="102" spans="1:13">
      <c r="A102" s="470" t="s">
        <v>410</v>
      </c>
      <c r="B102" s="472">
        <f t="shared" ref="B102:G102" si="44">ROUND(B97+B99+B101,1)</f>
        <v>22.7</v>
      </c>
      <c r="C102" s="472">
        <f t="shared" si="44"/>
        <v>33.5</v>
      </c>
      <c r="D102" s="472">
        <f t="shared" si="44"/>
        <v>25.3</v>
      </c>
      <c r="E102" s="472">
        <f t="shared" si="44"/>
        <v>0</v>
      </c>
      <c r="F102" s="472">
        <f t="shared" si="44"/>
        <v>0</v>
      </c>
      <c r="G102" s="472">
        <f t="shared" si="44"/>
        <v>25.2</v>
      </c>
      <c r="H102" s="472">
        <f>ROUND(H97+H99+H101,1)</f>
        <v>696.3</v>
      </c>
      <c r="I102" s="472">
        <f>ROUND(I97+I99+I101,1)</f>
        <v>680.5</v>
      </c>
      <c r="J102" s="472">
        <f>ROUND(J97+J99+J101,1)</f>
        <v>945.3</v>
      </c>
    </row>
    <row r="103" spans="1:13">
      <c r="E103" s="29"/>
      <c r="F103" s="29"/>
    </row>
    <row r="104" spans="1:13" ht="16">
      <c r="A104" s="4" t="s">
        <v>331</v>
      </c>
      <c r="E104" s="29"/>
      <c r="F104" s="29"/>
    </row>
    <row r="105" spans="1:13" s="24" customFormat="1">
      <c r="A105" s="10"/>
      <c r="B105"/>
      <c r="C105"/>
      <c r="D105"/>
      <c r="E105" s="29"/>
      <c r="F105" s="29"/>
      <c r="G105"/>
    </row>
    <row r="106" spans="1:13" s="24" customFormat="1">
      <c r="A106" s="6" t="s">
        <v>628</v>
      </c>
      <c r="B106" s="3" t="s">
        <v>310</v>
      </c>
      <c r="C106" s="3" t="s">
        <v>339</v>
      </c>
      <c r="D106" s="3" t="s">
        <v>731</v>
      </c>
      <c r="E106" s="525" t="s">
        <v>24</v>
      </c>
      <c r="F106" s="62" t="s">
        <v>103</v>
      </c>
      <c r="G106" s="62" t="s">
        <v>970</v>
      </c>
      <c r="H106" s="574" t="s">
        <v>955</v>
      </c>
      <c r="I106" s="574" t="s">
        <v>1123</v>
      </c>
      <c r="J106" s="574" t="s">
        <v>1154</v>
      </c>
    </row>
    <row r="107" spans="1:13">
      <c r="A107" s="50" t="s">
        <v>438</v>
      </c>
      <c r="B107" s="51">
        <f t="shared" ref="B107:G107" si="45">B68</f>
        <v>48573.138754</v>
      </c>
      <c r="C107" s="51">
        <f t="shared" si="45"/>
        <v>75482.852491200014</v>
      </c>
      <c r="D107" s="51">
        <f t="shared" si="45"/>
        <v>53224.57326736</v>
      </c>
      <c r="E107" s="51">
        <f t="shared" si="45"/>
        <v>0</v>
      </c>
      <c r="F107" s="51">
        <f t="shared" si="45"/>
        <v>0</v>
      </c>
      <c r="G107" s="51">
        <f t="shared" si="45"/>
        <v>21426.342237000001</v>
      </c>
      <c r="H107" s="51">
        <f>H68</f>
        <v>475794.44787999999</v>
      </c>
      <c r="I107" s="51">
        <f>I68</f>
        <v>465083.65607999999</v>
      </c>
      <c r="J107" s="51">
        <f>J68</f>
        <v>588593.06349999993</v>
      </c>
    </row>
    <row r="108" spans="1:13">
      <c r="A108" s="71" t="s">
        <v>285</v>
      </c>
      <c r="B108" s="123">
        <f t="shared" ref="B108:G108" si="46">ROUND(B107*$B188,1)</f>
        <v>165.7</v>
      </c>
      <c r="C108" s="123">
        <f t="shared" si="46"/>
        <v>257.60000000000002</v>
      </c>
      <c r="D108" s="123">
        <f t="shared" si="46"/>
        <v>181.6</v>
      </c>
      <c r="E108" s="123">
        <f t="shared" si="46"/>
        <v>0</v>
      </c>
      <c r="F108" s="123">
        <f t="shared" si="46"/>
        <v>0</v>
      </c>
      <c r="G108" s="123">
        <f t="shared" si="46"/>
        <v>73.099999999999994</v>
      </c>
      <c r="H108" s="123">
        <f>ROUND(H107*$B188,1)</f>
        <v>1623.5</v>
      </c>
      <c r="I108" s="123">
        <f>ROUND(I107*$B188,1)</f>
        <v>1586.9</v>
      </c>
      <c r="J108" s="123">
        <f>ROUND(J107*$B188,1)</f>
        <v>2008.3</v>
      </c>
    </row>
    <row r="109" spans="1:13" ht="15">
      <c r="A109" s="83" t="s">
        <v>173</v>
      </c>
      <c r="B109" s="115">
        <f t="shared" ref="B109:G109" si="47">ROUND(B107*$B204,1)</f>
        <v>15.3</v>
      </c>
      <c r="C109" s="115">
        <f t="shared" si="47"/>
        <v>23.8</v>
      </c>
      <c r="D109" s="115">
        <f t="shared" si="47"/>
        <v>16.8</v>
      </c>
      <c r="E109" s="115">
        <f t="shared" si="47"/>
        <v>0</v>
      </c>
      <c r="F109" s="115">
        <f t="shared" si="47"/>
        <v>0</v>
      </c>
      <c r="G109" s="115">
        <f t="shared" si="47"/>
        <v>6.8</v>
      </c>
      <c r="H109" s="115">
        <f>ROUND(H107*$B204,1)</f>
        <v>150.1</v>
      </c>
      <c r="I109" s="115">
        <f>ROUND(I107*$B204,1)</f>
        <v>146.69999999999999</v>
      </c>
      <c r="J109" s="115">
        <f>ROUND(J107*$B204,1)</f>
        <v>185.7</v>
      </c>
      <c r="L109" s="8" t="s">
        <v>1190</v>
      </c>
      <c r="M109" s="17">
        <f>SUM(J97,J109,J121,J133,J145)</f>
        <v>1184.8999999999999</v>
      </c>
    </row>
    <row r="110" spans="1:13" ht="15">
      <c r="A110" s="25" t="s">
        <v>866</v>
      </c>
      <c r="B110" s="82">
        <f t="shared" ref="B110:G110" si="48">($B205*B108*$B190)</f>
        <v>1.6569999999999999E-4</v>
      </c>
      <c r="C110" s="82">
        <f t="shared" si="48"/>
        <v>2.5760000000000003E-4</v>
      </c>
      <c r="D110" s="82">
        <f t="shared" si="48"/>
        <v>1.816E-4</v>
      </c>
      <c r="E110" s="82">
        <f t="shared" si="48"/>
        <v>0</v>
      </c>
      <c r="F110" s="82">
        <f t="shared" si="48"/>
        <v>0</v>
      </c>
      <c r="G110" s="82">
        <f t="shared" si="48"/>
        <v>7.3099999999999988E-5</v>
      </c>
      <c r="H110" s="82">
        <f>($B205*H108*$B190)</f>
        <v>1.6234999999999999E-3</v>
      </c>
      <c r="I110" s="82">
        <f>($B205*I108*$B190)</f>
        <v>1.5869E-3</v>
      </c>
      <c r="J110" s="82">
        <f>($B205*J108*$B190)</f>
        <v>2.0082999999999998E-3</v>
      </c>
      <c r="L110" s="8" t="s">
        <v>1191</v>
      </c>
      <c r="M110" s="7">
        <f>SUM(J100,J112,J124,J136,J148)</f>
        <v>4.9676844000000001E-3</v>
      </c>
    </row>
    <row r="111" spans="1:13" ht="15">
      <c r="A111" s="83" t="s">
        <v>188</v>
      </c>
      <c r="B111" s="124">
        <f t="shared" ref="B111:G111" si="49">B108*$B205*$B190*$B192</f>
        <v>3.4796999999999996E-3</v>
      </c>
      <c r="C111" s="124">
        <f t="shared" si="49"/>
        <v>5.4096000000000005E-3</v>
      </c>
      <c r="D111" s="124">
        <f t="shared" si="49"/>
        <v>3.8135999999999999E-3</v>
      </c>
      <c r="E111" s="124">
        <f t="shared" si="49"/>
        <v>0</v>
      </c>
      <c r="F111" s="124">
        <f t="shared" si="49"/>
        <v>0</v>
      </c>
      <c r="G111" s="124">
        <f t="shared" si="49"/>
        <v>1.5350999999999997E-3</v>
      </c>
      <c r="H111" s="124">
        <f>H108*$B205*$B190*$B192</f>
        <v>3.4093499999999999E-2</v>
      </c>
      <c r="I111" s="124">
        <f>I108*$B205*$B190*$B192</f>
        <v>3.3324899999999998E-2</v>
      </c>
      <c r="J111" s="124">
        <f>J108*$B205*$B190*$B192</f>
        <v>4.2174299999999998E-2</v>
      </c>
      <c r="L111" s="8" t="s">
        <v>1192</v>
      </c>
      <c r="M111" s="7">
        <f>SUM(J98,J110,J122,J134,J146)</f>
        <v>2.1295244000000001E-2</v>
      </c>
    </row>
    <row r="112" spans="1:13" ht="15">
      <c r="A112" s="25" t="s">
        <v>859</v>
      </c>
      <c r="B112" s="82">
        <f t="shared" ref="B112:G112" si="50">($B206*B108*$B190)</f>
        <v>2.3197999999999996E-4</v>
      </c>
      <c r="C112" s="82">
        <f t="shared" si="50"/>
        <v>3.6063999999999996E-4</v>
      </c>
      <c r="D112" s="82">
        <f t="shared" si="50"/>
        <v>2.5423999999999998E-4</v>
      </c>
      <c r="E112" s="82">
        <f t="shared" si="50"/>
        <v>0</v>
      </c>
      <c r="F112" s="82">
        <f t="shared" si="50"/>
        <v>0</v>
      </c>
      <c r="G112" s="82">
        <f t="shared" si="50"/>
        <v>1.0233999999999999E-4</v>
      </c>
      <c r="H112" s="82">
        <f>($B206*H108*$B190)</f>
        <v>2.2728999999999996E-3</v>
      </c>
      <c r="I112" s="82">
        <f>($B206*I108*$B190)</f>
        <v>2.2216599999999999E-3</v>
      </c>
      <c r="J112" s="82">
        <f>($B206*J108*$B190)</f>
        <v>2.8116199999999999E-3</v>
      </c>
    </row>
    <row r="113" spans="1:10" ht="15">
      <c r="A113" s="83" t="s">
        <v>190</v>
      </c>
      <c r="B113" s="124">
        <f t="shared" ref="B113:G113" si="51">B108*$B206*$B190*$B193</f>
        <v>7.1913799999999986E-2</v>
      </c>
      <c r="C113" s="124">
        <f t="shared" si="51"/>
        <v>0.11179839999999999</v>
      </c>
      <c r="D113" s="124">
        <f t="shared" si="51"/>
        <v>7.8814399999999993E-2</v>
      </c>
      <c r="E113" s="124">
        <f t="shared" si="51"/>
        <v>0</v>
      </c>
      <c r="F113" s="124">
        <f t="shared" si="51"/>
        <v>0</v>
      </c>
      <c r="G113" s="124">
        <f t="shared" si="51"/>
        <v>3.1725399999999994E-2</v>
      </c>
      <c r="H113" s="124">
        <f>H108*$B206*$B190*$B193</f>
        <v>0.70459899999999986</v>
      </c>
      <c r="I113" s="124">
        <f>I108*$B206*$B190*$B193</f>
        <v>0.68871459999999995</v>
      </c>
      <c r="J113" s="124">
        <f>J108*$B206*$B190*$B193</f>
        <v>0.87160219999999999</v>
      </c>
    </row>
    <row r="114" spans="1:10">
      <c r="A114" s="470" t="s">
        <v>584</v>
      </c>
      <c r="B114" s="472">
        <f t="shared" ref="B114:G114" si="52">ROUND(B109+B111+B113,1)</f>
        <v>15.4</v>
      </c>
      <c r="C114" s="472">
        <f t="shared" si="52"/>
        <v>23.9</v>
      </c>
      <c r="D114" s="472">
        <f t="shared" si="52"/>
        <v>16.899999999999999</v>
      </c>
      <c r="E114" s="472">
        <f t="shared" si="52"/>
        <v>0</v>
      </c>
      <c r="F114" s="472">
        <f t="shared" si="52"/>
        <v>0</v>
      </c>
      <c r="G114" s="472">
        <f t="shared" si="52"/>
        <v>6.8</v>
      </c>
      <c r="H114" s="472">
        <f>ROUND(H109+H111+H113,1)</f>
        <v>150.80000000000001</v>
      </c>
      <c r="I114" s="472">
        <f>ROUND(I109+I111+I113,1)</f>
        <v>147.4</v>
      </c>
      <c r="J114" s="472">
        <f>ROUND(J109+J111+J113,1)</f>
        <v>186.6</v>
      </c>
    </row>
    <row r="115" spans="1:10">
      <c r="A115" s="10"/>
      <c r="E115" s="70"/>
      <c r="F115" s="70"/>
    </row>
    <row r="116" spans="1:10" ht="16">
      <c r="A116" s="55" t="s">
        <v>150</v>
      </c>
      <c r="E116" s="70"/>
      <c r="F116" s="70"/>
    </row>
    <row r="117" spans="1:10" s="24" customFormat="1">
      <c r="A117" s="10"/>
      <c r="B117"/>
      <c r="C117"/>
      <c r="D117"/>
      <c r="E117" s="73"/>
      <c r="F117" s="73"/>
      <c r="G117"/>
    </row>
    <row r="118" spans="1:10" s="24" customFormat="1">
      <c r="A118" s="6" t="s">
        <v>628</v>
      </c>
      <c r="B118" s="679" t="s">
        <v>310</v>
      </c>
      <c r="C118" s="679" t="s">
        <v>339</v>
      </c>
      <c r="D118" s="679" t="s">
        <v>731</v>
      </c>
      <c r="E118" s="680" t="s">
        <v>24</v>
      </c>
      <c r="F118" s="680" t="s">
        <v>103</v>
      </c>
      <c r="G118" s="680" t="s">
        <v>970</v>
      </c>
      <c r="H118" s="681" t="s">
        <v>955</v>
      </c>
      <c r="I118" s="681" t="s">
        <v>1123</v>
      </c>
      <c r="J118" s="681" t="s">
        <v>1154</v>
      </c>
    </row>
    <row r="119" spans="1:10" s="24" customFormat="1">
      <c r="A119" s="50" t="s">
        <v>465</v>
      </c>
      <c r="B119" s="51">
        <f t="shared" ref="B119:G119" si="53">B69</f>
        <v>10223.2018744</v>
      </c>
      <c r="C119" s="51">
        <f t="shared" si="53"/>
        <v>17075.880096000001</v>
      </c>
      <c r="D119" s="51">
        <f t="shared" si="53"/>
        <v>11055.981349663998</v>
      </c>
      <c r="E119" s="51">
        <f t="shared" si="53"/>
        <v>44325.35</v>
      </c>
      <c r="F119" s="51">
        <f t="shared" si="53"/>
        <v>0</v>
      </c>
      <c r="G119" s="51">
        <f t="shared" si="53"/>
        <v>6371.1989999999996</v>
      </c>
      <c r="H119" s="51" t="e">
        <f>H69</f>
        <v>#VALUE!</v>
      </c>
      <c r="I119" s="51">
        <f>I69</f>
        <v>236871.36474048003</v>
      </c>
      <c r="J119" s="51">
        <f>J69</f>
        <v>222110.59</v>
      </c>
    </row>
    <row r="120" spans="1:10" s="24" customFormat="1">
      <c r="A120" s="71" t="s">
        <v>285</v>
      </c>
      <c r="B120" s="123">
        <f t="shared" ref="B120:G120" si="54">ROUND(B119*$B188,1)</f>
        <v>34.9</v>
      </c>
      <c r="C120" s="123">
        <f t="shared" si="54"/>
        <v>58.3</v>
      </c>
      <c r="D120" s="123">
        <f t="shared" si="54"/>
        <v>37.700000000000003</v>
      </c>
      <c r="E120" s="123">
        <f t="shared" si="54"/>
        <v>151.19999999999999</v>
      </c>
      <c r="F120" s="123">
        <f t="shared" si="54"/>
        <v>0</v>
      </c>
      <c r="G120" s="123">
        <f t="shared" si="54"/>
        <v>21.7</v>
      </c>
      <c r="H120" s="123" t="e">
        <f>ROUND(H119*$B188,1)</f>
        <v>#VALUE!</v>
      </c>
      <c r="I120" s="123">
        <f>ROUND(I119*$B188,1)</f>
        <v>808.2</v>
      </c>
      <c r="J120" s="123">
        <f>ROUND(J119*$B188,1)</f>
        <v>757.9</v>
      </c>
    </row>
    <row r="121" spans="1:10" s="24" customFormat="1" ht="15">
      <c r="A121" s="83" t="s">
        <v>173</v>
      </c>
      <c r="B121" s="115">
        <f t="shared" ref="B121:G121" si="55">ROUND(B119*$B212,1)</f>
        <v>2.5</v>
      </c>
      <c r="C121" s="115">
        <f t="shared" si="55"/>
        <v>4.2</v>
      </c>
      <c r="D121" s="115">
        <f t="shared" si="55"/>
        <v>2.7</v>
      </c>
      <c r="E121" s="115">
        <f t="shared" si="55"/>
        <v>10.9</v>
      </c>
      <c r="F121" s="115">
        <f t="shared" si="55"/>
        <v>0</v>
      </c>
      <c r="G121" s="115">
        <f t="shared" si="55"/>
        <v>1.6</v>
      </c>
      <c r="H121" s="115" t="e">
        <f>ROUND(H119*$B212,1)</f>
        <v>#VALUE!</v>
      </c>
      <c r="I121" s="115">
        <f>ROUND(I119*$B212,1)</f>
        <v>58.5</v>
      </c>
      <c r="J121" s="115">
        <f>ROUND(J119*$B212,1)</f>
        <v>54.8</v>
      </c>
    </row>
    <row r="122" spans="1:10" s="24" customFormat="1" ht="15">
      <c r="A122" s="25" t="s">
        <v>866</v>
      </c>
      <c r="B122" s="82">
        <f t="shared" ref="B122:G122" si="56">($B213*B120*$B190)</f>
        <v>1.0504899999999999E-4</v>
      </c>
      <c r="C122" s="82">
        <f t="shared" si="56"/>
        <v>1.7548299999999996E-4</v>
      </c>
      <c r="D122" s="82">
        <f t="shared" si="56"/>
        <v>1.13477E-4</v>
      </c>
      <c r="E122" s="82">
        <f t="shared" si="56"/>
        <v>4.5511199999999987E-4</v>
      </c>
      <c r="F122" s="82">
        <f t="shared" si="56"/>
        <v>0</v>
      </c>
      <c r="G122" s="82">
        <f t="shared" si="56"/>
        <v>6.5316999999999985E-5</v>
      </c>
      <c r="H122" s="82" t="e">
        <f>($B213*H120*$B190)</f>
        <v>#VALUE!</v>
      </c>
      <c r="I122" s="82">
        <f>($B213*I120*$B190)</f>
        <v>2.4326819999999998E-3</v>
      </c>
      <c r="J122" s="82">
        <f>($B213*J120*$B190)</f>
        <v>2.2812789999999998E-3</v>
      </c>
    </row>
    <row r="123" spans="1:10" s="24" customFormat="1" ht="15">
      <c r="A123" s="83" t="s">
        <v>188</v>
      </c>
      <c r="B123" s="124">
        <f t="shared" ref="B123:G123" si="57">B120*$B213*$B190*$B192</f>
        <v>2.206029E-3</v>
      </c>
      <c r="C123" s="124">
        <f t="shared" si="57"/>
        <v>3.6851429999999992E-3</v>
      </c>
      <c r="D123" s="124">
        <f t="shared" si="57"/>
        <v>2.3830169999999999E-3</v>
      </c>
      <c r="E123" s="124">
        <f t="shared" si="57"/>
        <v>9.5573519999999964E-3</v>
      </c>
      <c r="F123" s="124">
        <f t="shared" si="57"/>
        <v>0</v>
      </c>
      <c r="G123" s="124">
        <f t="shared" si="57"/>
        <v>1.3716569999999997E-3</v>
      </c>
      <c r="H123" s="124" t="e">
        <f>H120*$B213*$B190*$B192</f>
        <v>#VALUE!</v>
      </c>
      <c r="I123" s="124">
        <f>I120*$B213*$B190*$B192</f>
        <v>5.1086321999999997E-2</v>
      </c>
      <c r="J123" s="124">
        <f>J120*$B213*$B190*$B192</f>
        <v>4.7906858999999996E-2</v>
      </c>
    </row>
    <row r="124" spans="1:10" ht="15">
      <c r="A124" s="25" t="s">
        <v>859</v>
      </c>
      <c r="B124" s="82">
        <f t="shared" ref="B124:G124" si="58">($B214*B120*$B190)</f>
        <v>2.0974899999999998E-5</v>
      </c>
      <c r="C124" s="82">
        <f t="shared" si="58"/>
        <v>3.50383E-5</v>
      </c>
      <c r="D124" s="82">
        <f t="shared" si="58"/>
        <v>2.2657700000000002E-5</v>
      </c>
      <c r="E124" s="82">
        <f t="shared" si="58"/>
        <v>9.0871199999999978E-5</v>
      </c>
      <c r="F124" s="82">
        <f t="shared" si="58"/>
        <v>0</v>
      </c>
      <c r="G124" s="82">
        <f t="shared" si="58"/>
        <v>1.3041699999999997E-5</v>
      </c>
      <c r="H124" s="82" t="e">
        <f>($B214*H120*$B190)</f>
        <v>#VALUE!</v>
      </c>
      <c r="I124" s="82">
        <f>($B214*I120*$B190)</f>
        <v>4.8572820000000001E-4</v>
      </c>
      <c r="J124" s="82">
        <f>($B214*J120*$B190)</f>
        <v>4.5549789999999995E-4</v>
      </c>
    </row>
    <row r="125" spans="1:10" ht="15">
      <c r="A125" s="83" t="s">
        <v>190</v>
      </c>
      <c r="B125" s="124">
        <f t="shared" ref="B125:G125" si="59">B120*$B214*$B190*$B193</f>
        <v>6.5022189999999992E-3</v>
      </c>
      <c r="C125" s="124">
        <f t="shared" si="59"/>
        <v>1.0861872999999999E-2</v>
      </c>
      <c r="D125" s="124">
        <f t="shared" si="59"/>
        <v>7.0238870000000004E-3</v>
      </c>
      <c r="E125" s="124">
        <f t="shared" si="59"/>
        <v>2.8170071999999994E-2</v>
      </c>
      <c r="F125" s="124">
        <f t="shared" si="59"/>
        <v>0</v>
      </c>
      <c r="G125" s="124">
        <f t="shared" si="59"/>
        <v>4.0429269999999991E-3</v>
      </c>
      <c r="H125" s="124" t="e">
        <f>H120*$B214*$B190*$B193</f>
        <v>#VALUE!</v>
      </c>
      <c r="I125" s="124">
        <f>I120*$B214*$B190*$B193</f>
        <v>0.15057574200000001</v>
      </c>
      <c r="J125" s="124">
        <f>J120*$B214*$B190*$B193</f>
        <v>0.14120434899999998</v>
      </c>
    </row>
    <row r="126" spans="1:10">
      <c r="A126" s="483" t="s">
        <v>367</v>
      </c>
      <c r="B126" s="484">
        <f t="shared" ref="B126:G126" si="60">ROUND(B121+B123+B125,1)</f>
        <v>2.5</v>
      </c>
      <c r="C126" s="484">
        <f t="shared" si="60"/>
        <v>4.2</v>
      </c>
      <c r="D126" s="484">
        <f t="shared" si="60"/>
        <v>2.7</v>
      </c>
      <c r="E126" s="484">
        <f t="shared" si="60"/>
        <v>10.9</v>
      </c>
      <c r="F126" s="484">
        <f t="shared" si="60"/>
        <v>0</v>
      </c>
      <c r="G126" s="484">
        <f t="shared" si="60"/>
        <v>1.6</v>
      </c>
      <c r="H126" s="484" t="e">
        <f>ROUND(H121+H123+H125,1)</f>
        <v>#VALUE!</v>
      </c>
      <c r="I126" s="484">
        <f>ROUND(I121+I123+I125,1)</f>
        <v>58.7</v>
      </c>
      <c r="J126" s="484">
        <f>ROUND(J121+J123+J125,1)</f>
        <v>55</v>
      </c>
    </row>
    <row r="127" spans="1:10">
      <c r="A127" s="10"/>
      <c r="B127" s="18"/>
      <c r="E127" s="29"/>
      <c r="F127" s="29"/>
    </row>
    <row r="128" spans="1:10" ht="16">
      <c r="A128" s="55" t="s">
        <v>151</v>
      </c>
      <c r="E128" s="29"/>
      <c r="F128" s="29"/>
    </row>
    <row r="129" spans="1:10" s="24" customFormat="1">
      <c r="A129" s="10"/>
      <c r="B129"/>
      <c r="C129"/>
      <c r="D129"/>
      <c r="E129" s="73"/>
      <c r="F129" s="73"/>
      <c r="G129"/>
    </row>
    <row r="130" spans="1:10" s="24" customFormat="1">
      <c r="A130" s="6" t="s">
        <v>628</v>
      </c>
      <c r="B130" s="679" t="s">
        <v>310</v>
      </c>
      <c r="C130" s="679" t="s">
        <v>339</v>
      </c>
      <c r="D130" s="679" t="s">
        <v>731</v>
      </c>
      <c r="E130" s="680" t="s">
        <v>24</v>
      </c>
      <c r="F130" s="680" t="s">
        <v>103</v>
      </c>
      <c r="G130" s="680" t="s">
        <v>970</v>
      </c>
      <c r="H130" s="681" t="s">
        <v>955</v>
      </c>
      <c r="I130" s="681" t="s">
        <v>1123</v>
      </c>
      <c r="J130" s="681" t="s">
        <v>1154</v>
      </c>
    </row>
    <row r="131" spans="1:10">
      <c r="A131" s="50" t="s">
        <v>465</v>
      </c>
      <c r="B131" s="51">
        <f t="shared" ref="B131:G131" si="61">B70</f>
        <v>63485.566445999997</v>
      </c>
      <c r="C131" s="51">
        <f t="shared" si="61"/>
        <v>129287.23869600001</v>
      </c>
      <c r="D131" s="51">
        <f t="shared" si="61"/>
        <v>76920.855524927989</v>
      </c>
      <c r="E131" s="51">
        <f t="shared" si="61"/>
        <v>0</v>
      </c>
      <c r="F131" s="51">
        <f t="shared" si="61"/>
        <v>22004.233</v>
      </c>
      <c r="G131" s="51">
        <f t="shared" si="61"/>
        <v>14866.131000000003</v>
      </c>
      <c r="H131" s="51">
        <f>H70</f>
        <v>19411.378199999999</v>
      </c>
      <c r="I131" s="51">
        <f>I70</f>
        <v>18974.4012</v>
      </c>
      <c r="J131" s="51">
        <f>J70</f>
        <v>0</v>
      </c>
    </row>
    <row r="132" spans="1:10">
      <c r="A132" s="71" t="s">
        <v>285</v>
      </c>
      <c r="B132" s="123">
        <f t="shared" ref="B132:G132" si="62">ROUND(B131*$B188,1)</f>
        <v>216.6</v>
      </c>
      <c r="C132" s="123">
        <f t="shared" si="62"/>
        <v>441.1</v>
      </c>
      <c r="D132" s="123">
        <f t="shared" si="62"/>
        <v>262.5</v>
      </c>
      <c r="E132" s="123">
        <f t="shared" si="62"/>
        <v>0</v>
      </c>
      <c r="F132" s="123">
        <f t="shared" si="62"/>
        <v>75.099999999999994</v>
      </c>
      <c r="G132" s="123">
        <f t="shared" si="62"/>
        <v>50.7</v>
      </c>
      <c r="H132" s="123">
        <f>ROUND(H131*$B188,1)</f>
        <v>66.2</v>
      </c>
      <c r="I132" s="123">
        <f>ROUND(I131*$B188,1)</f>
        <v>64.7</v>
      </c>
      <c r="J132" s="123">
        <f>ROUND(J131*$B188,1)</f>
        <v>0</v>
      </c>
    </row>
    <row r="133" spans="1:10" ht="15">
      <c r="A133" s="83" t="s">
        <v>173</v>
      </c>
      <c r="B133" s="115">
        <f t="shared" ref="B133:G133" si="63">ROUND(B131*$B220,1)</f>
        <v>16.899999999999999</v>
      </c>
      <c r="C133" s="115">
        <f t="shared" si="63"/>
        <v>34.4</v>
      </c>
      <c r="D133" s="115">
        <f t="shared" si="63"/>
        <v>20.5</v>
      </c>
      <c r="E133" s="115">
        <f t="shared" si="63"/>
        <v>0</v>
      </c>
      <c r="F133" s="115">
        <f t="shared" si="63"/>
        <v>5.9</v>
      </c>
      <c r="G133" s="115">
        <f t="shared" si="63"/>
        <v>4</v>
      </c>
      <c r="H133" s="115">
        <f>ROUND(H131*$B220,1)</f>
        <v>5.2</v>
      </c>
      <c r="I133" s="115">
        <f>ROUND(I131*$B220,1)</f>
        <v>5</v>
      </c>
      <c r="J133" s="115">
        <f>ROUND(J131*$B220,1)</f>
        <v>0</v>
      </c>
    </row>
    <row r="134" spans="1:10" ht="15">
      <c r="A134" s="25" t="s">
        <v>866</v>
      </c>
      <c r="B134" s="82">
        <f t="shared" ref="B134:G134" si="64">($B221*B132*$B190)</f>
        <v>6.5196599999999992E-4</v>
      </c>
      <c r="C134" s="82">
        <f t="shared" si="64"/>
        <v>1.3277109999999999E-3</v>
      </c>
      <c r="D134" s="82">
        <f t="shared" si="64"/>
        <v>7.9012499999999992E-4</v>
      </c>
      <c r="E134" s="82">
        <f t="shared" si="64"/>
        <v>0</v>
      </c>
      <c r="F134" s="82">
        <f t="shared" si="64"/>
        <v>2.2605099999999995E-4</v>
      </c>
      <c r="G134" s="82">
        <f t="shared" si="64"/>
        <v>1.52607E-4</v>
      </c>
      <c r="H134" s="82">
        <f>($B221*H132*$B190)</f>
        <v>1.9926199999999999E-4</v>
      </c>
      <c r="I134" s="82">
        <f>($B221*I132*$B190)</f>
        <v>1.9474699999999997E-4</v>
      </c>
      <c r="J134" s="82">
        <f>($B221*J132*$B190)</f>
        <v>0</v>
      </c>
    </row>
    <row r="135" spans="1:10" ht="15">
      <c r="A135" s="90" t="s">
        <v>188</v>
      </c>
      <c r="B135" s="128">
        <f t="shared" ref="B135:G135" si="65">B132*$B221*$B190*$B192</f>
        <v>1.3691285999999999E-2</v>
      </c>
      <c r="C135" s="128">
        <f t="shared" si="65"/>
        <v>2.7881930999999999E-2</v>
      </c>
      <c r="D135" s="128">
        <f t="shared" si="65"/>
        <v>1.6592625E-2</v>
      </c>
      <c r="E135" s="128">
        <f t="shared" si="65"/>
        <v>0</v>
      </c>
      <c r="F135" s="128">
        <f t="shared" si="65"/>
        <v>4.7470709999999994E-3</v>
      </c>
      <c r="G135" s="128">
        <f t="shared" si="65"/>
        <v>3.204747E-3</v>
      </c>
      <c r="H135" s="128">
        <f>H132*$B221*$B190*$B192</f>
        <v>4.1845019999999997E-3</v>
      </c>
      <c r="I135" s="128">
        <f>I132*$B221*$B190*$B192</f>
        <v>4.089686999999999E-3</v>
      </c>
      <c r="J135" s="128">
        <f>J132*$B221*$B190*$B192</f>
        <v>0</v>
      </c>
    </row>
    <row r="136" spans="1:10" ht="15">
      <c r="A136" s="71" t="s">
        <v>859</v>
      </c>
      <c r="B136" s="129">
        <f t="shared" ref="B136:G136" si="66">($B222*B132*$B190)</f>
        <v>1.3017659999999998E-4</v>
      </c>
      <c r="C136" s="129">
        <f t="shared" si="66"/>
        <v>2.6510110000000004E-4</v>
      </c>
      <c r="D136" s="129">
        <f t="shared" si="66"/>
        <v>1.5776249999999999E-4</v>
      </c>
      <c r="E136" s="129">
        <f t="shared" si="66"/>
        <v>0</v>
      </c>
      <c r="F136" s="129">
        <f t="shared" si="66"/>
        <v>4.5135099999999994E-5</v>
      </c>
      <c r="G136" s="129">
        <f t="shared" si="66"/>
        <v>3.0470699999999999E-5</v>
      </c>
      <c r="H136" s="129">
        <f>($B222*H132*$B190)</f>
        <v>3.9786200000000002E-5</v>
      </c>
      <c r="I136" s="129">
        <f>($B222*I132*$B190)</f>
        <v>3.8884699999999997E-5</v>
      </c>
      <c r="J136" s="129">
        <f>($B222*J132*$B190)</f>
        <v>0</v>
      </c>
    </row>
    <row r="137" spans="1:10" ht="15">
      <c r="A137" s="90" t="s">
        <v>190</v>
      </c>
      <c r="B137" s="128">
        <f t="shared" ref="B137:G137" si="67">B132*$B222*$B190*$B193</f>
        <v>4.0354745999999997E-2</v>
      </c>
      <c r="C137" s="128">
        <f t="shared" si="67"/>
        <v>8.2181341000000019E-2</v>
      </c>
      <c r="D137" s="128">
        <f t="shared" si="67"/>
        <v>4.8906374999999995E-2</v>
      </c>
      <c r="E137" s="128">
        <f t="shared" si="67"/>
        <v>0</v>
      </c>
      <c r="F137" s="128">
        <f t="shared" si="67"/>
        <v>1.3991880999999998E-2</v>
      </c>
      <c r="G137" s="128">
        <f t="shared" si="67"/>
        <v>9.4459169999999999E-3</v>
      </c>
      <c r="H137" s="128">
        <f>H132*$B222*$B190*$B193</f>
        <v>1.2333722E-2</v>
      </c>
      <c r="I137" s="128">
        <f>I132*$B222*$B190*$B193</f>
        <v>1.2054256999999999E-2</v>
      </c>
      <c r="J137" s="128">
        <f>J132*$B222*$B190*$B193</f>
        <v>0</v>
      </c>
    </row>
    <row r="138" spans="1:10">
      <c r="A138" s="470" t="s">
        <v>361</v>
      </c>
      <c r="B138" s="472">
        <f t="shared" ref="B138:G138" si="68">ROUND(B133+B135+B137,1)</f>
        <v>17</v>
      </c>
      <c r="C138" s="472">
        <f t="shared" si="68"/>
        <v>34.5</v>
      </c>
      <c r="D138" s="472">
        <f t="shared" si="68"/>
        <v>20.6</v>
      </c>
      <c r="E138" s="472">
        <f t="shared" si="68"/>
        <v>0</v>
      </c>
      <c r="F138" s="472">
        <f t="shared" si="68"/>
        <v>5.9</v>
      </c>
      <c r="G138" s="472">
        <f t="shared" si="68"/>
        <v>4</v>
      </c>
      <c r="H138" s="472">
        <f>ROUND(H133+H135+H137,1)</f>
        <v>5.2</v>
      </c>
      <c r="I138" s="472">
        <f>ROUND(I133+I135+I137,1)</f>
        <v>5</v>
      </c>
      <c r="J138" s="472">
        <f>ROUND(J133+J135+J137,1)</f>
        <v>0</v>
      </c>
    </row>
    <row r="139" spans="1:10">
      <c r="E139" s="70"/>
      <c r="F139" s="70"/>
    </row>
    <row r="140" spans="1:10" ht="16">
      <c r="A140" s="55" t="s">
        <v>15</v>
      </c>
      <c r="E140" s="128"/>
      <c r="F140" s="128"/>
    </row>
    <row r="141" spans="1:10" s="24" customFormat="1">
      <c r="A141" s="10"/>
      <c r="B141"/>
      <c r="C141"/>
      <c r="D141"/>
      <c r="E141" s="73"/>
      <c r="F141" s="73"/>
      <c r="G141"/>
    </row>
    <row r="142" spans="1:10" s="24" customFormat="1">
      <c r="A142" s="6" t="s">
        <v>628</v>
      </c>
      <c r="B142" s="679" t="s">
        <v>310</v>
      </c>
      <c r="C142" s="679" t="s">
        <v>339</v>
      </c>
      <c r="D142" s="679" t="s">
        <v>731</v>
      </c>
      <c r="E142" s="680" t="s">
        <v>24</v>
      </c>
      <c r="F142" s="680" t="s">
        <v>103</v>
      </c>
      <c r="G142" s="680" t="s">
        <v>970</v>
      </c>
      <c r="H142" s="681" t="s">
        <v>955</v>
      </c>
      <c r="I142" s="681" t="s">
        <v>1123</v>
      </c>
      <c r="J142" s="681" t="s">
        <v>1154</v>
      </c>
    </row>
    <row r="143" spans="1:10">
      <c r="A143" s="50" t="s">
        <v>495</v>
      </c>
      <c r="B143" s="51">
        <f t="shared" ref="B143:G143" si="69">B71</f>
        <v>1384037.0679251999</v>
      </c>
      <c r="C143" s="51">
        <f t="shared" si="69"/>
        <v>2120179.0240223999</v>
      </c>
      <c r="D143" s="51">
        <f t="shared" si="69"/>
        <v>2011923.125064224</v>
      </c>
      <c r="E143" s="51">
        <f t="shared" si="69"/>
        <v>398928.15</v>
      </c>
      <c r="F143" s="51">
        <f t="shared" si="69"/>
        <v>1210232.8149999999</v>
      </c>
      <c r="G143" s="51">
        <f t="shared" si="69"/>
        <v>955679.85</v>
      </c>
      <c r="H143" s="51">
        <f>H71</f>
        <v>21.568197999999999</v>
      </c>
      <c r="I143" s="51">
        <f>I71</f>
        <v>21.082667999999998</v>
      </c>
      <c r="J143" s="51">
        <f>J71</f>
        <v>0</v>
      </c>
    </row>
    <row r="144" spans="1:10">
      <c r="A144" s="71" t="s">
        <v>285</v>
      </c>
      <c r="B144" s="123">
        <f t="shared" ref="B144:G144" si="70">ROUND(B143*$B188,1)</f>
        <v>4722.5</v>
      </c>
      <c r="C144" s="123">
        <f t="shared" si="70"/>
        <v>7234.3</v>
      </c>
      <c r="D144" s="123">
        <f t="shared" si="70"/>
        <v>6864.9</v>
      </c>
      <c r="E144" s="123">
        <f t="shared" si="70"/>
        <v>1361.2</v>
      </c>
      <c r="F144" s="123">
        <f t="shared" si="70"/>
        <v>4129.3999999999996</v>
      </c>
      <c r="G144" s="123">
        <f t="shared" si="70"/>
        <v>3260.9</v>
      </c>
      <c r="H144" s="123">
        <f>ROUND(H143*$B188,1)</f>
        <v>0.1</v>
      </c>
      <c r="I144" s="123">
        <f>ROUND(I143*$B188,1)</f>
        <v>0.1</v>
      </c>
      <c r="J144" s="123">
        <f>ROUND(J143*$B188,1)</f>
        <v>0</v>
      </c>
    </row>
    <row r="145" spans="1:10" ht="15">
      <c r="A145" s="83" t="s">
        <v>173</v>
      </c>
      <c r="B145" s="115">
        <f t="shared" ref="B145:G145" si="71">ROUND(B143*$B228,1)</f>
        <v>563.20000000000005</v>
      </c>
      <c r="C145" s="115">
        <f t="shared" si="71"/>
        <v>862.7</v>
      </c>
      <c r="D145" s="115">
        <f t="shared" si="71"/>
        <v>818.7</v>
      </c>
      <c r="E145" s="115">
        <f t="shared" si="71"/>
        <v>162.30000000000001</v>
      </c>
      <c r="F145" s="115">
        <f t="shared" si="71"/>
        <v>492.5</v>
      </c>
      <c r="G145" s="115">
        <f t="shared" si="71"/>
        <v>388.9</v>
      </c>
      <c r="H145" s="115">
        <f>ROUND(H143*$B228,1)</f>
        <v>0</v>
      </c>
      <c r="I145" s="115">
        <f>ROUND(I143*$B228,1)</f>
        <v>0</v>
      </c>
      <c r="J145" s="115">
        <f>ROUND(J143*$B228,1)</f>
        <v>0</v>
      </c>
    </row>
    <row r="146" spans="1:10" ht="15">
      <c r="A146" s="25" t="s">
        <v>866</v>
      </c>
      <c r="B146" s="95">
        <f t="shared" ref="B146:G146" si="72">($B230*B144*$B191)</f>
        <v>0.16408409312324021</v>
      </c>
      <c r="C146" s="95">
        <f t="shared" si="72"/>
        <v>0.25135702591454884</v>
      </c>
      <c r="D146" s="95">
        <f t="shared" si="72"/>
        <v>0.23852215794213483</v>
      </c>
      <c r="E146" s="95">
        <f t="shared" si="72"/>
        <v>4.7295133416485891E-2</v>
      </c>
      <c r="F146" s="95">
        <f t="shared" si="72"/>
        <v>0.14347672930505201</v>
      </c>
      <c r="G146" s="95">
        <f t="shared" si="72"/>
        <v>0.11330054404776582</v>
      </c>
      <c r="H146" s="95">
        <f>($B230*H144*$B191)</f>
        <v>3.4745175886339912E-6</v>
      </c>
      <c r="I146" s="95">
        <f>($B230*I144*$B191)</f>
        <v>3.4745175886339912E-6</v>
      </c>
      <c r="J146" s="95">
        <f>($B230*J144*$B191)</f>
        <v>0</v>
      </c>
    </row>
    <row r="147" spans="1:10" ht="15">
      <c r="A147" s="83" t="s">
        <v>188</v>
      </c>
      <c r="B147" s="113">
        <f t="shared" ref="B147:G147" si="73">B144*$B230*$B191*$B192</f>
        <v>3.4457659555880444</v>
      </c>
      <c r="C147" s="113">
        <f t="shared" si="73"/>
        <v>5.2784975442055257</v>
      </c>
      <c r="D147" s="113">
        <f t="shared" si="73"/>
        <v>5.0089653167848311</v>
      </c>
      <c r="E147" s="113">
        <f t="shared" si="73"/>
        <v>0.99319780174620376</v>
      </c>
      <c r="F147" s="113">
        <f t="shared" si="73"/>
        <v>3.013011315406092</v>
      </c>
      <c r="G147" s="113">
        <f t="shared" si="73"/>
        <v>2.3793114250030825</v>
      </c>
      <c r="H147" s="113">
        <f>H144*$B230*$B191*$B192</f>
        <v>7.2964869361313815E-5</v>
      </c>
      <c r="I147" s="113">
        <f>I144*$B230*$B191*$B192</f>
        <v>7.2964869361313815E-5</v>
      </c>
      <c r="J147" s="113">
        <f>J144*$B230*$B191*$B192</f>
        <v>0</v>
      </c>
    </row>
    <row r="148" spans="1:10" ht="15">
      <c r="A148" s="25" t="s">
        <v>859</v>
      </c>
      <c r="B148" s="95">
        <f t="shared" ref="B148:G148" si="74">($B231*B144*$B191)</f>
        <v>3.4059230818009392E-2</v>
      </c>
      <c r="C148" s="95">
        <f t="shared" si="74"/>
        <v>5.2174630705500345E-2</v>
      </c>
      <c r="D148" s="95">
        <f t="shared" si="74"/>
        <v>4.9510474037597181E-2</v>
      </c>
      <c r="E148" s="95">
        <f t="shared" si="74"/>
        <v>9.8171360485917181E-3</v>
      </c>
      <c r="F148" s="95">
        <f t="shared" si="74"/>
        <v>2.978172318473012E-2</v>
      </c>
      <c r="G148" s="95">
        <f t="shared" si="74"/>
        <v>2.3517998046468362E-2</v>
      </c>
      <c r="H148" s="95">
        <f>($B231*H144*$B191)</f>
        <v>7.2121187544752568E-7</v>
      </c>
      <c r="I148" s="95">
        <f>($B231*I144*$B191)</f>
        <v>7.2121187544752568E-7</v>
      </c>
      <c r="J148" s="95">
        <f>($B231*J144*$B191)</f>
        <v>0</v>
      </c>
    </row>
    <row r="149" spans="1:10" ht="15">
      <c r="A149" s="10" t="s">
        <v>190</v>
      </c>
      <c r="B149" s="15">
        <f t="shared" ref="B149:G149" si="75">B144*$B231*$B191*$B193</f>
        <v>10.558361553582911</v>
      </c>
      <c r="C149" s="15">
        <f t="shared" si="75"/>
        <v>16.174135518705107</v>
      </c>
      <c r="D149" s="15">
        <f t="shared" si="75"/>
        <v>15.348246951655126</v>
      </c>
      <c r="E149" s="15">
        <f t="shared" si="75"/>
        <v>3.0433121750634324</v>
      </c>
      <c r="F149" s="15">
        <f t="shared" si="75"/>
        <v>9.2323341872663374</v>
      </c>
      <c r="G149" s="15">
        <f t="shared" si="75"/>
        <v>7.2905793944051922</v>
      </c>
      <c r="H149" s="15">
        <f>H144*$B231*$B191*$B193</f>
        <v>2.2357568138873295E-4</v>
      </c>
      <c r="I149" s="15">
        <f>I144*$B231*$B191*$B193</f>
        <v>2.2357568138873295E-4</v>
      </c>
      <c r="J149" s="15">
        <f>J144*$B231*$B191*$B193</f>
        <v>0</v>
      </c>
    </row>
    <row r="150" spans="1:10">
      <c r="A150" s="470" t="s">
        <v>187</v>
      </c>
      <c r="B150" s="472">
        <f t="shared" ref="B150:G150" si="76">ROUND(B145+B147+B149,1)</f>
        <v>577.20000000000005</v>
      </c>
      <c r="C150" s="472">
        <f t="shared" si="76"/>
        <v>884.2</v>
      </c>
      <c r="D150" s="472">
        <f t="shared" si="76"/>
        <v>839.1</v>
      </c>
      <c r="E150" s="472">
        <f t="shared" si="76"/>
        <v>166.3</v>
      </c>
      <c r="F150" s="472">
        <f t="shared" si="76"/>
        <v>504.7</v>
      </c>
      <c r="G150" s="472">
        <f t="shared" si="76"/>
        <v>398.6</v>
      </c>
      <c r="H150" s="472">
        <f>ROUND(H145+H147+H149,1)</f>
        <v>0</v>
      </c>
      <c r="I150" s="472">
        <f>ROUND(I145+I147+I149,1)</f>
        <v>0</v>
      </c>
      <c r="J150" s="472">
        <f>ROUND(J145+J147+J149,1)</f>
        <v>0</v>
      </c>
    </row>
    <row r="151" spans="1:10">
      <c r="E151" s="29"/>
      <c r="F151" s="29"/>
    </row>
    <row r="152" spans="1:10" ht="16">
      <c r="A152" s="55" t="s">
        <v>259</v>
      </c>
      <c r="E152" s="128"/>
      <c r="F152" s="128"/>
    </row>
    <row r="153" spans="1:10">
      <c r="A153" s="10"/>
      <c r="E153" s="73"/>
      <c r="F153" s="73"/>
    </row>
    <row r="154" spans="1:10">
      <c r="A154" s="6" t="s">
        <v>260</v>
      </c>
      <c r="B154" s="679" t="s">
        <v>310</v>
      </c>
      <c r="C154" s="679" t="s">
        <v>339</v>
      </c>
      <c r="D154" s="679" t="s">
        <v>731</v>
      </c>
      <c r="E154" s="680" t="s">
        <v>24</v>
      </c>
      <c r="F154" s="680" t="s">
        <v>103</v>
      </c>
      <c r="G154" s="680" t="s">
        <v>970</v>
      </c>
      <c r="H154" s="680" t="s">
        <v>955</v>
      </c>
      <c r="I154" s="680" t="s">
        <v>1123</v>
      </c>
      <c r="J154" s="680" t="s">
        <v>1154</v>
      </c>
    </row>
    <row r="155" spans="1:10">
      <c r="A155" s="47" t="s">
        <v>354</v>
      </c>
      <c r="B155" s="38">
        <v>0</v>
      </c>
      <c r="C155" s="38">
        <v>0</v>
      </c>
      <c r="D155" s="38">
        <v>0</v>
      </c>
      <c r="E155" s="38">
        <v>0</v>
      </c>
      <c r="F155" s="38">
        <v>0</v>
      </c>
      <c r="G155" s="38">
        <v>0</v>
      </c>
      <c r="H155" s="38">
        <v>0</v>
      </c>
      <c r="I155" s="38">
        <v>0</v>
      </c>
      <c r="J155" s="38">
        <v>0</v>
      </c>
    </row>
    <row r="156" spans="1:10">
      <c r="A156" s="47" t="s">
        <v>548</v>
      </c>
      <c r="B156" s="38">
        <v>0</v>
      </c>
      <c r="C156" s="38">
        <v>0</v>
      </c>
      <c r="D156" s="38">
        <v>0</v>
      </c>
      <c r="E156" s="38">
        <v>0</v>
      </c>
      <c r="F156" s="38">
        <v>0</v>
      </c>
      <c r="G156" s="38">
        <v>0</v>
      </c>
      <c r="H156" s="38">
        <v>0</v>
      </c>
      <c r="I156" s="38">
        <v>0</v>
      </c>
      <c r="J156" s="38">
        <v>0</v>
      </c>
    </row>
    <row r="157" spans="1:10">
      <c r="A157" s="47" t="s">
        <v>547</v>
      </c>
      <c r="B157" s="38">
        <v>0</v>
      </c>
      <c r="C157" s="38">
        <v>0</v>
      </c>
      <c r="D157" s="38">
        <v>0</v>
      </c>
      <c r="E157" s="38">
        <v>0</v>
      </c>
      <c r="F157" s="38">
        <v>0</v>
      </c>
      <c r="G157" s="38">
        <v>0</v>
      </c>
      <c r="H157" s="38">
        <v>0</v>
      </c>
      <c r="I157" s="38">
        <v>0</v>
      </c>
      <c r="J157" s="38">
        <v>0</v>
      </c>
    </row>
    <row r="158" spans="1:10" ht="15">
      <c r="A158" s="47" t="s">
        <v>535</v>
      </c>
      <c r="B158" s="38">
        <v>0</v>
      </c>
      <c r="C158" s="38">
        <v>0</v>
      </c>
      <c r="D158" s="38">
        <v>0</v>
      </c>
      <c r="E158" s="38">
        <v>0</v>
      </c>
      <c r="F158" s="38">
        <v>0</v>
      </c>
      <c r="G158" s="38">
        <v>0</v>
      </c>
      <c r="H158" s="38">
        <v>0</v>
      </c>
      <c r="I158" s="38">
        <v>0</v>
      </c>
      <c r="J158" s="38">
        <v>0</v>
      </c>
    </row>
    <row r="159" spans="1:10">
      <c r="A159" t="s">
        <v>233</v>
      </c>
      <c r="B159" s="38">
        <v>0</v>
      </c>
      <c r="C159" s="38">
        <v>0</v>
      </c>
      <c r="D159" s="38">
        <v>0</v>
      </c>
      <c r="E159" s="38">
        <v>0</v>
      </c>
      <c r="F159" s="38">
        <v>0</v>
      </c>
      <c r="G159" s="38">
        <v>0</v>
      </c>
      <c r="H159" s="38">
        <v>0</v>
      </c>
      <c r="I159" s="38">
        <v>0</v>
      </c>
      <c r="J159" s="38">
        <v>0</v>
      </c>
    </row>
    <row r="160" spans="1:10">
      <c r="A160" t="s">
        <v>328</v>
      </c>
      <c r="B160" s="38">
        <v>0</v>
      </c>
      <c r="C160" s="38">
        <v>0</v>
      </c>
      <c r="D160" s="38">
        <v>0</v>
      </c>
      <c r="E160" s="38">
        <v>0</v>
      </c>
      <c r="F160" s="38">
        <v>0</v>
      </c>
      <c r="G160" s="38">
        <v>0</v>
      </c>
      <c r="H160" s="38">
        <v>0</v>
      </c>
      <c r="I160" s="38">
        <v>0</v>
      </c>
      <c r="J160" s="38">
        <v>0</v>
      </c>
    </row>
    <row r="161" spans="1:10">
      <c r="A161" t="s">
        <v>329</v>
      </c>
      <c r="B161" s="38">
        <v>0</v>
      </c>
      <c r="C161" s="38">
        <v>0</v>
      </c>
      <c r="D161" s="38">
        <v>0</v>
      </c>
      <c r="E161" s="38">
        <v>0</v>
      </c>
      <c r="F161" s="38">
        <v>0</v>
      </c>
      <c r="G161" s="38">
        <v>0</v>
      </c>
      <c r="H161" s="38">
        <v>0</v>
      </c>
      <c r="I161" s="38">
        <v>0</v>
      </c>
      <c r="J161" s="38">
        <v>0</v>
      </c>
    </row>
    <row r="162" spans="1:10">
      <c r="A162" s="29" t="s">
        <v>330</v>
      </c>
      <c r="B162" s="44">
        <f t="shared" ref="B162:G162" si="77">B102</f>
        <v>22.7</v>
      </c>
      <c r="C162" s="44">
        <f t="shared" si="77"/>
        <v>33.5</v>
      </c>
      <c r="D162" s="44">
        <f t="shared" si="77"/>
        <v>25.3</v>
      </c>
      <c r="E162" s="44">
        <f t="shared" si="77"/>
        <v>0</v>
      </c>
      <c r="F162" s="44">
        <f t="shared" si="77"/>
        <v>0</v>
      </c>
      <c r="G162" s="44">
        <f t="shared" si="77"/>
        <v>25.2</v>
      </c>
      <c r="H162" s="44">
        <f>H102</f>
        <v>696.3</v>
      </c>
      <c r="I162" s="44">
        <f>I102</f>
        <v>680.5</v>
      </c>
      <c r="J162" s="44">
        <f>J102</f>
        <v>945.3</v>
      </c>
    </row>
    <row r="163" spans="1:10">
      <c r="A163" s="29" t="s">
        <v>331</v>
      </c>
      <c r="B163" s="44">
        <f t="shared" ref="B163:G163" si="78">B114</f>
        <v>15.4</v>
      </c>
      <c r="C163" s="44">
        <f t="shared" si="78"/>
        <v>23.9</v>
      </c>
      <c r="D163" s="44">
        <f t="shared" si="78"/>
        <v>16.899999999999999</v>
      </c>
      <c r="E163" s="44">
        <f t="shared" si="78"/>
        <v>0</v>
      </c>
      <c r="F163" s="44">
        <f t="shared" si="78"/>
        <v>0</v>
      </c>
      <c r="G163" s="44">
        <f t="shared" si="78"/>
        <v>6.8</v>
      </c>
      <c r="H163" s="44">
        <f>H114</f>
        <v>150.80000000000001</v>
      </c>
      <c r="I163" s="44">
        <f>I114</f>
        <v>147.4</v>
      </c>
      <c r="J163" s="44">
        <f>J114</f>
        <v>186.6</v>
      </c>
    </row>
    <row r="164" spans="1:10">
      <c r="A164" s="29" t="s">
        <v>150</v>
      </c>
      <c r="B164" s="44">
        <f t="shared" ref="B164:G164" si="79">B126</f>
        <v>2.5</v>
      </c>
      <c r="C164" s="44">
        <f t="shared" si="79"/>
        <v>4.2</v>
      </c>
      <c r="D164" s="44">
        <f t="shared" si="79"/>
        <v>2.7</v>
      </c>
      <c r="E164" s="44">
        <f t="shared" si="79"/>
        <v>10.9</v>
      </c>
      <c r="F164" s="44">
        <f t="shared" si="79"/>
        <v>0</v>
      </c>
      <c r="G164" s="44">
        <f t="shared" si="79"/>
        <v>1.6</v>
      </c>
      <c r="H164" s="44">
        <v>0.1</v>
      </c>
      <c r="I164" s="44">
        <f>I126</f>
        <v>58.7</v>
      </c>
      <c r="J164" s="44">
        <f>J126</f>
        <v>55</v>
      </c>
    </row>
    <row r="165" spans="1:10">
      <c r="A165" s="29" t="s">
        <v>151</v>
      </c>
      <c r="B165" s="44">
        <f t="shared" ref="B165:G165" si="80">B138</f>
        <v>17</v>
      </c>
      <c r="C165" s="44">
        <f t="shared" si="80"/>
        <v>34.5</v>
      </c>
      <c r="D165" s="44">
        <f t="shared" si="80"/>
        <v>20.6</v>
      </c>
      <c r="E165" s="44">
        <f t="shared" si="80"/>
        <v>0</v>
      </c>
      <c r="F165" s="44">
        <f t="shared" si="80"/>
        <v>5.9</v>
      </c>
      <c r="G165" s="44">
        <f t="shared" si="80"/>
        <v>4</v>
      </c>
      <c r="H165" s="44">
        <f>H138</f>
        <v>5.2</v>
      </c>
      <c r="I165" s="44">
        <f>I138</f>
        <v>5</v>
      </c>
      <c r="J165" s="44">
        <f>J138</f>
        <v>0</v>
      </c>
    </row>
    <row r="166" spans="1:10">
      <c r="A166" s="29" t="s">
        <v>99</v>
      </c>
      <c r="B166" s="44">
        <f t="shared" ref="B166:G166" si="81">B150</f>
        <v>577.20000000000005</v>
      </c>
      <c r="C166" s="44">
        <f t="shared" si="81"/>
        <v>884.2</v>
      </c>
      <c r="D166" s="44">
        <f t="shared" si="81"/>
        <v>839.1</v>
      </c>
      <c r="E166" s="44">
        <f t="shared" si="81"/>
        <v>166.3</v>
      </c>
      <c r="F166" s="44">
        <f t="shared" si="81"/>
        <v>504.7</v>
      </c>
      <c r="G166" s="44">
        <f t="shared" si="81"/>
        <v>398.6</v>
      </c>
      <c r="H166" s="44">
        <f>H150</f>
        <v>0</v>
      </c>
      <c r="I166" s="44">
        <f>I150</f>
        <v>0</v>
      </c>
      <c r="J166" s="44">
        <f>J150</f>
        <v>0</v>
      </c>
    </row>
    <row r="167" spans="1:10">
      <c r="A167" s="485" t="s">
        <v>241</v>
      </c>
      <c r="B167" s="486">
        <f t="shared" ref="B167:G167" si="82">SUM(B155:B166)</f>
        <v>634.80000000000007</v>
      </c>
      <c r="C167" s="486">
        <f t="shared" si="82"/>
        <v>980.30000000000007</v>
      </c>
      <c r="D167" s="486">
        <f t="shared" si="82"/>
        <v>904.6</v>
      </c>
      <c r="E167" s="486">
        <f t="shared" si="82"/>
        <v>177.20000000000002</v>
      </c>
      <c r="F167" s="486">
        <f t="shared" si="82"/>
        <v>510.59999999999997</v>
      </c>
      <c r="G167" s="486">
        <f t="shared" si="82"/>
        <v>436.20000000000005</v>
      </c>
      <c r="H167" s="486">
        <f>SUM(H155:H166)</f>
        <v>852.4</v>
      </c>
      <c r="I167" s="486">
        <f>SUM(I155:I166)</f>
        <v>891.6</v>
      </c>
      <c r="J167" s="486">
        <f>SUM(J155:J166)</f>
        <v>1186.8999999999999</v>
      </c>
    </row>
    <row r="168" spans="1:10">
      <c r="E168" s="29"/>
      <c r="F168" s="29"/>
    </row>
    <row r="169" spans="1:10">
      <c r="A169" s="6" t="s">
        <v>292</v>
      </c>
      <c r="B169" s="679" t="s">
        <v>310</v>
      </c>
      <c r="C169" s="679" t="s">
        <v>339</v>
      </c>
      <c r="D169" s="679" t="s">
        <v>731</v>
      </c>
      <c r="E169" s="680" t="s">
        <v>24</v>
      </c>
      <c r="F169" s="680" t="s">
        <v>103</v>
      </c>
      <c r="G169" s="680" t="s">
        <v>970</v>
      </c>
      <c r="H169" s="680" t="s">
        <v>955</v>
      </c>
      <c r="I169" s="680" t="s">
        <v>1123</v>
      </c>
      <c r="J169" s="680" t="s">
        <v>1154</v>
      </c>
    </row>
    <row r="170" spans="1:10">
      <c r="A170" s="47" t="s">
        <v>354</v>
      </c>
      <c r="B170" s="48">
        <v>0</v>
      </c>
      <c r="C170" s="48">
        <v>0</v>
      </c>
      <c r="D170" s="48">
        <v>0</v>
      </c>
      <c r="E170" s="48">
        <v>0</v>
      </c>
      <c r="F170" s="48">
        <v>0</v>
      </c>
      <c r="G170" s="48">
        <v>0</v>
      </c>
      <c r="H170" s="48">
        <v>0</v>
      </c>
      <c r="I170" s="48">
        <v>0</v>
      </c>
      <c r="J170" s="48">
        <v>0</v>
      </c>
    </row>
    <row r="171" spans="1:10">
      <c r="A171" s="47" t="s">
        <v>548</v>
      </c>
      <c r="B171" s="48">
        <v>0</v>
      </c>
      <c r="C171" s="48">
        <v>0</v>
      </c>
      <c r="D171" s="48">
        <v>0</v>
      </c>
      <c r="E171" s="48">
        <v>0</v>
      </c>
      <c r="F171" s="48">
        <v>0</v>
      </c>
      <c r="G171" s="48">
        <v>0</v>
      </c>
      <c r="H171" s="48">
        <v>0</v>
      </c>
      <c r="I171" s="48">
        <v>0</v>
      </c>
      <c r="J171" s="48">
        <v>0</v>
      </c>
    </row>
    <row r="172" spans="1:10">
      <c r="A172" s="47" t="s">
        <v>547</v>
      </c>
      <c r="B172" s="48">
        <v>0</v>
      </c>
      <c r="C172" s="48">
        <v>0</v>
      </c>
      <c r="D172" s="48">
        <v>0</v>
      </c>
      <c r="E172" s="48">
        <v>0</v>
      </c>
      <c r="F172" s="48">
        <v>0</v>
      </c>
      <c r="G172" s="48">
        <v>0</v>
      </c>
      <c r="H172" s="48">
        <v>0</v>
      </c>
      <c r="I172" s="48">
        <v>0</v>
      </c>
      <c r="J172" s="48">
        <v>0</v>
      </c>
    </row>
    <row r="173" spans="1:10" ht="15">
      <c r="A173" s="47" t="s">
        <v>535</v>
      </c>
      <c r="B173" s="48">
        <v>0</v>
      </c>
      <c r="C173" s="48">
        <v>0</v>
      </c>
      <c r="D173" s="48">
        <v>0</v>
      </c>
      <c r="E173" s="48">
        <v>0</v>
      </c>
      <c r="F173" s="48">
        <v>0</v>
      </c>
      <c r="G173" s="48">
        <v>0</v>
      </c>
      <c r="H173" s="48">
        <v>0</v>
      </c>
      <c r="I173" s="48">
        <v>0</v>
      </c>
      <c r="J173" s="48">
        <v>0</v>
      </c>
    </row>
    <row r="174" spans="1:10">
      <c r="A174" t="s">
        <v>233</v>
      </c>
      <c r="B174" s="48">
        <v>0</v>
      </c>
      <c r="C174" s="48">
        <v>0</v>
      </c>
      <c r="D174" s="48">
        <v>0</v>
      </c>
      <c r="E174" s="48">
        <v>0</v>
      </c>
      <c r="F174" s="48">
        <v>0</v>
      </c>
      <c r="G174" s="48">
        <v>0</v>
      </c>
      <c r="H174" s="48">
        <v>0</v>
      </c>
      <c r="I174" s="48">
        <v>0</v>
      </c>
      <c r="J174" s="48">
        <v>0</v>
      </c>
    </row>
    <row r="175" spans="1:10">
      <c r="A175" t="s">
        <v>328</v>
      </c>
      <c r="B175" s="48">
        <v>0</v>
      </c>
      <c r="C175" s="48">
        <v>0</v>
      </c>
      <c r="D175" s="48">
        <v>0</v>
      </c>
      <c r="E175" s="48">
        <v>0</v>
      </c>
      <c r="F175" s="48">
        <v>0</v>
      </c>
      <c r="G175" s="48">
        <v>0</v>
      </c>
      <c r="H175" s="48">
        <v>0</v>
      </c>
      <c r="I175" s="48">
        <v>0</v>
      </c>
      <c r="J175" s="48">
        <v>0</v>
      </c>
    </row>
    <row r="176" spans="1:10">
      <c r="A176" t="s">
        <v>329</v>
      </c>
      <c r="B176" s="48">
        <v>0</v>
      </c>
      <c r="C176" s="48">
        <v>0</v>
      </c>
      <c r="D176" s="48">
        <v>0</v>
      </c>
      <c r="E176" s="48">
        <v>0</v>
      </c>
      <c r="F176" s="48">
        <v>0</v>
      </c>
      <c r="G176" s="48">
        <v>0</v>
      </c>
      <c r="H176" s="48">
        <v>0</v>
      </c>
      <c r="I176" s="48">
        <v>0</v>
      </c>
      <c r="J176" s="48">
        <v>0</v>
      </c>
    </row>
    <row r="177" spans="1:10">
      <c r="A177" s="29" t="s">
        <v>330</v>
      </c>
      <c r="B177" s="58">
        <f t="shared" ref="B177:G177" si="83">B162/B167</f>
        <v>3.575929426591052E-2</v>
      </c>
      <c r="C177" s="58">
        <f t="shared" si="83"/>
        <v>3.4173212281954503E-2</v>
      </c>
      <c r="D177" s="58">
        <f t="shared" si="83"/>
        <v>2.7968162723855848E-2</v>
      </c>
      <c r="E177" s="58">
        <f t="shared" si="83"/>
        <v>0</v>
      </c>
      <c r="F177" s="58">
        <f t="shared" si="83"/>
        <v>0</v>
      </c>
      <c r="G177" s="58">
        <f t="shared" si="83"/>
        <v>5.7771664374140295E-2</v>
      </c>
      <c r="H177" s="58">
        <f>H162/H167</f>
        <v>0.81687001407789772</v>
      </c>
      <c r="I177" s="58">
        <f>I162/I167</f>
        <v>0.76323463436518613</v>
      </c>
      <c r="J177" s="58">
        <f>J162/J167</f>
        <v>0.79644451933608562</v>
      </c>
    </row>
    <row r="178" spans="1:10">
      <c r="A178" s="29" t="s">
        <v>331</v>
      </c>
      <c r="B178" s="58">
        <f t="shared" ref="B178:G178" si="84">B163/B167</f>
        <v>2.4259609325771894E-2</v>
      </c>
      <c r="C178" s="58">
        <f t="shared" si="84"/>
        <v>2.4380291747424256E-2</v>
      </c>
      <c r="D178" s="58">
        <f t="shared" si="84"/>
        <v>1.8682290515144813E-2</v>
      </c>
      <c r="E178" s="58">
        <f t="shared" si="84"/>
        <v>0</v>
      </c>
      <c r="F178" s="58">
        <f t="shared" si="84"/>
        <v>0</v>
      </c>
      <c r="G178" s="58">
        <f t="shared" si="84"/>
        <v>1.5589179275561667E-2</v>
      </c>
      <c r="H178" s="58">
        <f>H163/H167</f>
        <v>0.17691224777099954</v>
      </c>
      <c r="I178" s="58">
        <f>I163/I167</f>
        <v>0.16532077164647824</v>
      </c>
      <c r="J178" s="58">
        <f>J163/J167</f>
        <v>0.15721627769820543</v>
      </c>
    </row>
    <row r="179" spans="1:10">
      <c r="A179" s="29" t="s">
        <v>150</v>
      </c>
      <c r="B179" s="58">
        <f t="shared" ref="B179:G179" si="85">B164/B167</f>
        <v>3.9382482671707622E-3</v>
      </c>
      <c r="C179" s="58">
        <f t="shared" si="85"/>
        <v>4.2844027338569826E-3</v>
      </c>
      <c r="D179" s="58">
        <f t="shared" si="85"/>
        <v>2.9847446385142607E-3</v>
      </c>
      <c r="E179" s="58">
        <f t="shared" si="85"/>
        <v>6.1512415349887127E-2</v>
      </c>
      <c r="F179" s="58">
        <f t="shared" si="85"/>
        <v>0</v>
      </c>
      <c r="G179" s="58">
        <f t="shared" si="85"/>
        <v>3.6680421824850985E-3</v>
      </c>
      <c r="H179" s="58">
        <f>H164/H167</f>
        <v>1.1731581417175036E-4</v>
      </c>
      <c r="I179" s="58">
        <f>I164/I167</f>
        <v>6.5836698070883812E-2</v>
      </c>
      <c r="J179" s="58">
        <f>J164/J167</f>
        <v>4.6339202965708995E-2</v>
      </c>
    </row>
    <row r="180" spans="1:10">
      <c r="A180" s="29" t="s">
        <v>151</v>
      </c>
      <c r="B180" s="58">
        <f t="shared" ref="B180:G180" si="86">B165/B167</f>
        <v>2.6780088216761182E-2</v>
      </c>
      <c r="C180" s="58">
        <f t="shared" si="86"/>
        <v>3.5193308170968066E-2</v>
      </c>
      <c r="D180" s="58">
        <f t="shared" si="86"/>
        <v>2.2772496130886579E-2</v>
      </c>
      <c r="E180" s="58">
        <f t="shared" si="86"/>
        <v>0</v>
      </c>
      <c r="F180" s="58">
        <f t="shared" si="86"/>
        <v>1.1555033294163731E-2</v>
      </c>
      <c r="G180" s="58">
        <f t="shared" si="86"/>
        <v>9.170105456212746E-3</v>
      </c>
      <c r="H180" s="58">
        <f>H165/H167</f>
        <v>6.100422336931019E-3</v>
      </c>
      <c r="I180" s="58">
        <f>I165/I167</f>
        <v>5.6078959174517716E-3</v>
      </c>
      <c r="J180" s="58">
        <f>J165/J167</f>
        <v>0</v>
      </c>
    </row>
    <row r="181" spans="1:10">
      <c r="A181" s="29" t="s">
        <v>99</v>
      </c>
      <c r="B181" s="58">
        <f t="shared" ref="B181:G181" si="87">B166/B167</f>
        <v>0.90926275992438566</v>
      </c>
      <c r="C181" s="58">
        <f t="shared" si="87"/>
        <v>0.90196878506579614</v>
      </c>
      <c r="D181" s="58">
        <f t="shared" si="87"/>
        <v>0.92759230599159848</v>
      </c>
      <c r="E181" s="58">
        <f t="shared" si="87"/>
        <v>0.93848758465011284</v>
      </c>
      <c r="F181" s="58">
        <f t="shared" si="87"/>
        <v>0.98844496670583637</v>
      </c>
      <c r="G181" s="58">
        <f t="shared" si="87"/>
        <v>0.91380100871160019</v>
      </c>
      <c r="H181" s="58">
        <f>H166/H167</f>
        <v>0</v>
      </c>
      <c r="I181" s="58">
        <f>I166/I167</f>
        <v>0</v>
      </c>
      <c r="J181" s="58">
        <f>J166/J167</f>
        <v>0</v>
      </c>
    </row>
    <row r="182" spans="1:10">
      <c r="A182" s="45" t="s">
        <v>293</v>
      </c>
      <c r="B182" s="49">
        <f t="shared" ref="B182:G182" si="88">SUM(B170:B181)</f>
        <v>1</v>
      </c>
      <c r="C182" s="49">
        <f t="shared" si="88"/>
        <v>1</v>
      </c>
      <c r="D182" s="49">
        <f t="shared" si="88"/>
        <v>1</v>
      </c>
      <c r="E182" s="49">
        <f t="shared" si="88"/>
        <v>1</v>
      </c>
      <c r="F182" s="49">
        <f t="shared" si="88"/>
        <v>1</v>
      </c>
      <c r="G182" s="49">
        <f t="shared" si="88"/>
        <v>1</v>
      </c>
      <c r="H182" s="49">
        <f>SUM(H170:H181)</f>
        <v>1</v>
      </c>
      <c r="I182" s="49">
        <f>SUM(I170:I181)</f>
        <v>0.99999999999999989</v>
      </c>
      <c r="J182" s="49">
        <f>SUM(J170:J181)</f>
        <v>1</v>
      </c>
    </row>
    <row r="183" spans="1:10">
      <c r="J183" s="29"/>
    </row>
    <row r="184" spans="1:10">
      <c r="J184" s="29"/>
    </row>
    <row r="185" spans="1:10" ht="16">
      <c r="A185" s="120" t="s">
        <v>764</v>
      </c>
      <c r="B185" s="22"/>
      <c r="J185" s="29"/>
    </row>
    <row r="186" spans="1:10">
      <c r="A186" s="6" t="s">
        <v>511</v>
      </c>
      <c r="J186" s="29"/>
    </row>
    <row r="187" spans="1:10">
      <c r="A187" s="103" t="s">
        <v>765</v>
      </c>
      <c r="B187" s="56">
        <v>1E-3</v>
      </c>
      <c r="J187" s="29"/>
    </row>
    <row r="188" spans="1:10">
      <c r="A188" s="103" t="s">
        <v>132</v>
      </c>
      <c r="B188" s="52">
        <f>3412.1/1000000</f>
        <v>3.4120999999999999E-3</v>
      </c>
      <c r="J188" s="29"/>
    </row>
    <row r="189" spans="1:10">
      <c r="A189" s="104" t="s">
        <v>286</v>
      </c>
      <c r="B189" s="24">
        <v>1E-3</v>
      </c>
      <c r="J189" s="29"/>
    </row>
    <row r="190" spans="1:10" ht="15">
      <c r="A190" s="103" t="s">
        <v>719</v>
      </c>
      <c r="B190" s="13">
        <v>9.9999999999999995E-7</v>
      </c>
      <c r="J190" s="29"/>
    </row>
    <row r="191" spans="1:10">
      <c r="A191" s="104" t="s">
        <v>461</v>
      </c>
      <c r="B191" s="57">
        <f>1/2204.6226</f>
        <v>4.5359237449529909E-4</v>
      </c>
      <c r="J191" s="29"/>
    </row>
    <row r="192" spans="1:10" ht="15">
      <c r="A192" s="160" t="s">
        <v>876</v>
      </c>
      <c r="B192" s="152">
        <v>21</v>
      </c>
      <c r="J192" s="29"/>
    </row>
    <row r="193" spans="1:10" ht="15">
      <c r="A193" s="160" t="s">
        <v>56</v>
      </c>
      <c r="B193" s="152">
        <v>310</v>
      </c>
      <c r="J193" s="29"/>
    </row>
    <row r="194" spans="1:10">
      <c r="J194" s="29"/>
    </row>
    <row r="195" spans="1:10">
      <c r="A195" s="154" t="s">
        <v>291</v>
      </c>
      <c r="J195" s="29"/>
    </row>
    <row r="196" spans="1:10" ht="15">
      <c r="A196" s="10" t="s">
        <v>776</v>
      </c>
      <c r="B196" s="130">
        <f>($B188*$B199*$B200*$B201*$B189)</f>
        <v>1.8000950273059822E-4</v>
      </c>
      <c r="J196" s="29"/>
    </row>
    <row r="197" spans="1:10" ht="15">
      <c r="A197" s="160" t="s">
        <v>633</v>
      </c>
      <c r="B197" s="163">
        <v>0.95</v>
      </c>
      <c r="J197" s="29"/>
    </row>
    <row r="198" spans="1:10" ht="15">
      <c r="A198" s="160" t="s">
        <v>55</v>
      </c>
      <c r="B198" s="162">
        <v>9.5000000000000001E-2</v>
      </c>
      <c r="J198" s="29"/>
    </row>
    <row r="199" spans="1:10">
      <c r="A199" s="160" t="s">
        <v>430</v>
      </c>
      <c r="B199" s="152">
        <v>14.47</v>
      </c>
      <c r="J199" s="29"/>
    </row>
    <row r="200" spans="1:10">
      <c r="A200" s="160" t="s">
        <v>625</v>
      </c>
      <c r="B200" s="152">
        <v>0.995</v>
      </c>
      <c r="J200" s="29"/>
    </row>
    <row r="201" spans="1:10" ht="15">
      <c r="A201" s="160" t="s">
        <v>947</v>
      </c>
      <c r="B201" s="162">
        <f>((12.011+32)/12.011)</f>
        <v>3.6642244609108316</v>
      </c>
      <c r="J201" s="29"/>
    </row>
    <row r="202" spans="1:10">
      <c r="J202" s="29"/>
    </row>
    <row r="203" spans="1:10">
      <c r="A203" s="155" t="s">
        <v>356</v>
      </c>
      <c r="J203" s="29"/>
    </row>
    <row r="204" spans="1:10" ht="15">
      <c r="A204" s="10" t="s">
        <v>777</v>
      </c>
      <c r="B204" s="130">
        <f>($B188*$B207*$B208*$B209*$B189)</f>
        <v>3.1550689191339688E-4</v>
      </c>
      <c r="J204" s="29"/>
    </row>
    <row r="205" spans="1:10" ht="15">
      <c r="A205" s="156" t="s">
        <v>633</v>
      </c>
      <c r="B205" s="159">
        <v>1</v>
      </c>
      <c r="J205" s="29"/>
    </row>
    <row r="206" spans="1:10" ht="15">
      <c r="A206" s="160" t="s">
        <v>55</v>
      </c>
      <c r="B206" s="163">
        <v>1.4</v>
      </c>
      <c r="J206" s="29"/>
    </row>
    <row r="207" spans="1:10">
      <c r="A207" s="160" t="s">
        <v>430</v>
      </c>
      <c r="B207" s="152">
        <v>25.49</v>
      </c>
      <c r="J207" s="29"/>
    </row>
    <row r="208" spans="1:10">
      <c r="A208" s="160" t="s">
        <v>625</v>
      </c>
      <c r="B208" s="152">
        <v>0.99</v>
      </c>
      <c r="J208" s="29"/>
    </row>
    <row r="209" spans="1:10" ht="15">
      <c r="A209" s="160" t="s">
        <v>947</v>
      </c>
      <c r="B209" s="162">
        <f>((12.011+32)/12.011)</f>
        <v>3.6642244609108316</v>
      </c>
      <c r="J209" s="29"/>
    </row>
    <row r="210" spans="1:10">
      <c r="J210" s="29"/>
    </row>
    <row r="211" spans="1:10">
      <c r="A211" s="155" t="s">
        <v>14</v>
      </c>
      <c r="J211" s="29"/>
    </row>
    <row r="212" spans="1:10" ht="15">
      <c r="A212" s="10" t="s">
        <v>407</v>
      </c>
      <c r="B212" s="130">
        <f>($B188*$B215*$B216*$B217*$B189)</f>
        <v>2.4693458194085003E-4</v>
      </c>
      <c r="J212" s="29"/>
    </row>
    <row r="213" spans="1:10" ht="15">
      <c r="A213" s="160" t="s">
        <v>633</v>
      </c>
      <c r="B213" s="163">
        <v>3.01</v>
      </c>
      <c r="J213" s="29"/>
    </row>
    <row r="214" spans="1:10" ht="15">
      <c r="A214" s="156" t="s">
        <v>55</v>
      </c>
      <c r="B214" s="158">
        <v>0.60099999999999998</v>
      </c>
      <c r="J214" s="29"/>
    </row>
    <row r="215" spans="1:10">
      <c r="A215" s="160" t="s">
        <v>430</v>
      </c>
      <c r="B215" s="152">
        <v>19.95</v>
      </c>
      <c r="J215" s="29"/>
    </row>
    <row r="216" spans="1:10">
      <c r="A216" s="160" t="s">
        <v>625</v>
      </c>
      <c r="B216" s="152">
        <v>0.99</v>
      </c>
      <c r="J216" s="29"/>
    </row>
    <row r="217" spans="1:10" ht="15">
      <c r="A217" s="160" t="s">
        <v>947</v>
      </c>
      <c r="B217" s="162">
        <f>((12.011+32)/12.011)</f>
        <v>3.6642244609108316</v>
      </c>
      <c r="J217" s="29"/>
    </row>
    <row r="218" spans="1:10">
      <c r="J218" s="29"/>
    </row>
    <row r="219" spans="1:10">
      <c r="A219" s="155" t="s">
        <v>279</v>
      </c>
      <c r="J219" s="29"/>
    </row>
    <row r="220" spans="1:10" ht="15">
      <c r="A220" s="10" t="s">
        <v>822</v>
      </c>
      <c r="B220" s="130">
        <f>($B188*$B223*$B224*$B225*$B189)</f>
        <v>2.6599619879242442E-4</v>
      </c>
      <c r="J220" s="29"/>
    </row>
    <row r="221" spans="1:10" ht="15">
      <c r="A221" s="156" t="s">
        <v>633</v>
      </c>
      <c r="B221" s="159">
        <v>3.01</v>
      </c>
      <c r="J221" s="29"/>
    </row>
    <row r="222" spans="1:10" ht="15">
      <c r="A222" s="160" t="s">
        <v>55</v>
      </c>
      <c r="B222" s="162">
        <v>0.60099999999999998</v>
      </c>
      <c r="J222" s="29"/>
    </row>
    <row r="223" spans="1:10">
      <c r="A223" s="160" t="s">
        <v>430</v>
      </c>
      <c r="B223" s="152">
        <v>21.49</v>
      </c>
      <c r="J223" s="29"/>
    </row>
    <row r="224" spans="1:10">
      <c r="A224" s="160" t="s">
        <v>625</v>
      </c>
      <c r="B224" s="152">
        <v>0.99</v>
      </c>
      <c r="J224" s="29"/>
    </row>
    <row r="225" spans="1:10" ht="15">
      <c r="A225" s="160" t="s">
        <v>947</v>
      </c>
      <c r="B225" s="162">
        <f>((12.011+32)/12.011)</f>
        <v>3.6642244609108316</v>
      </c>
      <c r="J225" s="29"/>
    </row>
    <row r="226" spans="1:10">
      <c r="J226" s="29"/>
    </row>
    <row r="227" spans="1:10">
      <c r="A227" s="853" t="s">
        <v>278</v>
      </c>
      <c r="B227" s="853"/>
      <c r="J227" s="29"/>
    </row>
    <row r="228" spans="1:10" ht="15">
      <c r="A228" s="10" t="s">
        <v>822</v>
      </c>
      <c r="B228" s="102">
        <f>(B187*B229*B191)</f>
        <v>4.0692225508347782E-4</v>
      </c>
      <c r="J228" s="29"/>
    </row>
    <row r="229" spans="1:10" ht="15">
      <c r="A229" s="160" t="s">
        <v>781</v>
      </c>
      <c r="B229" s="152">
        <v>897.11</v>
      </c>
      <c r="J229" s="29"/>
    </row>
    <row r="230" spans="1:10" ht="15">
      <c r="A230" s="156" t="s">
        <v>782</v>
      </c>
      <c r="B230" s="164">
        <v>7.6600000000000001E-2</v>
      </c>
      <c r="J230" s="29"/>
    </row>
    <row r="231" spans="1:10" ht="15">
      <c r="A231" s="160" t="s">
        <v>55</v>
      </c>
      <c r="B231" s="161">
        <v>1.5900000000000001E-2</v>
      </c>
      <c r="J231" s="29"/>
    </row>
    <row r="232" spans="1:10">
      <c r="J232" s="29"/>
    </row>
    <row r="233" spans="1:10">
      <c r="J233" s="29"/>
    </row>
    <row r="234" spans="1:10">
      <c r="J234" s="29"/>
    </row>
    <row r="235" spans="1:10">
      <c r="J235" s="29"/>
    </row>
    <row r="236" spans="1:10">
      <c r="J236" s="29"/>
    </row>
    <row r="237" spans="1:10">
      <c r="J237" s="29"/>
    </row>
    <row r="238" spans="1:10">
      <c r="J238" s="29"/>
    </row>
    <row r="239" spans="1:10">
      <c r="J239" s="29"/>
    </row>
    <row r="240" spans="1:10">
      <c r="J240" s="29"/>
    </row>
    <row r="241" spans="10:10">
      <c r="J241" s="29"/>
    </row>
    <row r="242" spans="10:10">
      <c r="J242" s="29"/>
    </row>
    <row r="243" spans="10:10">
      <c r="J243" s="29"/>
    </row>
    <row r="244" spans="10:10">
      <c r="J244" s="29"/>
    </row>
    <row r="245" spans="10:10">
      <c r="J245" s="29"/>
    </row>
    <row r="246" spans="10:10">
      <c r="J246" s="29"/>
    </row>
    <row r="247" spans="10:10">
      <c r="J247" s="29"/>
    </row>
    <row r="248" spans="10:10">
      <c r="J248" s="29"/>
    </row>
    <row r="249" spans="10:10">
      <c r="J249" s="29"/>
    </row>
    <row r="250" spans="10:10">
      <c r="J250" s="29"/>
    </row>
    <row r="251" spans="10:10">
      <c r="J251" s="29"/>
    </row>
    <row r="252" spans="10:10">
      <c r="J252" s="29"/>
    </row>
    <row r="253" spans="10:10">
      <c r="J253" s="29"/>
    </row>
    <row r="254" spans="10:10">
      <c r="J254" s="29"/>
    </row>
    <row r="255" spans="10:10">
      <c r="J255" s="29"/>
    </row>
    <row r="256" spans="10:10">
      <c r="J256" s="29"/>
    </row>
    <row r="257" spans="10:10">
      <c r="J257" s="29"/>
    </row>
    <row r="258" spans="10:10">
      <c r="J258" s="29"/>
    </row>
    <row r="259" spans="10:10">
      <c r="J259" s="29"/>
    </row>
    <row r="260" spans="10:10">
      <c r="J260" s="29"/>
    </row>
    <row r="261" spans="10:10">
      <c r="J261" s="29"/>
    </row>
    <row r="262" spans="10:10">
      <c r="J262" s="29"/>
    </row>
    <row r="263" spans="10:10">
      <c r="J263" s="29"/>
    </row>
    <row r="264" spans="10:10">
      <c r="J264" s="29"/>
    </row>
    <row r="265" spans="10:10">
      <c r="J265" s="29"/>
    </row>
    <row r="266" spans="10:10">
      <c r="J266" s="29"/>
    </row>
    <row r="267" spans="10:10">
      <c r="J267" s="29"/>
    </row>
    <row r="268" spans="10:10">
      <c r="J268" s="29"/>
    </row>
    <row r="269" spans="10:10">
      <c r="J269" s="29"/>
    </row>
    <row r="270" spans="10:10">
      <c r="J270" s="29"/>
    </row>
    <row r="271" spans="10:10">
      <c r="J271" s="29"/>
    </row>
    <row r="272" spans="10:10">
      <c r="J272" s="29"/>
    </row>
    <row r="273" spans="10:10">
      <c r="J273" s="29"/>
    </row>
    <row r="274" spans="10:10">
      <c r="J274" s="29"/>
    </row>
    <row r="275" spans="10:10">
      <c r="J275" s="29"/>
    </row>
    <row r="276" spans="10:10">
      <c r="J276" s="29"/>
    </row>
    <row r="277" spans="10:10">
      <c r="J277" s="29"/>
    </row>
    <row r="278" spans="10:10">
      <c r="J278" s="29"/>
    </row>
    <row r="279" spans="10:10">
      <c r="J279" s="29"/>
    </row>
    <row r="280" spans="10:10">
      <c r="J280" s="29"/>
    </row>
    <row r="281" spans="10:10">
      <c r="J281" s="29"/>
    </row>
    <row r="282" spans="10:10">
      <c r="J282" s="29"/>
    </row>
    <row r="283" spans="10:10">
      <c r="J283" s="29"/>
    </row>
    <row r="284" spans="10:10">
      <c r="J284" s="29"/>
    </row>
    <row r="285" spans="10:10">
      <c r="J285" s="29"/>
    </row>
    <row r="286" spans="10:10">
      <c r="J286" s="29"/>
    </row>
    <row r="287" spans="10:10">
      <c r="J287" s="29"/>
    </row>
    <row r="288" spans="10:10">
      <c r="J288" s="29"/>
    </row>
    <row r="289" spans="10:10">
      <c r="J289" s="29"/>
    </row>
    <row r="290" spans="10:10">
      <c r="J290" s="29"/>
    </row>
    <row r="291" spans="10:10">
      <c r="J291" s="29"/>
    </row>
    <row r="292" spans="10:10">
      <c r="J292" s="29"/>
    </row>
    <row r="293" spans="10:10">
      <c r="J293" s="29"/>
    </row>
    <row r="294" spans="10:10">
      <c r="J294" s="29"/>
    </row>
    <row r="295" spans="10:10">
      <c r="J295" s="29"/>
    </row>
    <row r="296" spans="10:10">
      <c r="J296" s="29"/>
    </row>
    <row r="297" spans="10:10">
      <c r="J297" s="29"/>
    </row>
    <row r="298" spans="10:10">
      <c r="J298" s="29"/>
    </row>
    <row r="299" spans="10:10">
      <c r="J299" s="29"/>
    </row>
    <row r="300" spans="10:10">
      <c r="J300" s="29"/>
    </row>
    <row r="301" spans="10:10">
      <c r="J301" s="29"/>
    </row>
    <row r="302" spans="10:10">
      <c r="J302" s="29"/>
    </row>
    <row r="303" spans="10:10">
      <c r="J303" s="29"/>
    </row>
  </sheetData>
  <mergeCells count="2">
    <mergeCell ref="A2:G5"/>
    <mergeCell ref="A227:B227"/>
  </mergeCells>
  <pageMargins left="0.75" right="0.75" top="1" bottom="1" header="0.3" footer="0.3"/>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11"/>
  </sheetPr>
  <dimension ref="A1:X209"/>
  <sheetViews>
    <sheetView topLeftCell="A6" zoomScale="117" zoomScaleNormal="133" workbookViewId="0">
      <pane xSplit="1" topLeftCell="E1" activePane="topRight" state="frozen"/>
      <selection pane="topRight" activeCell="O14" sqref="O14"/>
    </sheetView>
  </sheetViews>
  <sheetFormatPr baseColWidth="10" defaultColWidth="8.83203125" defaultRowHeight="13"/>
  <cols>
    <col min="1" max="1" width="30.6640625" customWidth="1"/>
    <col min="2" max="2" width="11.6640625" customWidth="1"/>
    <col min="3" max="3" width="10.1640625" customWidth="1"/>
    <col min="4" max="4" width="12.6640625" customWidth="1"/>
    <col min="5" max="5" width="9.83203125" customWidth="1"/>
    <col min="6" max="6" width="10" customWidth="1"/>
    <col min="7" max="7" width="9.83203125" customWidth="1"/>
    <col min="8" max="8" width="11.1640625" customWidth="1"/>
    <col min="9" max="9" width="11.5" customWidth="1"/>
    <col min="10" max="10" width="11.6640625" customWidth="1"/>
    <col min="11" max="11" width="14.1640625" customWidth="1"/>
    <col min="12" max="15" width="11.6640625" customWidth="1"/>
    <col min="17" max="17" width="11" bestFit="1" customWidth="1"/>
    <col min="18" max="18" width="19.83203125" customWidth="1"/>
    <col min="21" max="21" width="21.5" customWidth="1"/>
  </cols>
  <sheetData>
    <row r="1" spans="1:17" ht="27.75" customHeight="1">
      <c r="A1" s="864" t="s">
        <v>365</v>
      </c>
      <c r="B1" s="864"/>
      <c r="C1" s="864"/>
      <c r="D1" s="864"/>
      <c r="E1" s="864"/>
      <c r="F1" s="864"/>
      <c r="G1" s="864"/>
      <c r="H1" s="709"/>
      <c r="I1" s="709"/>
      <c r="J1" s="709"/>
      <c r="K1" s="709"/>
      <c r="L1" s="709"/>
      <c r="M1" s="709"/>
      <c r="N1" s="709"/>
      <c r="O1" s="709"/>
    </row>
    <row r="2" spans="1:17" ht="12.75" customHeight="1">
      <c r="A2" s="866" t="s">
        <v>133</v>
      </c>
      <c r="B2" s="866"/>
      <c r="C2" s="866"/>
      <c r="D2" s="866"/>
      <c r="E2" s="866"/>
      <c r="F2" s="866"/>
      <c r="G2" s="866"/>
      <c r="H2" s="270"/>
      <c r="I2" s="270"/>
    </row>
    <row r="3" spans="1:17">
      <c r="A3" s="866"/>
      <c r="B3" s="866"/>
      <c r="C3" s="866"/>
      <c r="D3" s="866"/>
      <c r="E3" s="866"/>
      <c r="F3" s="866"/>
      <c r="G3" s="866"/>
      <c r="H3" s="270"/>
      <c r="I3" s="270"/>
    </row>
    <row r="4" spans="1:17">
      <c r="A4" s="271"/>
      <c r="B4" s="271"/>
      <c r="C4" s="271"/>
      <c r="D4" s="271"/>
      <c r="E4" s="271"/>
      <c r="F4" s="271"/>
      <c r="G4" s="271"/>
      <c r="H4" s="270"/>
      <c r="I4" s="270"/>
    </row>
    <row r="5" spans="1:17" ht="16">
      <c r="A5" s="272" t="s">
        <v>882</v>
      </c>
      <c r="B5" s="270"/>
      <c r="C5" s="270"/>
      <c r="D5" s="270"/>
      <c r="E5" s="270"/>
      <c r="F5" s="270"/>
      <c r="G5" s="270"/>
      <c r="H5" s="270"/>
      <c r="I5" s="270"/>
    </row>
    <row r="6" spans="1:17" ht="14" customHeight="1">
      <c r="A6" s="270"/>
      <c r="B6" s="273" t="s">
        <v>490</v>
      </c>
      <c r="C6" s="270"/>
      <c r="D6" s="270"/>
      <c r="E6" s="270"/>
      <c r="F6" s="270"/>
      <c r="G6" s="270"/>
      <c r="H6" s="270"/>
      <c r="I6" s="270"/>
    </row>
    <row r="7" spans="1:17" ht="42">
      <c r="A7" s="273" t="s">
        <v>411</v>
      </c>
      <c r="B7" s="677" t="s">
        <v>310</v>
      </c>
      <c r="C7" s="677" t="s">
        <v>339</v>
      </c>
      <c r="D7" s="677" t="s">
        <v>731</v>
      </c>
      <c r="E7" s="594" t="s">
        <v>24</v>
      </c>
      <c r="F7" s="594" t="s">
        <v>1005</v>
      </c>
      <c r="G7" s="677" t="s">
        <v>970</v>
      </c>
      <c r="H7" s="677" t="s">
        <v>955</v>
      </c>
      <c r="I7" s="677" t="s">
        <v>1123</v>
      </c>
      <c r="J7" s="677" t="s">
        <v>1154</v>
      </c>
      <c r="K7" s="706" t="s">
        <v>1188</v>
      </c>
      <c r="L7" s="677" t="s">
        <v>1197</v>
      </c>
      <c r="M7" s="677" t="s">
        <v>1251</v>
      </c>
      <c r="N7" s="677" t="s">
        <v>1261</v>
      </c>
      <c r="O7" s="706" t="s">
        <v>1306</v>
      </c>
      <c r="Q7" s="677"/>
    </row>
    <row r="8" spans="1:17">
      <c r="A8" s="275" t="s">
        <v>792</v>
      </c>
      <c r="B8" s="277">
        <f t="shared" ref="B8:G8" si="0">B29</f>
        <v>225.8</v>
      </c>
      <c r="C8" s="277">
        <f t="shared" si="0"/>
        <v>401</v>
      </c>
      <c r="D8" s="277">
        <f t="shared" si="0"/>
        <v>455.2</v>
      </c>
      <c r="E8" s="277">
        <f t="shared" si="0"/>
        <v>575.9</v>
      </c>
      <c r="F8" s="277">
        <f>F29</f>
        <v>454.6</v>
      </c>
      <c r="G8" s="277">
        <f t="shared" si="0"/>
        <v>430.1</v>
      </c>
      <c r="H8" s="277">
        <f>H29</f>
        <v>492.5</v>
      </c>
      <c r="I8" s="277">
        <f>I29</f>
        <v>631</v>
      </c>
      <c r="J8" s="277">
        <f>J29</f>
        <v>622.20000000000005</v>
      </c>
      <c r="K8" s="277">
        <f>J29</f>
        <v>622.20000000000005</v>
      </c>
      <c r="L8" s="277">
        <f>L29</f>
        <v>926.8</v>
      </c>
      <c r="M8" s="277">
        <f>M29</f>
        <v>983.5</v>
      </c>
      <c r="N8" s="277">
        <f>N29</f>
        <v>1004.9</v>
      </c>
      <c r="O8" s="277">
        <f>O29</f>
        <v>852.4</v>
      </c>
      <c r="Q8" s="695"/>
    </row>
    <row r="9" spans="1:17">
      <c r="A9" s="275" t="s">
        <v>667</v>
      </c>
      <c r="B9" s="278">
        <f t="shared" ref="B9:G9" si="1">B49</f>
        <v>20.6</v>
      </c>
      <c r="C9" s="278">
        <f t="shared" si="1"/>
        <v>20.3</v>
      </c>
      <c r="D9" s="278">
        <f t="shared" si="1"/>
        <v>16.600000000000001</v>
      </c>
      <c r="E9" s="278">
        <f t="shared" si="1"/>
        <v>16.8</v>
      </c>
      <c r="F9" s="278">
        <f t="shared" si="1"/>
        <v>17.8</v>
      </c>
      <c r="G9" s="278">
        <f t="shared" si="1"/>
        <v>28.1</v>
      </c>
      <c r="H9" s="278">
        <f>H49</f>
        <v>25.5</v>
      </c>
      <c r="I9" s="278">
        <f>I49</f>
        <v>31.4</v>
      </c>
      <c r="J9" s="278">
        <f>J49</f>
        <v>37.5</v>
      </c>
      <c r="K9" s="278">
        <f>J49</f>
        <v>37.5</v>
      </c>
      <c r="L9" s="278">
        <f>L49</f>
        <v>31.2</v>
      </c>
      <c r="M9" s="278">
        <f>M49</f>
        <v>36.6</v>
      </c>
      <c r="N9" s="278">
        <f>N49</f>
        <v>43</v>
      </c>
      <c r="O9" s="278">
        <f>O49</f>
        <v>30.1</v>
      </c>
      <c r="Q9" s="17"/>
    </row>
    <row r="10" spans="1:17">
      <c r="A10" s="279" t="s">
        <v>666</v>
      </c>
      <c r="B10" s="280">
        <f t="shared" ref="B10:G10" si="2">B75</f>
        <v>68.2</v>
      </c>
      <c r="C10" s="280">
        <f t="shared" si="2"/>
        <v>68.900000000000006</v>
      </c>
      <c r="D10" s="280">
        <f t="shared" si="2"/>
        <v>64.599999999999994</v>
      </c>
      <c r="E10" s="280">
        <f t="shared" si="2"/>
        <v>74.3</v>
      </c>
      <c r="F10" s="280">
        <f t="shared" si="2"/>
        <v>90.4</v>
      </c>
      <c r="G10" s="280">
        <f t="shared" si="2"/>
        <v>113.5</v>
      </c>
      <c r="H10" s="280">
        <f>H75</f>
        <v>112.5</v>
      </c>
      <c r="I10" s="280">
        <f>I75</f>
        <v>117.1</v>
      </c>
      <c r="J10" s="280">
        <f>J75</f>
        <v>123.2</v>
      </c>
      <c r="K10" s="280">
        <f>J75</f>
        <v>123.2</v>
      </c>
      <c r="L10" s="280">
        <f>L75</f>
        <v>124.7</v>
      </c>
      <c r="M10" s="280">
        <f>M75</f>
        <v>136.69999999999999</v>
      </c>
      <c r="N10" s="280">
        <f>N75</f>
        <v>107</v>
      </c>
      <c r="O10" s="280">
        <f>O75</f>
        <v>112.6</v>
      </c>
    </row>
    <row r="11" spans="1:17">
      <c r="A11" s="275" t="s">
        <v>665</v>
      </c>
      <c r="B11" s="281">
        <f t="shared" ref="B11:G11" si="3">B110</f>
        <v>1349</v>
      </c>
      <c r="C11" s="281">
        <f t="shared" si="3"/>
        <v>1422.5</v>
      </c>
      <c r="D11" s="281">
        <f t="shared" si="3"/>
        <v>1108.5999999999999</v>
      </c>
      <c r="E11" s="281">
        <f t="shared" si="3"/>
        <v>1121.5999999999999</v>
      </c>
      <c r="F11" s="281">
        <f t="shared" si="3"/>
        <v>1785.1</v>
      </c>
      <c r="G11" s="281">
        <f t="shared" si="3"/>
        <v>2056.1</v>
      </c>
      <c r="H11" s="281">
        <f t="shared" ref="H11:M11" si="4">H110</f>
        <v>2345.6</v>
      </c>
      <c r="I11" s="281">
        <f t="shared" si="4"/>
        <v>2877.2</v>
      </c>
      <c r="J11" s="281">
        <f t="shared" si="4"/>
        <v>3062.3</v>
      </c>
      <c r="K11" s="17">
        <f t="shared" si="4"/>
        <v>2651.9</v>
      </c>
      <c r="L11" s="17">
        <f t="shared" si="4"/>
        <v>2180.8000000000002</v>
      </c>
      <c r="M11" s="17">
        <f t="shared" si="4"/>
        <v>2689.2</v>
      </c>
      <c r="N11" s="17">
        <f>N110</f>
        <v>2706.6</v>
      </c>
      <c r="O11" s="17">
        <f>O110</f>
        <v>3002.6</v>
      </c>
    </row>
    <row r="12" spans="1:17">
      <c r="A12" s="279" t="s">
        <v>668</v>
      </c>
      <c r="B12" s="282">
        <f t="shared" ref="B12:G12" si="5">B138</f>
        <v>25.1</v>
      </c>
      <c r="C12" s="282">
        <f t="shared" si="5"/>
        <v>24.5</v>
      </c>
      <c r="D12" s="282">
        <f t="shared" si="5"/>
        <v>22.2</v>
      </c>
      <c r="E12" s="282">
        <f t="shared" si="5"/>
        <v>31.7</v>
      </c>
      <c r="F12" s="282">
        <f t="shared" si="5"/>
        <v>18.8</v>
      </c>
      <c r="G12" s="282">
        <f t="shared" si="5"/>
        <v>43.8</v>
      </c>
      <c r="H12" s="282">
        <f t="shared" ref="H12:M12" si="6">H138</f>
        <v>38.200000000000003</v>
      </c>
      <c r="I12" s="282">
        <f t="shared" si="6"/>
        <v>37.200000000000003</v>
      </c>
      <c r="J12" s="282">
        <f t="shared" si="6"/>
        <v>42</v>
      </c>
      <c r="K12" s="17">
        <f t="shared" si="6"/>
        <v>32.1</v>
      </c>
      <c r="L12" s="17">
        <f t="shared" si="6"/>
        <v>31</v>
      </c>
      <c r="M12" s="17">
        <f t="shared" si="6"/>
        <v>26.3</v>
      </c>
      <c r="N12" s="17">
        <f>N138</f>
        <v>26.9</v>
      </c>
      <c r="O12" s="17">
        <f>O138</f>
        <v>28.9</v>
      </c>
    </row>
    <row r="13" spans="1:17">
      <c r="A13" s="489" t="s">
        <v>724</v>
      </c>
      <c r="B13" s="490">
        <f t="shared" ref="B13:G13" si="7">SUM(B8:B12)</f>
        <v>1688.6999999999998</v>
      </c>
      <c r="C13" s="490">
        <f t="shared" si="7"/>
        <v>1937.2</v>
      </c>
      <c r="D13" s="490">
        <f t="shared" si="7"/>
        <v>1667.2</v>
      </c>
      <c r="E13" s="490">
        <f t="shared" si="7"/>
        <v>1820.3</v>
      </c>
      <c r="F13" s="490">
        <f t="shared" si="7"/>
        <v>2366.7000000000003</v>
      </c>
      <c r="G13" s="490">
        <f t="shared" si="7"/>
        <v>2671.6000000000004</v>
      </c>
      <c r="H13" s="490">
        <f t="shared" ref="H13:M13" si="8">SUM(H8:H12)</f>
        <v>3014.2999999999997</v>
      </c>
      <c r="I13" s="490">
        <f t="shared" si="8"/>
        <v>3693.8999999999996</v>
      </c>
      <c r="J13" s="490">
        <f t="shared" si="8"/>
        <v>3887.2000000000003</v>
      </c>
      <c r="K13" s="708">
        <f t="shared" si="8"/>
        <v>3466.9</v>
      </c>
      <c r="L13" s="708">
        <f t="shared" si="8"/>
        <v>3294.5</v>
      </c>
      <c r="M13" s="708">
        <f t="shared" si="8"/>
        <v>3872.3</v>
      </c>
      <c r="N13" s="708">
        <f>SUM(N8:N12)</f>
        <v>3888.4</v>
      </c>
      <c r="O13" s="708">
        <f>SUM(O8:O12)+B209</f>
        <v>4074.9</v>
      </c>
    </row>
    <row r="14" spans="1:17">
      <c r="A14" s="283"/>
      <c r="B14" s="284"/>
      <c r="C14" s="283"/>
      <c r="D14" s="283"/>
      <c r="E14" s="24"/>
      <c r="F14" s="24"/>
    </row>
    <row r="15" spans="1:17" ht="16">
      <c r="A15" s="285" t="s">
        <v>791</v>
      </c>
      <c r="B15" s="284"/>
      <c r="C15" s="283"/>
      <c r="D15" s="283"/>
      <c r="E15" s="24"/>
      <c r="F15" s="24"/>
    </row>
    <row r="16" spans="1:17" ht="10" customHeight="1">
      <c r="A16" s="273"/>
      <c r="B16" s="270"/>
      <c r="C16" s="270"/>
      <c r="D16" s="270"/>
    </row>
    <row r="17" spans="1:17" ht="30" customHeight="1">
      <c r="A17" s="286" t="s">
        <v>628</v>
      </c>
      <c r="B17" s="677" t="s">
        <v>310</v>
      </c>
      <c r="C17" s="677" t="s">
        <v>339</v>
      </c>
      <c r="D17" s="677" t="s">
        <v>731</v>
      </c>
      <c r="E17" s="594" t="s">
        <v>24</v>
      </c>
      <c r="F17" s="594" t="s">
        <v>1005</v>
      </c>
      <c r="G17" s="677" t="s">
        <v>970</v>
      </c>
      <c r="H17" s="677" t="s">
        <v>955</v>
      </c>
      <c r="I17" s="677" t="s">
        <v>1123</v>
      </c>
      <c r="J17" s="677" t="s">
        <v>1154</v>
      </c>
      <c r="K17" s="706" t="s">
        <v>1187</v>
      </c>
      <c r="L17" s="677" t="s">
        <v>1197</v>
      </c>
      <c r="M17" s="677" t="s">
        <v>1251</v>
      </c>
      <c r="N17" s="677" t="s">
        <v>1261</v>
      </c>
      <c r="O17" s="677" t="s">
        <v>1277</v>
      </c>
    </row>
    <row r="18" spans="1:17" s="29" customFormat="1" ht="12.75" customHeight="1">
      <c r="A18" s="288" t="s">
        <v>523</v>
      </c>
      <c r="B18" s="289">
        <v>189640</v>
      </c>
      <c r="C18" s="370">
        <v>410081.37</v>
      </c>
      <c r="D18" s="370">
        <v>376781</v>
      </c>
      <c r="E18" s="27">
        <v>434786</v>
      </c>
      <c r="F18" s="27">
        <v>469143</v>
      </c>
      <c r="G18" s="567">
        <v>507804</v>
      </c>
      <c r="H18" s="567">
        <v>565772</v>
      </c>
      <c r="I18" s="567">
        <v>714156</v>
      </c>
      <c r="J18" s="567">
        <v>704242</v>
      </c>
      <c r="K18" s="567">
        <v>704242</v>
      </c>
      <c r="L18" s="567">
        <v>647977</v>
      </c>
      <c r="M18" s="776">
        <v>685188.05000000098</v>
      </c>
      <c r="N18" s="777">
        <v>700026</v>
      </c>
      <c r="O18" s="777">
        <v>593782.76999999979</v>
      </c>
      <c r="P18" s="596"/>
      <c r="Q18" s="602" t="s">
        <v>1257</v>
      </c>
    </row>
    <row r="19" spans="1:17" s="29" customFormat="1" ht="12.75" customHeight="1">
      <c r="A19" s="739" t="s">
        <v>669</v>
      </c>
      <c r="B19" s="291">
        <v>261.69</v>
      </c>
      <c r="C19" s="375">
        <v>318.73</v>
      </c>
      <c r="D19" s="375">
        <v>257.98</v>
      </c>
      <c r="E19" s="460">
        <v>235.3</v>
      </c>
      <c r="F19" s="460">
        <v>321.60000000000002</v>
      </c>
      <c r="G19" s="568">
        <v>368</v>
      </c>
      <c r="H19" s="568">
        <v>358</v>
      </c>
      <c r="I19" s="568">
        <v>352.76</v>
      </c>
      <c r="J19" s="568">
        <v>352.76</v>
      </c>
      <c r="K19" s="568">
        <v>217.9</v>
      </c>
      <c r="L19" s="568">
        <v>217.9</v>
      </c>
      <c r="M19" s="568">
        <v>217.9</v>
      </c>
      <c r="N19" s="568">
        <v>217.9</v>
      </c>
      <c r="O19" s="568">
        <v>217.9</v>
      </c>
    </row>
    <row r="20" spans="1:17" ht="12.75" customHeight="1">
      <c r="A20" s="279" t="s">
        <v>820</v>
      </c>
      <c r="B20" s="292">
        <f>(B18/($B147*B19))*0.33</f>
        <v>23914.249684741488</v>
      </c>
      <c r="C20" s="292">
        <f t="shared" ref="C20:I20" si="9">(C18/($B147*C19))*0.33</f>
        <v>42458.147052364067</v>
      </c>
      <c r="D20" s="292">
        <f t="shared" si="9"/>
        <v>48196.654779440265</v>
      </c>
      <c r="E20" s="292">
        <f t="shared" si="9"/>
        <v>60977.212069698253</v>
      </c>
      <c r="F20" s="292">
        <f t="shared" si="9"/>
        <v>48139.673507462692</v>
      </c>
      <c r="G20" s="292">
        <f t="shared" si="9"/>
        <v>45536.77173913044</v>
      </c>
      <c r="H20" s="292">
        <f t="shared" si="9"/>
        <v>52152.167597765358</v>
      </c>
      <c r="I20" s="292">
        <f t="shared" si="9"/>
        <v>66807.880712098879</v>
      </c>
      <c r="J20" s="292">
        <f t="shared" ref="J20:O20" si="10">(J18/($B147*J19))*0.33</f>
        <v>65880.445628756104</v>
      </c>
      <c r="K20" s="292">
        <f t="shared" si="10"/>
        <v>106654.36438733364</v>
      </c>
      <c r="L20" s="292">
        <f t="shared" si="10"/>
        <v>98133.276732446058</v>
      </c>
      <c r="M20" s="292">
        <f t="shared" si="10"/>
        <v>103768.72716842602</v>
      </c>
      <c r="N20" s="292">
        <f t="shared" si="10"/>
        <v>106015.86966498393</v>
      </c>
      <c r="O20" s="292">
        <f t="shared" si="10"/>
        <v>89925.798118402905</v>
      </c>
      <c r="Q20" t="s">
        <v>1127</v>
      </c>
    </row>
    <row r="21" spans="1:17">
      <c r="A21" s="293" t="s">
        <v>405</v>
      </c>
      <c r="B21" s="294">
        <f t="shared" ref="B21:H21" si="11">ROUND(B20*$B153,1)</f>
        <v>2991</v>
      </c>
      <c r="C21" s="294">
        <f t="shared" si="11"/>
        <v>5310.3</v>
      </c>
      <c r="D21" s="294">
        <f t="shared" si="11"/>
        <v>6028</v>
      </c>
      <c r="E21" s="294">
        <f t="shared" si="11"/>
        <v>7626.5</v>
      </c>
      <c r="F21" s="294">
        <f t="shared" si="11"/>
        <v>6020.9</v>
      </c>
      <c r="G21" s="294">
        <f t="shared" si="11"/>
        <v>5695.3</v>
      </c>
      <c r="H21" s="294">
        <f t="shared" si="11"/>
        <v>6522.7</v>
      </c>
      <c r="I21" s="294">
        <f t="shared" ref="I21:N21" si="12">ROUND(I20*$B153,1)</f>
        <v>8355.7999999999993</v>
      </c>
      <c r="J21" s="294">
        <f t="shared" si="12"/>
        <v>8239.7999999999993</v>
      </c>
      <c r="K21" s="294">
        <f t="shared" si="12"/>
        <v>13339.4</v>
      </c>
      <c r="L21" s="294">
        <f t="shared" si="12"/>
        <v>12273.7</v>
      </c>
      <c r="M21" s="294">
        <f t="shared" si="12"/>
        <v>12978.5</v>
      </c>
      <c r="N21" s="294">
        <f t="shared" si="12"/>
        <v>13259.6</v>
      </c>
      <c r="O21" s="294">
        <f>ROUND(O20*$B153,1)</f>
        <v>11247.1</v>
      </c>
      <c r="Q21" t="s">
        <v>1128</v>
      </c>
    </row>
    <row r="22" spans="1:17" ht="15">
      <c r="A22" s="295" t="s">
        <v>173</v>
      </c>
      <c r="B22" s="296">
        <f t="shared" ref="B22:H22" si="13">ROUND(B20*$B154,1)</f>
        <v>209.8</v>
      </c>
      <c r="C22" s="296">
        <f t="shared" si="13"/>
        <v>372.6</v>
      </c>
      <c r="D22" s="296">
        <f t="shared" si="13"/>
        <v>422.9</v>
      </c>
      <c r="E22" s="296">
        <f t="shared" si="13"/>
        <v>535.1</v>
      </c>
      <c r="F22" s="296">
        <f t="shared" si="13"/>
        <v>422.4</v>
      </c>
      <c r="G22" s="296">
        <f t="shared" si="13"/>
        <v>399.6</v>
      </c>
      <c r="H22" s="296">
        <f t="shared" si="13"/>
        <v>457.6</v>
      </c>
      <c r="I22" s="296">
        <f t="shared" ref="I22:N22" si="14">ROUND(I20*$B154,1)</f>
        <v>586.20000000000005</v>
      </c>
      <c r="J22" s="296">
        <f t="shared" si="14"/>
        <v>578.1</v>
      </c>
      <c r="K22" s="296">
        <f t="shared" si="14"/>
        <v>935.9</v>
      </c>
      <c r="L22" s="296">
        <f t="shared" si="14"/>
        <v>861.1</v>
      </c>
      <c r="M22" s="296">
        <f t="shared" si="14"/>
        <v>910.5</v>
      </c>
      <c r="N22" s="296">
        <f t="shared" si="14"/>
        <v>930.3</v>
      </c>
      <c r="O22" s="296">
        <f>ROUND(O20*$B154,1)</f>
        <v>789.1</v>
      </c>
    </row>
    <row r="23" spans="1:17" s="29" customFormat="1">
      <c r="A23" s="739" t="s">
        <v>714</v>
      </c>
      <c r="B23" s="298">
        <v>20</v>
      </c>
      <c r="C23" s="376">
        <v>20</v>
      </c>
      <c r="D23" s="376">
        <v>20</v>
      </c>
      <c r="E23" s="376">
        <v>20</v>
      </c>
      <c r="F23" s="376">
        <v>20</v>
      </c>
      <c r="G23" s="376">
        <v>20</v>
      </c>
      <c r="H23" s="376">
        <v>20</v>
      </c>
      <c r="I23" s="376">
        <v>20</v>
      </c>
      <c r="J23" s="376">
        <v>20</v>
      </c>
      <c r="K23" s="376">
        <v>20</v>
      </c>
      <c r="L23" s="376">
        <v>20</v>
      </c>
      <c r="M23" s="376">
        <v>21</v>
      </c>
      <c r="N23" s="376">
        <v>21</v>
      </c>
      <c r="O23" s="376">
        <v>21</v>
      </c>
    </row>
    <row r="24" spans="1:17">
      <c r="A24" s="283" t="s">
        <v>582</v>
      </c>
      <c r="B24" s="292">
        <f t="shared" ref="B24:G24" si="15">B20*B23</f>
        <v>478284.99369482975</v>
      </c>
      <c r="C24" s="292">
        <f t="shared" si="15"/>
        <v>849162.94104728138</v>
      </c>
      <c r="D24" s="292">
        <f t="shared" si="15"/>
        <v>963933.09558880527</v>
      </c>
      <c r="E24" s="292">
        <f t="shared" si="15"/>
        <v>1219544.241393965</v>
      </c>
      <c r="F24" s="292">
        <f t="shared" si="15"/>
        <v>962793.47014925384</v>
      </c>
      <c r="G24" s="292">
        <f t="shared" si="15"/>
        <v>910735.43478260876</v>
      </c>
      <c r="H24" s="292">
        <f t="shared" ref="H24:M24" si="16">H20*H23</f>
        <v>1043043.3519553072</v>
      </c>
      <c r="I24" s="292">
        <f t="shared" si="16"/>
        <v>1336157.6142419777</v>
      </c>
      <c r="J24" s="292">
        <f t="shared" si="16"/>
        <v>1317608.912575122</v>
      </c>
      <c r="K24" s="292">
        <f t="shared" si="16"/>
        <v>2133087.287746673</v>
      </c>
      <c r="L24" s="292">
        <f t="shared" si="16"/>
        <v>1962665.5346489211</v>
      </c>
      <c r="M24" s="292">
        <f t="shared" si="16"/>
        <v>2179143.2705369466</v>
      </c>
      <c r="N24" s="292">
        <f>N20*N23</f>
        <v>2226333.2629646626</v>
      </c>
      <c r="O24" s="292">
        <f>O20*O23</f>
        <v>1888441.760486461</v>
      </c>
    </row>
    <row r="25" spans="1:17" s="24" customFormat="1" ht="15">
      <c r="A25" s="279" t="s">
        <v>866</v>
      </c>
      <c r="B25" s="299">
        <f t="shared" ref="B25:H25" si="17">($B155*B24*$B146)</f>
        <v>5.4667974779319034E-2</v>
      </c>
      <c r="C25" s="299">
        <f t="shared" si="17"/>
        <v>9.7059324161704263E-2</v>
      </c>
      <c r="D25" s="299">
        <f t="shared" si="17"/>
        <v>0.11017755282580043</v>
      </c>
      <c r="E25" s="299">
        <f t="shared" si="17"/>
        <v>0.13939390679133018</v>
      </c>
      <c r="F25" s="299">
        <f t="shared" si="17"/>
        <v>0.11004729363805971</v>
      </c>
      <c r="G25" s="299">
        <f t="shared" si="17"/>
        <v>0.10409706019565218</v>
      </c>
      <c r="H25" s="299">
        <f t="shared" si="17"/>
        <v>0.11921985512849159</v>
      </c>
      <c r="I25" s="299">
        <f t="shared" ref="I25:N25" si="18">($B155*I24*$B146)</f>
        <v>0.15272281530785806</v>
      </c>
      <c r="J25" s="299">
        <f t="shared" si="18"/>
        <v>0.15060269870733645</v>
      </c>
      <c r="K25" s="299">
        <f t="shared" si="18"/>
        <v>0.2438118769894447</v>
      </c>
      <c r="L25" s="299">
        <f t="shared" si="18"/>
        <v>0.22433267061037168</v>
      </c>
      <c r="M25" s="299">
        <f t="shared" si="18"/>
        <v>0.24907607582237298</v>
      </c>
      <c r="N25" s="299">
        <f t="shared" si="18"/>
        <v>0.25446989195686093</v>
      </c>
      <c r="O25" s="299">
        <f>($B155*O24*$B146)</f>
        <v>0.21584889322360248</v>
      </c>
    </row>
    <row r="26" spans="1:17" s="24" customFormat="1" ht="15">
      <c r="A26" s="295" t="s">
        <v>188</v>
      </c>
      <c r="B26" s="300">
        <f t="shared" ref="B26:H26" si="19">B24*$B155*$B146*$B149</f>
        <v>1.1480274703656996</v>
      </c>
      <c r="C26" s="300">
        <f t="shared" si="19"/>
        <v>2.0382458073957896</v>
      </c>
      <c r="D26" s="300">
        <f t="shared" si="19"/>
        <v>2.3137286093418088</v>
      </c>
      <c r="E26" s="300">
        <f t="shared" si="19"/>
        <v>2.9272720426179339</v>
      </c>
      <c r="F26" s="300">
        <f t="shared" si="19"/>
        <v>2.3109931663992538</v>
      </c>
      <c r="G26" s="300">
        <f t="shared" si="19"/>
        <v>2.1860382641086957</v>
      </c>
      <c r="H26" s="300">
        <f t="shared" si="19"/>
        <v>2.5036169576983234</v>
      </c>
      <c r="I26" s="300">
        <f t="shared" ref="I26:N26" si="20">I24*$B155*$B146*$B149</f>
        <v>3.2071791214650194</v>
      </c>
      <c r="J26" s="300">
        <f t="shared" si="20"/>
        <v>3.1626566728540655</v>
      </c>
      <c r="K26" s="300">
        <f t="shared" si="20"/>
        <v>5.1200494167783388</v>
      </c>
      <c r="L26" s="300">
        <f t="shared" si="20"/>
        <v>4.7109860828178052</v>
      </c>
      <c r="M26" s="300">
        <f t="shared" si="20"/>
        <v>5.2305975922698327</v>
      </c>
      <c r="N26" s="300">
        <f t="shared" si="20"/>
        <v>5.3438677310940799</v>
      </c>
      <c r="O26" s="300">
        <f>O24*$B155*$B146*$B149</f>
        <v>4.532826757695652</v>
      </c>
    </row>
    <row r="27" spans="1:17" s="24" customFormat="1" ht="15">
      <c r="A27" s="279" t="s">
        <v>859</v>
      </c>
      <c r="B27" s="299">
        <f t="shared" ref="B27:H27" si="21">($B156*B24*$B146)</f>
        <v>4.7971984867591425E-2</v>
      </c>
      <c r="C27" s="299">
        <f t="shared" si="21"/>
        <v>8.5171042987042325E-2</v>
      </c>
      <c r="D27" s="299">
        <f t="shared" si="21"/>
        <v>9.6682489487557158E-2</v>
      </c>
      <c r="E27" s="299">
        <f t="shared" si="21"/>
        <v>0.12232028741181468</v>
      </c>
      <c r="F27" s="299">
        <f t="shared" si="21"/>
        <v>9.6568185055970146E-2</v>
      </c>
      <c r="G27" s="299">
        <f t="shared" si="21"/>
        <v>9.1346764108695647E-2</v>
      </c>
      <c r="H27" s="299">
        <f t="shared" si="21"/>
        <v>0.10461724820111731</v>
      </c>
      <c r="I27" s="299">
        <f t="shared" ref="I27:N27" si="22">($B156*I24*$B146)</f>
        <v>0.13401660870847035</v>
      </c>
      <c r="J27" s="299">
        <f t="shared" si="22"/>
        <v>0.1321561739312847</v>
      </c>
      <c r="K27" s="299">
        <f t="shared" si="22"/>
        <v>0.21394865496099127</v>
      </c>
      <c r="L27" s="299">
        <f t="shared" si="22"/>
        <v>0.19685535312528676</v>
      </c>
      <c r="M27" s="299">
        <f t="shared" si="22"/>
        <v>0.21856807003485573</v>
      </c>
      <c r="N27" s="299">
        <f t="shared" si="22"/>
        <v>0.22330122627535567</v>
      </c>
      <c r="O27" s="299">
        <f>($B156*O24*$B146)</f>
        <v>0.18941070857679201</v>
      </c>
    </row>
    <row r="28" spans="1:17" s="24" customFormat="1" ht="15">
      <c r="A28" s="295" t="s">
        <v>190</v>
      </c>
      <c r="B28" s="301">
        <f t="shared" ref="B28:H28" si="23">B24*$B156*$B146*$B150</f>
        <v>14.871315308953342</v>
      </c>
      <c r="C28" s="301">
        <f t="shared" si="23"/>
        <v>26.403023325983121</v>
      </c>
      <c r="D28" s="301">
        <f t="shared" si="23"/>
        <v>29.971571741142718</v>
      </c>
      <c r="E28" s="301">
        <f t="shared" si="23"/>
        <v>37.919289097662549</v>
      </c>
      <c r="F28" s="301">
        <f t="shared" si="23"/>
        <v>29.936137367350746</v>
      </c>
      <c r="G28" s="301">
        <f t="shared" si="23"/>
        <v>28.317496873695649</v>
      </c>
      <c r="H28" s="301">
        <f t="shared" si="23"/>
        <v>32.431346942346366</v>
      </c>
      <c r="I28" s="301">
        <f t="shared" ref="I28:N28" si="24">I24*$B156*$B146*$B150</f>
        <v>41.545148699625805</v>
      </c>
      <c r="J28" s="301">
        <f t="shared" si="24"/>
        <v>40.968413918698261</v>
      </c>
      <c r="K28" s="301">
        <f t="shared" si="24"/>
        <v>66.3240830379073</v>
      </c>
      <c r="L28" s="301">
        <f t="shared" si="24"/>
        <v>61.025159468838893</v>
      </c>
      <c r="M28" s="301">
        <f t="shared" si="24"/>
        <v>67.756101710805282</v>
      </c>
      <c r="N28" s="301">
        <f t="shared" si="24"/>
        <v>69.223380145360252</v>
      </c>
      <c r="O28" s="301">
        <f>O24*$B156*$B146*$B150</f>
        <v>58.717319658805522</v>
      </c>
    </row>
    <row r="29" spans="1:17" s="24" customFormat="1">
      <c r="A29" s="489" t="s">
        <v>343</v>
      </c>
      <c r="B29" s="491">
        <f t="shared" ref="B29:G29" si="25">ROUND(B22+B26+B28,1)</f>
        <v>225.8</v>
      </c>
      <c r="C29" s="491">
        <f t="shared" si="25"/>
        <v>401</v>
      </c>
      <c r="D29" s="491">
        <f t="shared" si="25"/>
        <v>455.2</v>
      </c>
      <c r="E29" s="491">
        <f t="shared" si="25"/>
        <v>575.9</v>
      </c>
      <c r="F29" s="491">
        <f t="shared" si="25"/>
        <v>454.6</v>
      </c>
      <c r="G29" s="491">
        <f t="shared" si="25"/>
        <v>430.1</v>
      </c>
      <c r="H29" s="491">
        <f t="shared" ref="H29:M29" si="26">ROUND(H22+H26+H28,1)</f>
        <v>492.5</v>
      </c>
      <c r="I29" s="491">
        <f t="shared" si="26"/>
        <v>631</v>
      </c>
      <c r="J29" s="491">
        <f t="shared" si="26"/>
        <v>622.20000000000005</v>
      </c>
      <c r="K29" s="491">
        <f t="shared" si="26"/>
        <v>1007.3</v>
      </c>
      <c r="L29" s="491">
        <f t="shared" si="26"/>
        <v>926.8</v>
      </c>
      <c r="M29" s="491">
        <f t="shared" si="26"/>
        <v>983.5</v>
      </c>
      <c r="N29" s="491">
        <f>ROUND(N22+N26+N28,1)</f>
        <v>1004.9</v>
      </c>
      <c r="O29" s="491">
        <f>ROUND(O22+O26+O28,1)</f>
        <v>852.4</v>
      </c>
    </row>
    <row r="30" spans="1:17">
      <c r="A30" s="273"/>
      <c r="B30" s="302"/>
      <c r="C30" s="270"/>
      <c r="D30" s="270"/>
    </row>
    <row r="31" spans="1:17" ht="16">
      <c r="A31" s="272" t="s">
        <v>672</v>
      </c>
      <c r="B31" s="270"/>
      <c r="C31" s="270"/>
      <c r="D31" s="270"/>
      <c r="H31" s="29"/>
      <c r="I31" s="29"/>
      <c r="J31" s="29"/>
    </row>
    <row r="32" spans="1:17">
      <c r="A32" s="273"/>
      <c r="B32" s="270"/>
      <c r="C32" s="270"/>
      <c r="D32" s="270"/>
    </row>
    <row r="33" spans="1:17">
      <c r="A33" s="286" t="s">
        <v>628</v>
      </c>
      <c r="B33" s="677" t="s">
        <v>310</v>
      </c>
      <c r="C33" s="677" t="s">
        <v>339</v>
      </c>
      <c r="D33" s="677" t="s">
        <v>731</v>
      </c>
      <c r="E33" s="594" t="s">
        <v>24</v>
      </c>
      <c r="F33" s="594" t="s">
        <v>1005</v>
      </c>
      <c r="G33" s="677" t="s">
        <v>970</v>
      </c>
      <c r="H33" s="677" t="s">
        <v>955</v>
      </c>
      <c r="I33" s="677" t="s">
        <v>1123</v>
      </c>
      <c r="J33" s="677" t="s">
        <v>1154</v>
      </c>
      <c r="K33" s="677" t="s">
        <v>1199</v>
      </c>
      <c r="L33" s="677" t="s">
        <v>1197</v>
      </c>
      <c r="M33" s="677" t="s">
        <v>1251</v>
      </c>
      <c r="N33" s="677" t="s">
        <v>1261</v>
      </c>
      <c r="O33" s="677" t="s">
        <v>1277</v>
      </c>
    </row>
    <row r="34" spans="1:17" s="29" customFormat="1">
      <c r="A34" s="288" t="s">
        <v>517</v>
      </c>
      <c r="B34" s="289">
        <v>121401</v>
      </c>
      <c r="C34" s="289">
        <v>119960.43</v>
      </c>
      <c r="D34" s="399">
        <v>98291</v>
      </c>
      <c r="E34" s="675">
        <v>98964</v>
      </c>
      <c r="F34" s="675">
        <v>108947</v>
      </c>
      <c r="G34" s="675">
        <v>171327</v>
      </c>
      <c r="H34" s="675">
        <v>155368</v>
      </c>
      <c r="I34" s="675">
        <v>191578.62000000002</v>
      </c>
      <c r="J34" s="675">
        <v>228761</v>
      </c>
      <c r="K34" s="675">
        <v>0</v>
      </c>
      <c r="L34" s="675">
        <v>190422</v>
      </c>
      <c r="M34" s="675">
        <v>230142.93999999994</v>
      </c>
      <c r="N34" s="675">
        <v>270295.02</v>
      </c>
      <c r="O34" s="675">
        <v>189553.56</v>
      </c>
      <c r="Q34" s="29" t="s">
        <v>1258</v>
      </c>
    </row>
    <row r="35" spans="1:17" s="29" customFormat="1">
      <c r="A35" s="304" t="s">
        <v>543</v>
      </c>
      <c r="B35" s="305"/>
      <c r="C35" s="290"/>
      <c r="D35" s="290"/>
    </row>
    <row r="36" spans="1:17" s="29" customFormat="1">
      <c r="A36" s="306" t="s">
        <v>544</v>
      </c>
      <c r="B36" s="308">
        <v>25</v>
      </c>
      <c r="C36" s="374">
        <v>25</v>
      </c>
      <c r="D36" s="374">
        <v>25</v>
      </c>
      <c r="E36" s="374">
        <v>25</v>
      </c>
      <c r="F36" s="374">
        <v>25</v>
      </c>
      <c r="G36" s="374">
        <v>25</v>
      </c>
      <c r="H36" s="374">
        <v>25</v>
      </c>
      <c r="I36" s="374">
        <v>25</v>
      </c>
      <c r="J36" s="374">
        <v>25</v>
      </c>
      <c r="K36" s="374">
        <v>25</v>
      </c>
      <c r="L36" s="374">
        <v>25</v>
      </c>
      <c r="M36" s="374">
        <v>25</v>
      </c>
      <c r="N36" s="374">
        <v>25</v>
      </c>
      <c r="O36" s="374">
        <v>25</v>
      </c>
    </row>
    <row r="37" spans="1:17" s="29" customFormat="1">
      <c r="A37" s="306" t="s">
        <v>545</v>
      </c>
      <c r="B37" s="310">
        <v>6</v>
      </c>
      <c r="C37" s="306">
        <v>6</v>
      </c>
      <c r="D37" s="306">
        <v>6</v>
      </c>
      <c r="E37" s="306">
        <v>6</v>
      </c>
      <c r="F37" s="306">
        <v>6</v>
      </c>
      <c r="G37" s="306">
        <v>6</v>
      </c>
      <c r="H37" s="306">
        <v>6</v>
      </c>
      <c r="I37" s="306">
        <v>6</v>
      </c>
      <c r="J37" s="306">
        <v>6</v>
      </c>
      <c r="K37" s="306">
        <v>6</v>
      </c>
      <c r="L37" s="306">
        <v>6</v>
      </c>
      <c r="M37" s="306">
        <v>6</v>
      </c>
      <c r="N37" s="306">
        <v>6</v>
      </c>
      <c r="O37" s="306">
        <v>6</v>
      </c>
    </row>
    <row r="38" spans="1:17" s="29" customFormat="1">
      <c r="A38" s="297" t="s">
        <v>774</v>
      </c>
      <c r="B38" s="311">
        <f>B36*B37</f>
        <v>150</v>
      </c>
      <c r="C38" s="311">
        <v>150</v>
      </c>
      <c r="D38" s="311">
        <v>150</v>
      </c>
      <c r="E38" s="311">
        <v>150</v>
      </c>
      <c r="F38" s="311">
        <v>150</v>
      </c>
      <c r="G38" s="311">
        <v>150</v>
      </c>
      <c r="H38" s="311">
        <v>150</v>
      </c>
      <c r="I38" s="311">
        <v>150</v>
      </c>
      <c r="J38" s="311">
        <v>150</v>
      </c>
      <c r="K38" s="311">
        <v>150</v>
      </c>
      <c r="L38" s="311">
        <v>150</v>
      </c>
      <c r="M38" s="311">
        <v>150</v>
      </c>
      <c r="N38" s="311">
        <v>150</v>
      </c>
      <c r="O38" s="311">
        <v>150</v>
      </c>
    </row>
    <row r="39" spans="1:17" s="29" customFormat="1">
      <c r="A39" s="312" t="s">
        <v>283</v>
      </c>
      <c r="B39" s="313">
        <v>40</v>
      </c>
      <c r="C39" s="313">
        <v>40</v>
      </c>
      <c r="D39" s="313">
        <v>40</v>
      </c>
      <c r="E39" s="313">
        <v>40</v>
      </c>
      <c r="F39" s="313">
        <v>41</v>
      </c>
      <c r="G39" s="313">
        <v>41</v>
      </c>
      <c r="H39" s="313">
        <v>41</v>
      </c>
      <c r="I39" s="313">
        <v>41</v>
      </c>
      <c r="J39" s="313">
        <v>41</v>
      </c>
      <c r="K39" s="313">
        <v>41</v>
      </c>
      <c r="L39" s="313">
        <v>41</v>
      </c>
      <c r="M39" s="313">
        <v>42</v>
      </c>
      <c r="N39" s="313">
        <v>42</v>
      </c>
      <c r="O39" s="313">
        <v>42</v>
      </c>
    </row>
    <row r="40" spans="1:17" s="29" customFormat="1">
      <c r="A40" s="312" t="s">
        <v>397</v>
      </c>
      <c r="B40" s="313">
        <f t="shared" ref="B40:G40" si="27">(B34/B38)*B39</f>
        <v>32373.600000000002</v>
      </c>
      <c r="C40" s="313">
        <f t="shared" si="27"/>
        <v>31989.447999999997</v>
      </c>
      <c r="D40" s="313">
        <f t="shared" si="27"/>
        <v>26210.933333333334</v>
      </c>
      <c r="E40" s="313">
        <f t="shared" si="27"/>
        <v>26390.400000000001</v>
      </c>
      <c r="F40" s="313">
        <f t="shared" si="27"/>
        <v>29778.846666666668</v>
      </c>
      <c r="G40" s="313">
        <f t="shared" si="27"/>
        <v>46829.380000000005</v>
      </c>
      <c r="H40" s="313">
        <f t="shared" ref="H40:M40" si="28">(H34/H38)*H39</f>
        <v>42467.253333333334</v>
      </c>
      <c r="I40" s="313">
        <f t="shared" si="28"/>
        <v>52364.822800000002</v>
      </c>
      <c r="J40" s="313">
        <f t="shared" si="28"/>
        <v>62528.006666666661</v>
      </c>
      <c r="K40" s="313">
        <f t="shared" si="28"/>
        <v>0</v>
      </c>
      <c r="L40" s="313">
        <f t="shared" si="28"/>
        <v>52048.68</v>
      </c>
      <c r="M40" s="313">
        <f t="shared" si="28"/>
        <v>64440.023199999981</v>
      </c>
      <c r="N40" s="313">
        <f>(N34/N38)*N39</f>
        <v>75682.60560000001</v>
      </c>
      <c r="O40" s="313">
        <f>(O34/O38)*O39</f>
        <v>53074.996800000001</v>
      </c>
    </row>
    <row r="41" spans="1:17" s="29" customFormat="1">
      <c r="A41" s="297" t="s">
        <v>284</v>
      </c>
      <c r="B41" s="310">
        <v>15</v>
      </c>
      <c r="C41" s="306">
        <v>15</v>
      </c>
      <c r="D41" s="306">
        <v>15</v>
      </c>
      <c r="E41" s="306">
        <v>15</v>
      </c>
      <c r="F41" s="306">
        <v>16</v>
      </c>
      <c r="G41" s="306">
        <v>16</v>
      </c>
      <c r="H41" s="306">
        <v>16</v>
      </c>
      <c r="I41" s="306">
        <v>16</v>
      </c>
      <c r="J41" s="306">
        <v>16</v>
      </c>
      <c r="K41" s="306">
        <v>16</v>
      </c>
      <c r="L41" s="306">
        <v>16</v>
      </c>
      <c r="M41" s="306">
        <v>17</v>
      </c>
      <c r="N41" s="306">
        <v>17</v>
      </c>
      <c r="O41" s="306">
        <v>17</v>
      </c>
    </row>
    <row r="42" spans="1:17">
      <c r="A42" s="279" t="s">
        <v>155</v>
      </c>
      <c r="B42" s="292">
        <f t="shared" ref="B42:G42" si="29">B40/B41</f>
        <v>2158.2400000000002</v>
      </c>
      <c r="C42" s="292">
        <f t="shared" si="29"/>
        <v>2132.6298666666667</v>
      </c>
      <c r="D42" s="292">
        <f t="shared" si="29"/>
        <v>1747.3955555555556</v>
      </c>
      <c r="E42" s="292">
        <f t="shared" si="29"/>
        <v>1759.3600000000001</v>
      </c>
      <c r="F42" s="292">
        <f t="shared" si="29"/>
        <v>1861.1779166666668</v>
      </c>
      <c r="G42" s="292">
        <f t="shared" si="29"/>
        <v>2926.8362500000003</v>
      </c>
      <c r="H42" s="292">
        <f t="shared" ref="H42:M42" si="30">H40/H41</f>
        <v>2654.2033333333334</v>
      </c>
      <c r="I42" s="292">
        <f t="shared" si="30"/>
        <v>3272.8014250000001</v>
      </c>
      <c r="J42" s="292">
        <f t="shared" si="30"/>
        <v>3908.0004166666663</v>
      </c>
      <c r="K42" s="292">
        <f t="shared" si="30"/>
        <v>0</v>
      </c>
      <c r="L42" s="292">
        <f t="shared" si="30"/>
        <v>3253.0425</v>
      </c>
      <c r="M42" s="292">
        <f t="shared" si="30"/>
        <v>3790.5895999999989</v>
      </c>
      <c r="N42" s="292">
        <f>N40/N41</f>
        <v>4451.9179764705887</v>
      </c>
      <c r="O42" s="292">
        <f>O40/O41</f>
        <v>3122.0586352941177</v>
      </c>
    </row>
    <row r="43" spans="1:17">
      <c r="A43" s="293" t="s">
        <v>405</v>
      </c>
      <c r="B43" s="294">
        <f t="shared" ref="B43:H43" si="31">ROUND(B42*$B163,1)</f>
        <v>269.89999999999998</v>
      </c>
      <c r="C43" s="294">
        <f t="shared" si="31"/>
        <v>266.7</v>
      </c>
      <c r="D43" s="294">
        <f t="shared" si="31"/>
        <v>218.5</v>
      </c>
      <c r="E43" s="294">
        <f t="shared" si="31"/>
        <v>220</v>
      </c>
      <c r="F43" s="294">
        <f t="shared" si="31"/>
        <v>232.8</v>
      </c>
      <c r="G43" s="294">
        <f t="shared" si="31"/>
        <v>366.1</v>
      </c>
      <c r="H43" s="294">
        <f t="shared" si="31"/>
        <v>332</v>
      </c>
      <c r="I43" s="294">
        <f t="shared" ref="I43:N43" si="32">ROUND(I42*$B163,1)</f>
        <v>409.3</v>
      </c>
      <c r="J43" s="294">
        <f t="shared" si="32"/>
        <v>488.8</v>
      </c>
      <c r="K43" s="294">
        <f t="shared" si="32"/>
        <v>0</v>
      </c>
      <c r="L43" s="294">
        <f t="shared" si="32"/>
        <v>406.9</v>
      </c>
      <c r="M43" s="294">
        <f t="shared" si="32"/>
        <v>474.1</v>
      </c>
      <c r="N43" s="294">
        <f t="shared" si="32"/>
        <v>556.79999999999995</v>
      </c>
      <c r="O43" s="294">
        <f>ROUND(O42*$B163,1)</f>
        <v>390.5</v>
      </c>
    </row>
    <row r="44" spans="1:17" ht="15">
      <c r="A44" s="295" t="s">
        <v>173</v>
      </c>
      <c r="B44" s="296">
        <f t="shared" ref="B44:H44" si="33">ROUND(B42*$B164,1)</f>
        <v>18.899999999999999</v>
      </c>
      <c r="C44" s="296">
        <f t="shared" si="33"/>
        <v>18.7</v>
      </c>
      <c r="D44" s="296">
        <f t="shared" si="33"/>
        <v>15.3</v>
      </c>
      <c r="E44" s="296">
        <f t="shared" si="33"/>
        <v>15.4</v>
      </c>
      <c r="F44" s="296">
        <f t="shared" si="33"/>
        <v>16.3</v>
      </c>
      <c r="G44" s="296">
        <f t="shared" si="33"/>
        <v>25.7</v>
      </c>
      <c r="H44" s="296">
        <f t="shared" si="33"/>
        <v>23.3</v>
      </c>
      <c r="I44" s="296">
        <f t="shared" ref="I44:N44" si="34">ROUND(I42*$B164,1)</f>
        <v>28.7</v>
      </c>
      <c r="J44" s="296">
        <f t="shared" si="34"/>
        <v>34.299999999999997</v>
      </c>
      <c r="K44" s="296">
        <f t="shared" si="34"/>
        <v>0</v>
      </c>
      <c r="L44" s="296">
        <f t="shared" si="34"/>
        <v>28.5</v>
      </c>
      <c r="M44" s="296">
        <f t="shared" si="34"/>
        <v>33.299999999999997</v>
      </c>
      <c r="N44" s="296">
        <f t="shared" si="34"/>
        <v>39.1</v>
      </c>
      <c r="O44" s="296">
        <f>ROUND(O42*$B164,1)</f>
        <v>27.4</v>
      </c>
    </row>
    <row r="45" spans="1:17" ht="15">
      <c r="A45" s="279" t="s">
        <v>866</v>
      </c>
      <c r="B45" s="299">
        <f t="shared" ref="B45:H45" si="35">($B165*B40*$B146)</f>
        <v>6.4229222399999992E-3</v>
      </c>
      <c r="C45" s="299">
        <f t="shared" si="35"/>
        <v>6.3467064831999988E-3</v>
      </c>
      <c r="D45" s="299">
        <f t="shared" si="35"/>
        <v>5.2002491733333335E-3</v>
      </c>
      <c r="E45" s="299">
        <f t="shared" si="35"/>
        <v>5.2358553600000005E-3</v>
      </c>
      <c r="F45" s="299">
        <f t="shared" si="35"/>
        <v>5.908123178666666E-3</v>
      </c>
      <c r="G45" s="299">
        <f t="shared" si="35"/>
        <v>9.2909489920000015E-3</v>
      </c>
      <c r="H45" s="299">
        <f t="shared" si="35"/>
        <v>8.4255030613333334E-3</v>
      </c>
      <c r="I45" s="299">
        <f t="shared" ref="I45:N45" si="36">($B165*I40*$B146)</f>
        <v>1.038918084352E-2</v>
      </c>
      <c r="J45" s="299">
        <f t="shared" si="36"/>
        <v>1.2405556522666665E-2</v>
      </c>
      <c r="K45" s="299">
        <f t="shared" si="36"/>
        <v>0</v>
      </c>
      <c r="L45" s="299">
        <f t="shared" si="36"/>
        <v>1.0326458112E-2</v>
      </c>
      <c r="M45" s="299">
        <f t="shared" si="36"/>
        <v>1.2784900602879996E-2</v>
      </c>
      <c r="N45" s="299">
        <f t="shared" si="36"/>
        <v>1.5015428951040001E-2</v>
      </c>
      <c r="O45" s="299">
        <f>($B165*O40*$B146)</f>
        <v>1.053007936512E-2</v>
      </c>
    </row>
    <row r="46" spans="1:17" ht="15">
      <c r="A46" s="295" t="s">
        <v>188</v>
      </c>
      <c r="B46" s="300">
        <f t="shared" ref="B46:H46" si="37">B40*$B165*$B146*$B149</f>
        <v>0.13488136703999998</v>
      </c>
      <c r="C46" s="300">
        <f t="shared" si="37"/>
        <v>0.13328083614719999</v>
      </c>
      <c r="D46" s="300">
        <f t="shared" si="37"/>
        <v>0.10920523264</v>
      </c>
      <c r="E46" s="300">
        <f t="shared" si="37"/>
        <v>0.10995296256000001</v>
      </c>
      <c r="F46" s="300">
        <f t="shared" si="37"/>
        <v>0.12407058675199999</v>
      </c>
      <c r="G46" s="300">
        <f t="shared" si="37"/>
        <v>0.19510992883200004</v>
      </c>
      <c r="H46" s="300">
        <f t="shared" si="37"/>
        <v>0.176935564288</v>
      </c>
      <c r="I46" s="300">
        <f t="shared" ref="I46:N46" si="38">I40*$B165*$B146*$B149</f>
        <v>0.21817279771392001</v>
      </c>
      <c r="J46" s="300">
        <f t="shared" si="38"/>
        <v>0.26051668697599994</v>
      </c>
      <c r="K46" s="300">
        <f t="shared" si="38"/>
        <v>0</v>
      </c>
      <c r="L46" s="300">
        <f t="shared" si="38"/>
        <v>0.21685562035199998</v>
      </c>
      <c r="M46" s="300">
        <f t="shared" si="38"/>
        <v>0.26848291266047991</v>
      </c>
      <c r="N46" s="300">
        <f t="shared" si="38"/>
        <v>0.31532400797184001</v>
      </c>
      <c r="O46" s="300">
        <f>O40*$B165*$B146*$B149</f>
        <v>0.22113166666751999</v>
      </c>
    </row>
    <row r="47" spans="1:17" ht="15">
      <c r="A47" s="279" t="s">
        <v>859</v>
      </c>
      <c r="B47" s="299">
        <f t="shared" ref="B47:H47" si="39">($B166*B40*$B146)</f>
        <v>4.9110751200000004E-3</v>
      </c>
      <c r="C47" s="299">
        <f t="shared" si="39"/>
        <v>4.8527992615999991E-3</v>
      </c>
      <c r="D47" s="299">
        <f t="shared" si="39"/>
        <v>3.9761985866666669E-3</v>
      </c>
      <c r="E47" s="299">
        <f t="shared" si="39"/>
        <v>4.0034236799999998E-3</v>
      </c>
      <c r="F47" s="299">
        <f t="shared" si="39"/>
        <v>4.5174510393333339E-3</v>
      </c>
      <c r="G47" s="299">
        <f t="shared" si="39"/>
        <v>7.104016946E-3</v>
      </c>
      <c r="H47" s="299">
        <f t="shared" si="39"/>
        <v>6.4422823306666665E-3</v>
      </c>
      <c r="I47" s="299">
        <f t="shared" ref="I47:N47" si="40">($B166*I40*$B146)</f>
        <v>7.9437436187599995E-3</v>
      </c>
      <c r="J47" s="299">
        <f t="shared" si="40"/>
        <v>9.4854986113333314E-3</v>
      </c>
      <c r="K47" s="299">
        <f t="shared" si="40"/>
        <v>0</v>
      </c>
      <c r="L47" s="299">
        <f t="shared" si="40"/>
        <v>7.8957847559999999E-3</v>
      </c>
      <c r="M47" s="299">
        <f t="shared" si="40"/>
        <v>9.7755515194399966E-3</v>
      </c>
      <c r="N47" s="299">
        <f t="shared" si="40"/>
        <v>1.1481051269520001E-2</v>
      </c>
      <c r="O47" s="299">
        <f>($B166*O40*$B146)</f>
        <v>8.0514770145600004E-3</v>
      </c>
    </row>
    <row r="48" spans="1:17" ht="15">
      <c r="A48" s="295" t="s">
        <v>190</v>
      </c>
      <c r="B48" s="301">
        <f t="shared" ref="B48:H48" si="41">B40*$B166*$B146*$B150</f>
        <v>1.5224332872000002</v>
      </c>
      <c r="C48" s="301">
        <f t="shared" si="41"/>
        <v>1.5043677710959997</v>
      </c>
      <c r="D48" s="301">
        <f t="shared" si="41"/>
        <v>1.2326215618666667</v>
      </c>
      <c r="E48" s="301">
        <f t="shared" si="41"/>
        <v>1.2410613408</v>
      </c>
      <c r="F48" s="301">
        <f t="shared" si="41"/>
        <v>1.4004098221933334</v>
      </c>
      <c r="G48" s="301">
        <f t="shared" si="41"/>
        <v>2.2022452532600001</v>
      </c>
      <c r="H48" s="301">
        <f t="shared" si="41"/>
        <v>1.9971075225066666</v>
      </c>
      <c r="I48" s="301">
        <f t="shared" ref="I48:N48" si="42">I40*$B166*$B146*$B150</f>
        <v>2.4625605218155999</v>
      </c>
      <c r="J48" s="301">
        <f t="shared" si="42"/>
        <v>2.9405045695133327</v>
      </c>
      <c r="K48" s="301">
        <f t="shared" si="42"/>
        <v>0</v>
      </c>
      <c r="L48" s="301">
        <f t="shared" si="42"/>
        <v>2.4476932743600002</v>
      </c>
      <c r="M48" s="301">
        <f t="shared" si="42"/>
        <v>3.0304209710263987</v>
      </c>
      <c r="N48" s="301">
        <f t="shared" si="42"/>
        <v>3.5591258935512005</v>
      </c>
      <c r="O48" s="301">
        <f>O40*$B166*$B146*$B150</f>
        <v>2.4959578745136</v>
      </c>
    </row>
    <row r="49" spans="1:15">
      <c r="A49" s="492" t="s">
        <v>881</v>
      </c>
      <c r="B49" s="493">
        <f t="shared" ref="B49:G49" si="43">ROUND(B44+B46+B48,1)</f>
        <v>20.6</v>
      </c>
      <c r="C49" s="493">
        <f t="shared" si="43"/>
        <v>20.3</v>
      </c>
      <c r="D49" s="493">
        <f t="shared" si="43"/>
        <v>16.600000000000001</v>
      </c>
      <c r="E49" s="493">
        <f t="shared" si="43"/>
        <v>16.8</v>
      </c>
      <c r="F49" s="493">
        <f t="shared" si="43"/>
        <v>17.8</v>
      </c>
      <c r="G49" s="493">
        <f t="shared" si="43"/>
        <v>28.1</v>
      </c>
      <c r="H49" s="493">
        <f t="shared" ref="H49:M49" si="44">ROUND(H44+H46+H48,1)</f>
        <v>25.5</v>
      </c>
      <c r="I49" s="493">
        <f t="shared" si="44"/>
        <v>31.4</v>
      </c>
      <c r="J49" s="493">
        <f t="shared" si="44"/>
        <v>37.5</v>
      </c>
      <c r="K49" s="493">
        <f t="shared" si="44"/>
        <v>0</v>
      </c>
      <c r="L49" s="493">
        <f t="shared" si="44"/>
        <v>31.2</v>
      </c>
      <c r="M49" s="493">
        <f t="shared" si="44"/>
        <v>36.6</v>
      </c>
      <c r="N49" s="493">
        <f>ROUND(N44+N46+N48,1)</f>
        <v>43</v>
      </c>
      <c r="O49" s="493">
        <f>ROUND(O44+O46+O48,1)</f>
        <v>30.1</v>
      </c>
    </row>
    <row r="50" spans="1:15">
      <c r="A50" s="270"/>
      <c r="B50" s="270"/>
      <c r="C50" s="270"/>
      <c r="D50" s="270"/>
      <c r="E50" s="270"/>
      <c r="F50" s="270"/>
      <c r="G50" s="270"/>
      <c r="H50" s="270"/>
      <c r="I50" s="270"/>
      <c r="J50" s="270"/>
    </row>
    <row r="51" spans="1:15" s="201" customFormat="1" ht="89" customHeight="1">
      <c r="A51" s="868" t="s">
        <v>778</v>
      </c>
      <c r="B51" s="868"/>
      <c r="C51" s="868"/>
      <c r="D51" s="868"/>
      <c r="E51" s="868"/>
      <c r="F51" s="868"/>
      <c r="G51" s="868"/>
      <c r="H51" s="314"/>
      <c r="I51" s="314"/>
      <c r="J51" s="314"/>
    </row>
    <row r="52" spans="1:15" s="201" customFormat="1">
      <c r="A52" s="314"/>
      <c r="B52" s="314"/>
      <c r="C52" s="314"/>
      <c r="D52" s="314"/>
      <c r="E52" s="314"/>
      <c r="F52" s="314"/>
      <c r="G52" s="314"/>
      <c r="H52" s="314"/>
      <c r="I52" s="314"/>
      <c r="J52" s="314"/>
    </row>
    <row r="53" spans="1:15" ht="16">
      <c r="A53" s="272" t="s">
        <v>673</v>
      </c>
      <c r="B53" s="303"/>
      <c r="C53" s="303"/>
      <c r="D53" s="303"/>
      <c r="E53" s="303"/>
      <c r="F53" s="270"/>
      <c r="G53" s="270"/>
      <c r="H53" s="270"/>
      <c r="I53" s="270"/>
      <c r="J53" s="270"/>
    </row>
    <row r="54" spans="1:15">
      <c r="A54" s="273"/>
      <c r="B54" s="286" t="s">
        <v>629</v>
      </c>
      <c r="C54" s="270"/>
      <c r="D54" s="270"/>
      <c r="E54" s="270"/>
      <c r="F54" s="270"/>
      <c r="G54" s="270"/>
      <c r="H54" s="270"/>
      <c r="I54" s="270"/>
      <c r="J54" s="270"/>
    </row>
    <row r="55" spans="1:15">
      <c r="A55" s="286" t="s">
        <v>628</v>
      </c>
      <c r="B55" s="274" t="s">
        <v>310</v>
      </c>
      <c r="C55" s="274" t="s">
        <v>339</v>
      </c>
      <c r="D55" s="274" t="s">
        <v>731</v>
      </c>
      <c r="E55" s="274" t="s">
        <v>24</v>
      </c>
      <c r="F55" s="274" t="s">
        <v>1005</v>
      </c>
      <c r="G55" s="274" t="s">
        <v>970</v>
      </c>
      <c r="H55" s="274" t="s">
        <v>956</v>
      </c>
      <c r="I55" s="274" t="s">
        <v>1124</v>
      </c>
      <c r="J55" s="274" t="s">
        <v>1154</v>
      </c>
      <c r="K55" s="274" t="s">
        <v>1199</v>
      </c>
      <c r="L55" s="274" t="s">
        <v>1197</v>
      </c>
      <c r="M55" s="677" t="s">
        <v>1251</v>
      </c>
      <c r="N55" s="677" t="s">
        <v>1261</v>
      </c>
      <c r="O55" s="677" t="s">
        <v>1277</v>
      </c>
    </row>
    <row r="56" spans="1:15" s="126" customFormat="1" ht="13.5" customHeight="1">
      <c r="A56" s="315" t="s">
        <v>622</v>
      </c>
      <c r="B56" s="316">
        <v>278265</v>
      </c>
      <c r="C56" s="316">
        <v>281232.68</v>
      </c>
      <c r="D56" s="400">
        <v>263807</v>
      </c>
      <c r="E56" s="624">
        <v>303160</v>
      </c>
      <c r="F56" s="772">
        <v>369243</v>
      </c>
      <c r="G56" s="772">
        <v>463534</v>
      </c>
      <c r="H56" s="773">
        <v>459053</v>
      </c>
      <c r="I56" s="773">
        <v>477637.74</v>
      </c>
      <c r="J56" s="773">
        <v>502938</v>
      </c>
      <c r="K56" s="773">
        <v>0</v>
      </c>
      <c r="L56" s="773">
        <v>509327</v>
      </c>
      <c r="M56" s="773">
        <v>558054.30999999982</v>
      </c>
      <c r="N56" s="773">
        <v>436828.74999999994</v>
      </c>
      <c r="O56" s="796">
        <v>459714.95000000007</v>
      </c>
    </row>
    <row r="57" spans="1:15" s="29" customFormat="1">
      <c r="A57" s="306" t="s">
        <v>304</v>
      </c>
      <c r="B57" s="629">
        <v>55</v>
      </c>
      <c r="C57" s="630">
        <v>55</v>
      </c>
      <c r="D57" s="630">
        <v>55</v>
      </c>
      <c r="E57" s="630">
        <v>55</v>
      </c>
      <c r="F57" s="630">
        <v>55</v>
      </c>
      <c r="G57" s="630">
        <v>55</v>
      </c>
      <c r="H57" s="630">
        <v>55</v>
      </c>
      <c r="I57" s="630">
        <v>55</v>
      </c>
      <c r="J57" s="630">
        <v>55</v>
      </c>
      <c r="K57" s="630">
        <v>55</v>
      </c>
      <c r="L57" s="630">
        <v>55</v>
      </c>
      <c r="M57" s="630">
        <v>56</v>
      </c>
      <c r="N57" s="630">
        <v>56</v>
      </c>
      <c r="O57" s="630">
        <v>56</v>
      </c>
    </row>
    <row r="58" spans="1:15" s="29" customFormat="1">
      <c r="A58" s="306" t="s">
        <v>837</v>
      </c>
      <c r="B58" s="311">
        <v>101</v>
      </c>
      <c r="C58" s="372">
        <v>101</v>
      </c>
      <c r="D58" s="372">
        <v>101</v>
      </c>
      <c r="E58" s="372">
        <v>101</v>
      </c>
      <c r="F58" s="372">
        <v>101</v>
      </c>
      <c r="G58" s="372">
        <v>101</v>
      </c>
      <c r="H58" s="372">
        <v>101</v>
      </c>
      <c r="I58" s="372">
        <v>101</v>
      </c>
      <c r="J58" s="372">
        <v>101</v>
      </c>
      <c r="K58" s="372">
        <v>101</v>
      </c>
      <c r="L58" s="372">
        <v>101</v>
      </c>
      <c r="M58" s="372">
        <v>101</v>
      </c>
      <c r="N58" s="372">
        <v>101</v>
      </c>
      <c r="O58" s="372">
        <v>101</v>
      </c>
    </row>
    <row r="59" spans="1:15" s="29" customFormat="1">
      <c r="A59" s="306" t="s">
        <v>263</v>
      </c>
      <c r="B59" s="308">
        <v>3.55</v>
      </c>
      <c r="C59" s="374">
        <v>3.55</v>
      </c>
      <c r="D59" s="374">
        <v>3.55</v>
      </c>
      <c r="E59" s="374">
        <v>3.55</v>
      </c>
      <c r="F59" s="374">
        <v>3.55</v>
      </c>
      <c r="G59" s="374">
        <v>3.55</v>
      </c>
      <c r="H59" s="374">
        <v>3.55</v>
      </c>
      <c r="I59" s="374">
        <v>3.55</v>
      </c>
      <c r="J59" s="374">
        <v>3.55</v>
      </c>
      <c r="K59" s="374">
        <v>3.55</v>
      </c>
      <c r="L59" s="374">
        <v>3.55</v>
      </c>
      <c r="M59" s="374">
        <v>3.55</v>
      </c>
      <c r="N59" s="374">
        <v>3.55</v>
      </c>
      <c r="O59" s="374">
        <v>3.55</v>
      </c>
    </row>
    <row r="60" spans="1:15" s="29" customFormat="1">
      <c r="A60" s="306" t="s">
        <v>392</v>
      </c>
      <c r="B60" s="308">
        <v>3.55</v>
      </c>
      <c r="C60" s="374">
        <v>3.55</v>
      </c>
      <c r="D60" s="374">
        <v>3.55</v>
      </c>
      <c r="E60" s="374">
        <v>3.55</v>
      </c>
      <c r="F60" s="374">
        <v>3.55</v>
      </c>
      <c r="G60" s="374">
        <v>3.55</v>
      </c>
      <c r="H60" s="374">
        <v>3.55</v>
      </c>
      <c r="I60" s="374">
        <v>3.55</v>
      </c>
      <c r="J60" s="374">
        <v>3.55</v>
      </c>
      <c r="K60" s="374">
        <v>3.55</v>
      </c>
      <c r="L60" s="374">
        <v>3.55</v>
      </c>
      <c r="M60" s="374">
        <v>3.55</v>
      </c>
      <c r="N60" s="374">
        <v>3.55</v>
      </c>
      <c r="O60" s="374">
        <v>3.55</v>
      </c>
    </row>
    <row r="61" spans="1:15">
      <c r="A61" s="304" t="s">
        <v>618</v>
      </c>
      <c r="B61" s="319"/>
      <c r="C61" s="270"/>
      <c r="D61" s="270"/>
    </row>
    <row r="62" spans="1:15">
      <c r="A62" s="290" t="s">
        <v>658</v>
      </c>
      <c r="B62" s="320">
        <f t="shared" ref="B62:F63" si="45">$B181/$B183</f>
        <v>56.18181818181818</v>
      </c>
      <c r="C62" s="320">
        <f t="shared" si="45"/>
        <v>56.18181818181818</v>
      </c>
      <c r="D62" s="320">
        <f t="shared" si="45"/>
        <v>56.18181818181818</v>
      </c>
      <c r="E62" s="320">
        <f t="shared" si="45"/>
        <v>56.18181818181818</v>
      </c>
      <c r="F62" s="320">
        <f t="shared" si="45"/>
        <v>56.18181818181818</v>
      </c>
      <c r="G62" s="320">
        <f t="shared" ref="G62:I63" si="46">$B181/$B183</f>
        <v>56.18181818181818</v>
      </c>
      <c r="H62" s="320">
        <f t="shared" si="46"/>
        <v>56.18181818181818</v>
      </c>
      <c r="I62" s="320">
        <f t="shared" si="46"/>
        <v>56.18181818181818</v>
      </c>
      <c r="J62" s="320">
        <f t="shared" ref="J62:L63" si="47">$B181/$B183</f>
        <v>56.18181818181818</v>
      </c>
      <c r="K62" s="320">
        <f t="shared" si="47"/>
        <v>56.18181818181818</v>
      </c>
      <c r="L62" s="320">
        <f t="shared" si="47"/>
        <v>56.18181818181818</v>
      </c>
      <c r="M62" s="320">
        <f t="shared" ref="M62:O63" si="48">$B181/$B183</f>
        <v>56.18181818181818</v>
      </c>
      <c r="N62" s="320">
        <f t="shared" si="48"/>
        <v>56.18181818181818</v>
      </c>
      <c r="O62" s="320">
        <f t="shared" si="48"/>
        <v>56.18181818181818</v>
      </c>
    </row>
    <row r="63" spans="1:15">
      <c r="A63" s="290" t="s">
        <v>325</v>
      </c>
      <c r="B63" s="320">
        <f t="shared" si="45"/>
        <v>40.433465392682365</v>
      </c>
      <c r="C63" s="320">
        <f t="shared" si="45"/>
        <v>40.433465392682365</v>
      </c>
      <c r="D63" s="320">
        <f t="shared" si="45"/>
        <v>40.433465392682365</v>
      </c>
      <c r="E63" s="320">
        <f t="shared" si="45"/>
        <v>40.433465392682365</v>
      </c>
      <c r="F63" s="320">
        <f t="shared" si="45"/>
        <v>40.433465392682365</v>
      </c>
      <c r="G63" s="320">
        <f t="shared" si="46"/>
        <v>40.433465392682365</v>
      </c>
      <c r="H63" s="320">
        <f t="shared" si="46"/>
        <v>40.433465392682365</v>
      </c>
      <c r="I63" s="320">
        <f t="shared" si="46"/>
        <v>40.433465392682365</v>
      </c>
      <c r="J63" s="320">
        <f t="shared" si="47"/>
        <v>40.433465392682365</v>
      </c>
      <c r="K63" s="320">
        <f t="shared" si="47"/>
        <v>40.433465392682365</v>
      </c>
      <c r="L63" s="320">
        <f t="shared" si="47"/>
        <v>40.433465392682365</v>
      </c>
      <c r="M63" s="320">
        <f t="shared" si="48"/>
        <v>40.433465392682365</v>
      </c>
      <c r="N63" s="320">
        <f t="shared" si="48"/>
        <v>40.433465392682365</v>
      </c>
      <c r="O63" s="320">
        <f t="shared" si="48"/>
        <v>40.433465392682365</v>
      </c>
    </row>
    <row r="64" spans="1:15">
      <c r="A64" s="290" t="s">
        <v>493</v>
      </c>
      <c r="B64" s="305">
        <f t="shared" ref="B64:H64" si="49">((SUM($B183:$B185))*B58+($B181*B59)+($B182*B60))</f>
        <v>4128.6264000000001</v>
      </c>
      <c r="C64" s="305">
        <f t="shared" si="49"/>
        <v>4128.6264000000001</v>
      </c>
      <c r="D64" s="305">
        <f t="shared" si="49"/>
        <v>4128.6264000000001</v>
      </c>
      <c r="E64" s="305">
        <f t="shared" si="49"/>
        <v>4128.6264000000001</v>
      </c>
      <c r="F64" s="305">
        <f t="shared" si="49"/>
        <v>4128.6264000000001</v>
      </c>
      <c r="G64" s="305">
        <f t="shared" si="49"/>
        <v>4128.6264000000001</v>
      </c>
      <c r="H64" s="305">
        <f t="shared" si="49"/>
        <v>4128.6264000000001</v>
      </c>
      <c r="I64" s="305">
        <f t="shared" ref="I64:N64" si="50">((SUM($B183:$B185))*I58+($B181*I59)+($B182*I60))</f>
        <v>4128.6264000000001</v>
      </c>
      <c r="J64" s="305">
        <f t="shared" si="50"/>
        <v>4128.6264000000001</v>
      </c>
      <c r="K64" s="305">
        <f t="shared" si="50"/>
        <v>4128.6264000000001</v>
      </c>
      <c r="L64" s="305">
        <f t="shared" si="50"/>
        <v>4128.6264000000001</v>
      </c>
      <c r="M64" s="305">
        <f t="shared" si="50"/>
        <v>4128.6264000000001</v>
      </c>
      <c r="N64" s="305">
        <f t="shared" si="50"/>
        <v>4128.6264000000001</v>
      </c>
      <c r="O64" s="305">
        <f>((SUM($B183:$B185))*O58+($B181*O59)+($B182*O60))</f>
        <v>4128.6264000000001</v>
      </c>
    </row>
    <row r="65" spans="1:15">
      <c r="A65" s="290" t="s">
        <v>492</v>
      </c>
      <c r="B65" s="278">
        <f t="shared" ref="B65:G65" si="51">(SUM($B181:$B182))*$B186</f>
        <v>99.604259999999996</v>
      </c>
      <c r="C65" s="278">
        <f t="shared" si="51"/>
        <v>99.604259999999996</v>
      </c>
      <c r="D65" s="278">
        <f t="shared" si="51"/>
        <v>99.604259999999996</v>
      </c>
      <c r="E65" s="278">
        <f t="shared" si="51"/>
        <v>99.604259999999996</v>
      </c>
      <c r="F65" s="278">
        <f t="shared" si="51"/>
        <v>99.604259999999996</v>
      </c>
      <c r="G65" s="278">
        <f t="shared" si="51"/>
        <v>99.604259999999996</v>
      </c>
      <c r="H65" s="278">
        <f t="shared" ref="H65:M65" si="52">(SUM($B181:$B182))*$B186</f>
        <v>99.604259999999996</v>
      </c>
      <c r="I65" s="278">
        <f t="shared" si="52"/>
        <v>99.604259999999996</v>
      </c>
      <c r="J65" s="278">
        <f t="shared" si="52"/>
        <v>99.604259999999996</v>
      </c>
      <c r="K65" s="278">
        <f t="shared" si="52"/>
        <v>99.604259999999996</v>
      </c>
      <c r="L65" s="278">
        <f t="shared" si="52"/>
        <v>99.604259999999996</v>
      </c>
      <c r="M65" s="278">
        <f t="shared" si="52"/>
        <v>99.604259999999996</v>
      </c>
      <c r="N65" s="278">
        <f>(SUM($B181:$B182))*$B186</f>
        <v>99.604259999999996</v>
      </c>
      <c r="O65" s="278">
        <f>(SUM($B181:$B182))*$B186</f>
        <v>99.604259999999996</v>
      </c>
    </row>
    <row r="66" spans="1:15">
      <c r="A66" s="312" t="s">
        <v>242</v>
      </c>
      <c r="B66" s="321">
        <f t="shared" ref="B66:G66" si="53">B65/B64</f>
        <v>2.412527808280255E-2</v>
      </c>
      <c r="C66" s="321">
        <f t="shared" si="53"/>
        <v>2.412527808280255E-2</v>
      </c>
      <c r="D66" s="321">
        <f t="shared" si="53"/>
        <v>2.412527808280255E-2</v>
      </c>
      <c r="E66" s="321">
        <f t="shared" si="53"/>
        <v>2.412527808280255E-2</v>
      </c>
      <c r="F66" s="321">
        <f t="shared" si="53"/>
        <v>2.412527808280255E-2</v>
      </c>
      <c r="G66" s="321">
        <f t="shared" si="53"/>
        <v>2.412527808280255E-2</v>
      </c>
      <c r="H66" s="321">
        <f t="shared" ref="H66:M66" si="54">H65/H64</f>
        <v>2.412527808280255E-2</v>
      </c>
      <c r="I66" s="321">
        <f t="shared" si="54"/>
        <v>2.412527808280255E-2</v>
      </c>
      <c r="J66" s="321">
        <f t="shared" si="54"/>
        <v>2.412527808280255E-2</v>
      </c>
      <c r="K66" s="321">
        <f t="shared" si="54"/>
        <v>2.412527808280255E-2</v>
      </c>
      <c r="L66" s="321">
        <f t="shared" si="54"/>
        <v>2.412527808280255E-2</v>
      </c>
      <c r="M66" s="321">
        <f t="shared" si="54"/>
        <v>2.412527808280255E-2</v>
      </c>
      <c r="N66" s="321">
        <f>N65/N64</f>
        <v>2.412527808280255E-2</v>
      </c>
      <c r="O66" s="321">
        <f>O65/O64</f>
        <v>2.412527808280255E-2</v>
      </c>
    </row>
    <row r="67" spans="1:15">
      <c r="A67" s="283" t="s">
        <v>581</v>
      </c>
      <c r="B67" s="292">
        <f t="shared" ref="B67:G67" si="55">B56*B66</f>
        <v>6713.2205057110514</v>
      </c>
      <c r="C67" s="292">
        <f t="shared" si="55"/>
        <v>6784.8166109718231</v>
      </c>
      <c r="D67" s="292">
        <f t="shared" si="55"/>
        <v>6364.4172351898924</v>
      </c>
      <c r="E67" s="292">
        <f t="shared" si="55"/>
        <v>7313.8193035824206</v>
      </c>
      <c r="F67" s="292">
        <f t="shared" si="55"/>
        <v>8908.0900551282612</v>
      </c>
      <c r="G67" s="292">
        <f t="shared" si="55"/>
        <v>11182.886650833798</v>
      </c>
      <c r="H67" s="292">
        <f t="shared" ref="H67:M67" si="56">H56*H66</f>
        <v>11074.781279744759</v>
      </c>
      <c r="I67" s="292">
        <f t="shared" si="56"/>
        <v>11523.143300341342</v>
      </c>
      <c r="J67" s="292">
        <f t="shared" si="56"/>
        <v>12133.519108408549</v>
      </c>
      <c r="K67" s="292">
        <f t="shared" si="56"/>
        <v>0</v>
      </c>
      <c r="L67" s="292">
        <f t="shared" si="56"/>
        <v>12287.655510079574</v>
      </c>
      <c r="M67" s="292">
        <f t="shared" si="56"/>
        <v>13463.215414056496</v>
      </c>
      <c r="N67" s="292">
        <f>N56*N66</f>
        <v>10538.615068313033</v>
      </c>
      <c r="O67" s="292">
        <f>O56*O66</f>
        <v>11090.751007571671</v>
      </c>
    </row>
    <row r="68" spans="1:15">
      <c r="A68" s="293" t="s">
        <v>405</v>
      </c>
      <c r="B68" s="294">
        <f t="shared" ref="B68:H68" si="57">ROUND(B67*$B173,1)</f>
        <v>931.1</v>
      </c>
      <c r="C68" s="294">
        <f t="shared" si="57"/>
        <v>941</v>
      </c>
      <c r="D68" s="294">
        <f t="shared" si="57"/>
        <v>882.7</v>
      </c>
      <c r="E68" s="294">
        <f t="shared" si="57"/>
        <v>1014.4</v>
      </c>
      <c r="F68" s="294">
        <f t="shared" si="57"/>
        <v>1235.5</v>
      </c>
      <c r="G68" s="294">
        <f t="shared" si="57"/>
        <v>1551</v>
      </c>
      <c r="H68" s="294">
        <f t="shared" si="57"/>
        <v>1536</v>
      </c>
      <c r="I68" s="294">
        <f t="shared" ref="I68:N68" si="58">ROUND(I67*$B173,1)</f>
        <v>1598.2</v>
      </c>
      <c r="J68" s="294">
        <f t="shared" si="58"/>
        <v>1682.8</v>
      </c>
      <c r="K68" s="294">
        <f t="shared" si="58"/>
        <v>0</v>
      </c>
      <c r="L68" s="294">
        <f t="shared" si="58"/>
        <v>1704.2</v>
      </c>
      <c r="M68" s="294">
        <f t="shared" si="58"/>
        <v>1867.2</v>
      </c>
      <c r="N68" s="294">
        <f t="shared" si="58"/>
        <v>1461.6</v>
      </c>
      <c r="O68" s="294">
        <f>ROUND(O67*$B173,1)</f>
        <v>1538.2</v>
      </c>
    </row>
    <row r="69" spans="1:15" ht="15">
      <c r="A69" s="295" t="s">
        <v>173</v>
      </c>
      <c r="B69" s="296">
        <f t="shared" ref="B69:H69" si="59">ROUND(B67*$B174,1)</f>
        <v>67.400000000000006</v>
      </c>
      <c r="C69" s="296">
        <f t="shared" si="59"/>
        <v>68.099999999999994</v>
      </c>
      <c r="D69" s="296">
        <f t="shared" si="59"/>
        <v>63.9</v>
      </c>
      <c r="E69" s="296">
        <f t="shared" si="59"/>
        <v>73.400000000000006</v>
      </c>
      <c r="F69" s="296">
        <f t="shared" si="59"/>
        <v>89.4</v>
      </c>
      <c r="G69" s="296">
        <f t="shared" si="59"/>
        <v>112.2</v>
      </c>
      <c r="H69" s="296">
        <f t="shared" si="59"/>
        <v>111.2</v>
      </c>
      <c r="I69" s="296">
        <f t="shared" ref="I69:N69" si="60">ROUND(I67*$B174,1)</f>
        <v>115.7</v>
      </c>
      <c r="J69" s="296">
        <f t="shared" si="60"/>
        <v>121.8</v>
      </c>
      <c r="K69" s="296">
        <f t="shared" si="60"/>
        <v>0</v>
      </c>
      <c r="L69" s="296">
        <f t="shared" si="60"/>
        <v>123.3</v>
      </c>
      <c r="M69" s="296">
        <f t="shared" si="60"/>
        <v>135.1</v>
      </c>
      <c r="N69" s="296">
        <f t="shared" si="60"/>
        <v>105.8</v>
      </c>
      <c r="O69" s="296">
        <f>ROUND(O67*$B174,1)</f>
        <v>111.3</v>
      </c>
    </row>
    <row r="70" spans="1:15">
      <c r="A70" s="283" t="s">
        <v>582</v>
      </c>
      <c r="B70" s="292">
        <f t="shared" ref="B70:H70" si="61">B67*$B187</f>
        <v>46330.024194003119</v>
      </c>
      <c r="C70" s="292">
        <f t="shared" si="61"/>
        <v>46824.131200633703</v>
      </c>
      <c r="D70" s="292">
        <f t="shared" si="61"/>
        <v>43922.824259419547</v>
      </c>
      <c r="E70" s="292">
        <f t="shared" si="61"/>
        <v>50474.943433971159</v>
      </c>
      <c r="F70" s="292">
        <f t="shared" si="61"/>
        <v>61477.502105785105</v>
      </c>
      <c r="G70" s="292">
        <f t="shared" si="61"/>
        <v>77176.581441227041</v>
      </c>
      <c r="H70" s="292">
        <f t="shared" si="61"/>
        <v>76430.512627638091</v>
      </c>
      <c r="I70" s="292">
        <f t="shared" ref="I70:N70" si="62">I67*$B187</f>
        <v>79524.798484067229</v>
      </c>
      <c r="J70" s="292">
        <f t="shared" si="62"/>
        <v>83737.191914482741</v>
      </c>
      <c r="K70" s="292">
        <f t="shared" si="62"/>
        <v>0</v>
      </c>
      <c r="L70" s="292">
        <f t="shared" si="62"/>
        <v>84800.93519723654</v>
      </c>
      <c r="M70" s="292">
        <f t="shared" si="62"/>
        <v>92913.839986587278</v>
      </c>
      <c r="N70" s="292">
        <f t="shared" si="62"/>
        <v>72730.262721276973</v>
      </c>
      <c r="O70" s="292">
        <f>O67*$B187</f>
        <v>76540.724689935625</v>
      </c>
    </row>
    <row r="71" spans="1:15" ht="15">
      <c r="A71" s="279" t="s">
        <v>627</v>
      </c>
      <c r="B71" s="299">
        <f t="shared" ref="B71:H71" si="63">($B175*B70*$B146)</f>
        <v>4.4754803371407012E-3</v>
      </c>
      <c r="C71" s="299">
        <f t="shared" si="63"/>
        <v>4.5232110739812162E-3</v>
      </c>
      <c r="D71" s="299">
        <f t="shared" si="63"/>
        <v>4.2429448234599281E-3</v>
      </c>
      <c r="E71" s="299">
        <f t="shared" si="63"/>
        <v>4.8758795357216134E-3</v>
      </c>
      <c r="F71" s="299">
        <f t="shared" si="63"/>
        <v>5.9387267034188415E-3</v>
      </c>
      <c r="G71" s="299">
        <f t="shared" si="63"/>
        <v>7.4552577672225319E-3</v>
      </c>
      <c r="H71" s="299">
        <f t="shared" si="63"/>
        <v>7.38318751982984E-3</v>
      </c>
      <c r="I71" s="299">
        <f t="shared" ref="I71:N71" si="64">($B175*I70*$B146)</f>
        <v>7.682095533560895E-3</v>
      </c>
      <c r="J71" s="299">
        <f t="shared" si="64"/>
        <v>8.0890127389390328E-3</v>
      </c>
      <c r="K71" s="299">
        <f t="shared" si="64"/>
        <v>0</v>
      </c>
      <c r="L71" s="299">
        <f t="shared" si="64"/>
        <v>8.1917703400530492E-3</v>
      </c>
      <c r="M71" s="299">
        <f t="shared" si="64"/>
        <v>8.9754769427043309E-3</v>
      </c>
      <c r="N71" s="299">
        <f t="shared" si="64"/>
        <v>7.0257433788753557E-3</v>
      </c>
      <c r="O71" s="299">
        <f>($B175*O70*$B146)</f>
        <v>7.3938340050477818E-3</v>
      </c>
    </row>
    <row r="72" spans="1:15" ht="15">
      <c r="A72" s="295" t="s">
        <v>188</v>
      </c>
      <c r="B72" s="322">
        <f t="shared" ref="B72:H72" si="65">B70*$B175*$B146*$B149</f>
        <v>9.3985087079954732E-2</v>
      </c>
      <c r="C72" s="322">
        <f t="shared" si="65"/>
        <v>9.4987432553605533E-2</v>
      </c>
      <c r="D72" s="322">
        <f t="shared" si="65"/>
        <v>8.9101841292658496E-2</v>
      </c>
      <c r="E72" s="322">
        <f t="shared" si="65"/>
        <v>0.10239347025015388</v>
      </c>
      <c r="F72" s="322">
        <f t="shared" si="65"/>
        <v>0.12471326077179568</v>
      </c>
      <c r="G72" s="322">
        <f t="shared" si="65"/>
        <v>0.15656041311167318</v>
      </c>
      <c r="H72" s="322">
        <f t="shared" si="65"/>
        <v>0.15504693791642665</v>
      </c>
      <c r="I72" s="322">
        <f t="shared" ref="I72:N72" si="66">I70*$B175*$B146*$B149</f>
        <v>0.1613240062047788</v>
      </c>
      <c r="J72" s="322">
        <f t="shared" si="66"/>
        <v>0.16986926751771969</v>
      </c>
      <c r="K72" s="322">
        <f t="shared" si="66"/>
        <v>0</v>
      </c>
      <c r="L72" s="322">
        <f t="shared" si="66"/>
        <v>0.17202717714111404</v>
      </c>
      <c r="M72" s="322">
        <f t="shared" si="66"/>
        <v>0.18848501579679094</v>
      </c>
      <c r="N72" s="322">
        <f t="shared" si="66"/>
        <v>0.14754061095638246</v>
      </c>
      <c r="O72" s="322">
        <f>O70*$B175*$B146*$B149</f>
        <v>0.15527051410600343</v>
      </c>
    </row>
    <row r="73" spans="1:15" ht="15">
      <c r="A73" s="279" t="s">
        <v>189</v>
      </c>
      <c r="B73" s="299">
        <f t="shared" ref="B73:H73" si="67">($B176*B70*$B146)</f>
        <v>2.2377401685703506E-3</v>
      </c>
      <c r="C73" s="299">
        <f t="shared" si="67"/>
        <v>2.2616055369906081E-3</v>
      </c>
      <c r="D73" s="299">
        <f t="shared" si="67"/>
        <v>2.121472411729964E-3</v>
      </c>
      <c r="E73" s="299">
        <f t="shared" si="67"/>
        <v>2.4379397678608067E-3</v>
      </c>
      <c r="F73" s="299">
        <f t="shared" si="67"/>
        <v>2.9693633517094207E-3</v>
      </c>
      <c r="G73" s="299">
        <f t="shared" si="67"/>
        <v>3.7276288836112659E-3</v>
      </c>
      <c r="H73" s="299">
        <f t="shared" si="67"/>
        <v>3.69159375991492E-3</v>
      </c>
      <c r="I73" s="299">
        <f t="shared" ref="I73:N73" si="68">($B176*I70*$B146)</f>
        <v>3.8410477667804475E-3</v>
      </c>
      <c r="J73" s="299">
        <f t="shared" si="68"/>
        <v>4.0445063694695164E-3</v>
      </c>
      <c r="K73" s="299">
        <f t="shared" si="68"/>
        <v>0</v>
      </c>
      <c r="L73" s="299">
        <f t="shared" si="68"/>
        <v>4.0958851700265246E-3</v>
      </c>
      <c r="M73" s="299">
        <f t="shared" si="68"/>
        <v>4.4877384713521654E-3</v>
      </c>
      <c r="N73" s="299">
        <f t="shared" si="68"/>
        <v>3.5128716894376778E-3</v>
      </c>
      <c r="O73" s="299">
        <f>($B176*O70*$B146)</f>
        <v>3.6969170025238909E-3</v>
      </c>
    </row>
    <row r="74" spans="1:15" ht="15">
      <c r="A74" s="295" t="s">
        <v>190</v>
      </c>
      <c r="B74" s="300">
        <f t="shared" ref="B74:H74" si="69">B70*$B176*$B146*$B150</f>
        <v>0.69369945225680874</v>
      </c>
      <c r="C74" s="300">
        <f t="shared" si="69"/>
        <v>0.70109771646708852</v>
      </c>
      <c r="D74" s="300">
        <f t="shared" si="69"/>
        <v>0.65765644763628883</v>
      </c>
      <c r="E74" s="300">
        <f t="shared" si="69"/>
        <v>0.75576132803685003</v>
      </c>
      <c r="F74" s="300">
        <f t="shared" si="69"/>
        <v>0.92050263902992047</v>
      </c>
      <c r="G74" s="300">
        <f t="shared" si="69"/>
        <v>1.1555649539194925</v>
      </c>
      <c r="H74" s="300">
        <f t="shared" si="69"/>
        <v>1.1443940655736251</v>
      </c>
      <c r="I74" s="300">
        <f t="shared" ref="I74:N74" si="70">I70*$B176*$B146*$B150</f>
        <v>1.1907248077019388</v>
      </c>
      <c r="J74" s="300">
        <f t="shared" si="70"/>
        <v>1.2537969745355502</v>
      </c>
      <c r="K74" s="300">
        <f t="shared" si="70"/>
        <v>0</v>
      </c>
      <c r="L74" s="300">
        <f t="shared" si="70"/>
        <v>1.2697244027082226</v>
      </c>
      <c r="M74" s="300">
        <f t="shared" si="70"/>
        <v>1.3911989261191713</v>
      </c>
      <c r="N74" s="300">
        <f t="shared" si="70"/>
        <v>1.0889902237256801</v>
      </c>
      <c r="O74" s="300">
        <f>O70*$B176*$B146*$B150</f>
        <v>1.1460442707824061</v>
      </c>
    </row>
    <row r="75" spans="1:15">
      <c r="A75" s="494" t="s">
        <v>819</v>
      </c>
      <c r="B75" s="495">
        <f t="shared" ref="B75:G75" si="71">ROUND(B69+B72+B74,1)</f>
        <v>68.2</v>
      </c>
      <c r="C75" s="495">
        <f t="shared" si="71"/>
        <v>68.900000000000006</v>
      </c>
      <c r="D75" s="495">
        <f t="shared" si="71"/>
        <v>64.599999999999994</v>
      </c>
      <c r="E75" s="495">
        <f t="shared" si="71"/>
        <v>74.3</v>
      </c>
      <c r="F75" s="495">
        <f t="shared" si="71"/>
        <v>90.4</v>
      </c>
      <c r="G75" s="495">
        <f t="shared" si="71"/>
        <v>113.5</v>
      </c>
      <c r="H75" s="495">
        <f t="shared" ref="H75:M75" si="72">ROUND(H69+H72+H74,1)</f>
        <v>112.5</v>
      </c>
      <c r="I75" s="495">
        <f t="shared" si="72"/>
        <v>117.1</v>
      </c>
      <c r="J75" s="495">
        <f t="shared" si="72"/>
        <v>123.2</v>
      </c>
      <c r="K75" s="495">
        <f t="shared" si="72"/>
        <v>0</v>
      </c>
      <c r="L75" s="495">
        <f t="shared" si="72"/>
        <v>124.7</v>
      </c>
      <c r="M75" s="495">
        <f t="shared" si="72"/>
        <v>136.69999999999999</v>
      </c>
      <c r="N75" s="495">
        <f>ROUND(N69+N72+N74,1)</f>
        <v>107</v>
      </c>
      <c r="O75" s="495">
        <f>ROUND(O69+O72+O74,1)</f>
        <v>112.6</v>
      </c>
    </row>
    <row r="76" spans="1:15">
      <c r="A76" s="273"/>
      <c r="B76" s="302"/>
      <c r="C76" s="302"/>
      <c r="D76" s="302"/>
      <c r="E76" s="302"/>
      <c r="F76" s="302"/>
      <c r="G76" s="302"/>
      <c r="H76" s="270"/>
      <c r="I76" s="577"/>
      <c r="J76" s="577"/>
    </row>
    <row r="77" spans="1:15">
      <c r="A77" s="273"/>
      <c r="B77" s="302"/>
      <c r="C77" s="302"/>
      <c r="D77" s="302"/>
      <c r="E77" s="302"/>
      <c r="F77" s="302"/>
      <c r="G77" s="302"/>
      <c r="H77" s="270"/>
      <c r="I77" s="270"/>
      <c r="J77" s="270"/>
    </row>
    <row r="78" spans="1:15" ht="16">
      <c r="A78" s="272" t="s">
        <v>807</v>
      </c>
      <c r="B78" s="303"/>
      <c r="C78" s="303"/>
      <c r="D78" s="303"/>
      <c r="E78" s="303"/>
      <c r="F78" s="270"/>
      <c r="G78" s="270"/>
      <c r="H78" s="270"/>
      <c r="I78" s="270"/>
      <c r="J78" s="270"/>
    </row>
    <row r="79" spans="1:15">
      <c r="A79" s="273"/>
      <c r="B79" s="286" t="s">
        <v>629</v>
      </c>
      <c r="C79" s="270"/>
      <c r="D79" s="270"/>
      <c r="E79" s="270"/>
      <c r="F79" s="270"/>
      <c r="G79" s="270"/>
      <c r="H79" s="270"/>
      <c r="I79" s="270"/>
      <c r="J79" s="270"/>
    </row>
    <row r="80" spans="1:15" ht="23" customHeight="1">
      <c r="A80" s="286" t="s">
        <v>628</v>
      </c>
      <c r="B80" s="274" t="s">
        <v>310</v>
      </c>
      <c r="C80" s="274" t="s">
        <v>339</v>
      </c>
      <c r="D80" s="274" t="s">
        <v>731</v>
      </c>
      <c r="E80" s="274" t="s">
        <v>24</v>
      </c>
      <c r="F80" s="274" t="s">
        <v>1005</v>
      </c>
      <c r="G80" s="274" t="s">
        <v>970</v>
      </c>
      <c r="H80" s="274" t="s">
        <v>956</v>
      </c>
      <c r="I80" s="274" t="s">
        <v>1124</v>
      </c>
      <c r="J80" s="274" t="s">
        <v>1154</v>
      </c>
      <c r="K80" s="707" t="s">
        <v>1187</v>
      </c>
      <c r="L80" s="274" t="s">
        <v>1197</v>
      </c>
      <c r="M80" s="677" t="s">
        <v>1251</v>
      </c>
      <c r="N80" s="677" t="s">
        <v>1261</v>
      </c>
      <c r="O80" s="677" t="s">
        <v>1277</v>
      </c>
    </row>
    <row r="81" spans="1:20" s="29" customFormat="1">
      <c r="A81" s="315" t="s">
        <v>623</v>
      </c>
      <c r="B81" s="316">
        <v>1128023</v>
      </c>
      <c r="C81" s="289">
        <v>1176172.46</v>
      </c>
      <c r="D81" s="399">
        <v>733091</v>
      </c>
      <c r="E81" s="625">
        <v>878018</v>
      </c>
      <c r="F81" s="625">
        <v>1057210</v>
      </c>
      <c r="G81" s="626">
        <v>1221116</v>
      </c>
      <c r="H81" s="627">
        <v>1391213.2000000002</v>
      </c>
      <c r="I81" s="627">
        <v>1710216.41</v>
      </c>
      <c r="J81" s="787">
        <v>1815846.01</v>
      </c>
      <c r="K81" s="787">
        <v>1815846.01</v>
      </c>
      <c r="L81" s="788">
        <v>1494675</v>
      </c>
      <c r="M81" s="788">
        <v>1842630.3800000008</v>
      </c>
      <c r="N81" s="789">
        <v>1851407</v>
      </c>
      <c r="O81" s="789">
        <v>2055618.2799999989</v>
      </c>
    </row>
    <row r="82" spans="1:20" s="29" customFormat="1">
      <c r="A82" s="690" t="s">
        <v>734</v>
      </c>
      <c r="B82" s="323">
        <v>0.9</v>
      </c>
      <c r="C82" s="371">
        <v>0.7</v>
      </c>
      <c r="D82" s="371">
        <v>0.56000000000000005</v>
      </c>
      <c r="E82" s="458">
        <v>0.56000000000000005</v>
      </c>
      <c r="F82" s="458">
        <v>0.56000000000000005</v>
      </c>
      <c r="G82" s="458">
        <v>0.56000000000000005</v>
      </c>
      <c r="H82" s="458">
        <v>0.56000000000000005</v>
      </c>
      <c r="I82" s="458">
        <v>0.56000000000000005</v>
      </c>
      <c r="J82" s="458">
        <v>0.56000000000000005</v>
      </c>
      <c r="K82" s="458">
        <v>0.56000000000000005</v>
      </c>
      <c r="L82" s="458">
        <v>0.56000000000000005</v>
      </c>
      <c r="M82" s="458">
        <v>0.56000000000000005</v>
      </c>
      <c r="N82" s="458">
        <v>0.56000000000000005</v>
      </c>
      <c r="O82" s="458">
        <v>0.56000000000000005</v>
      </c>
    </row>
    <row r="83" spans="1:20" s="29" customFormat="1">
      <c r="A83" s="306" t="s">
        <v>709</v>
      </c>
      <c r="B83" s="311">
        <v>289</v>
      </c>
      <c r="C83" s="372">
        <v>307</v>
      </c>
      <c r="D83" s="372">
        <v>164</v>
      </c>
      <c r="E83" s="457">
        <v>206</v>
      </c>
      <c r="F83" s="457">
        <v>149</v>
      </c>
      <c r="G83" s="457">
        <v>149</v>
      </c>
      <c r="H83" s="457">
        <v>149</v>
      </c>
      <c r="I83" s="457">
        <v>149</v>
      </c>
      <c r="J83" s="457">
        <v>149</v>
      </c>
      <c r="K83" s="457">
        <v>179</v>
      </c>
      <c r="L83" s="457">
        <v>179</v>
      </c>
      <c r="M83" s="457">
        <v>179</v>
      </c>
      <c r="N83" s="457">
        <v>179</v>
      </c>
      <c r="O83" s="457">
        <v>179</v>
      </c>
    </row>
    <row r="84" spans="1:20" s="29" customFormat="1">
      <c r="A84" s="306" t="s">
        <v>342</v>
      </c>
      <c r="B84" s="325">
        <v>304</v>
      </c>
      <c r="C84" s="309">
        <v>304</v>
      </c>
      <c r="D84" s="309">
        <v>304</v>
      </c>
      <c r="E84" s="309">
        <v>304</v>
      </c>
      <c r="F84" s="309">
        <v>304</v>
      </c>
      <c r="G84" s="309">
        <v>304</v>
      </c>
      <c r="H84" s="309">
        <v>304</v>
      </c>
      <c r="I84" s="309">
        <v>304</v>
      </c>
      <c r="J84" s="309">
        <v>304</v>
      </c>
      <c r="K84" s="309">
        <v>304</v>
      </c>
      <c r="L84" s="309">
        <v>304</v>
      </c>
      <c r="M84" s="309">
        <v>304</v>
      </c>
      <c r="N84" s="309">
        <v>304</v>
      </c>
      <c r="O84" s="309">
        <v>304</v>
      </c>
    </row>
    <row r="85" spans="1:20" s="29" customFormat="1">
      <c r="A85" s="691" t="s">
        <v>726</v>
      </c>
      <c r="B85" s="327">
        <f t="shared" ref="B85:G85" si="73">B83/B84</f>
        <v>0.95065789473684215</v>
      </c>
      <c r="C85" s="327">
        <f t="shared" si="73"/>
        <v>1.0098684210526316</v>
      </c>
      <c r="D85" s="327">
        <f t="shared" si="73"/>
        <v>0.53947368421052633</v>
      </c>
      <c r="E85" s="327">
        <f>E83/E84</f>
        <v>0.67763157894736847</v>
      </c>
      <c r="F85" s="327">
        <f t="shared" si="73"/>
        <v>0.49013157894736842</v>
      </c>
      <c r="G85" s="327">
        <f t="shared" si="73"/>
        <v>0.49013157894736842</v>
      </c>
      <c r="H85" s="327">
        <f t="shared" ref="H85:M85" si="74">H83/H84</f>
        <v>0.49013157894736842</v>
      </c>
      <c r="I85" s="327">
        <f t="shared" si="74"/>
        <v>0.49013157894736842</v>
      </c>
      <c r="J85" s="327">
        <f t="shared" si="74"/>
        <v>0.49013157894736842</v>
      </c>
      <c r="K85" s="327">
        <f t="shared" si="74"/>
        <v>0.58881578947368418</v>
      </c>
      <c r="L85" s="327">
        <f t="shared" si="74"/>
        <v>0.58881578947368418</v>
      </c>
      <c r="M85" s="327">
        <f t="shared" si="74"/>
        <v>0.58881578947368418</v>
      </c>
      <c r="N85" s="327">
        <f>N83/N84</f>
        <v>0.58881578947368418</v>
      </c>
      <c r="O85" s="327">
        <f>O83/O84</f>
        <v>0.58881578947368418</v>
      </c>
    </row>
    <row r="86" spans="1:20" s="29" customFormat="1" ht="18">
      <c r="A86" s="306" t="s">
        <v>679</v>
      </c>
      <c r="B86" s="311">
        <v>641</v>
      </c>
      <c r="C86" s="372">
        <v>492</v>
      </c>
      <c r="D86" s="372">
        <v>450</v>
      </c>
      <c r="E86" s="311">
        <v>451.8</v>
      </c>
      <c r="F86" s="311">
        <v>540</v>
      </c>
      <c r="G86" s="311">
        <v>540</v>
      </c>
      <c r="H86" s="311">
        <v>540</v>
      </c>
      <c r="I86" s="311">
        <v>540</v>
      </c>
      <c r="J86" s="311">
        <v>540</v>
      </c>
      <c r="K86" s="311">
        <v>553.66</v>
      </c>
      <c r="L86" s="311">
        <v>553.66</v>
      </c>
      <c r="M86" s="311">
        <v>553.66</v>
      </c>
      <c r="N86" s="311">
        <v>553.66</v>
      </c>
      <c r="O86" s="311">
        <v>553.66</v>
      </c>
      <c r="P86" s="618" t="s">
        <v>1090</v>
      </c>
    </row>
    <row r="87" spans="1:20" s="29" customFormat="1">
      <c r="A87" s="306" t="s">
        <v>727</v>
      </c>
      <c r="B87" s="310">
        <v>2870</v>
      </c>
      <c r="C87" s="309">
        <v>2870</v>
      </c>
      <c r="D87" s="309">
        <v>2870</v>
      </c>
      <c r="E87" s="309">
        <v>2870</v>
      </c>
      <c r="F87" s="309">
        <v>2870</v>
      </c>
      <c r="G87" s="309">
        <v>2870</v>
      </c>
      <c r="H87" s="309">
        <v>2870</v>
      </c>
      <c r="I87" s="309">
        <v>2870</v>
      </c>
      <c r="J87" s="309">
        <v>2870</v>
      </c>
      <c r="K87" s="309">
        <v>2870</v>
      </c>
      <c r="L87" s="309">
        <v>2870</v>
      </c>
      <c r="M87" s="309">
        <v>2870</v>
      </c>
      <c r="N87" s="309">
        <v>2870</v>
      </c>
      <c r="O87" s="309">
        <v>2870</v>
      </c>
    </row>
    <row r="88" spans="1:20" s="29" customFormat="1">
      <c r="A88" s="691" t="s">
        <v>341</v>
      </c>
      <c r="B88" s="327">
        <f t="shared" ref="B88:G88" si="75">B86/B87</f>
        <v>0.22334494773519165</v>
      </c>
      <c r="C88" s="327">
        <f t="shared" si="75"/>
        <v>0.17142857142857143</v>
      </c>
      <c r="D88" s="327">
        <f t="shared" si="75"/>
        <v>0.156794425087108</v>
      </c>
      <c r="E88" s="327">
        <f t="shared" si="75"/>
        <v>0.15742160278745645</v>
      </c>
      <c r="F88" s="327">
        <f t="shared" si="75"/>
        <v>0.18815331010452963</v>
      </c>
      <c r="G88" s="327">
        <f t="shared" si="75"/>
        <v>0.18815331010452963</v>
      </c>
      <c r="H88" s="327">
        <f t="shared" ref="H88:M88" si="76">H86/H87</f>
        <v>0.18815331010452963</v>
      </c>
      <c r="I88" s="327">
        <f t="shared" si="76"/>
        <v>0.18815331010452963</v>
      </c>
      <c r="J88" s="327">
        <f t="shared" si="76"/>
        <v>0.18815331010452963</v>
      </c>
      <c r="K88" s="327">
        <f t="shared" si="76"/>
        <v>0.19291289198606271</v>
      </c>
      <c r="L88" s="327">
        <f t="shared" si="76"/>
        <v>0.19291289198606271</v>
      </c>
      <c r="M88" s="327">
        <f t="shared" si="76"/>
        <v>0.19291289198606271</v>
      </c>
      <c r="N88" s="327">
        <f>N86/N87</f>
        <v>0.19291289198606271</v>
      </c>
      <c r="O88" s="327">
        <f>O86/O87</f>
        <v>0.19291289198606271</v>
      </c>
    </row>
    <row r="89" spans="1:20" s="29" customFormat="1">
      <c r="A89" s="306" t="s">
        <v>327</v>
      </c>
      <c r="B89" s="311">
        <v>945</v>
      </c>
      <c r="C89" s="372">
        <v>1633</v>
      </c>
      <c r="D89" s="372">
        <v>2271</v>
      </c>
      <c r="E89" s="311">
        <v>2298.6</v>
      </c>
      <c r="F89" s="311">
        <v>1453.7</v>
      </c>
      <c r="G89" s="311">
        <v>1453.7</v>
      </c>
      <c r="H89" s="311">
        <v>1453.7</v>
      </c>
      <c r="I89" s="311">
        <v>1453.7</v>
      </c>
      <c r="J89" s="311">
        <v>1453.7</v>
      </c>
      <c r="K89" s="311">
        <v>1452</v>
      </c>
      <c r="L89" s="311">
        <v>1452</v>
      </c>
      <c r="M89" s="311">
        <v>1452</v>
      </c>
      <c r="N89" s="311">
        <v>1452</v>
      </c>
      <c r="O89" s="311">
        <v>1452</v>
      </c>
    </row>
    <row r="90" spans="1:20" s="29" customFormat="1">
      <c r="A90" s="306" t="s">
        <v>480</v>
      </c>
      <c r="B90" s="310">
        <v>4180</v>
      </c>
      <c r="C90" s="309">
        <v>4180</v>
      </c>
      <c r="D90" s="309">
        <v>4180</v>
      </c>
      <c r="E90" s="309">
        <v>4180</v>
      </c>
      <c r="F90" s="309">
        <v>4180</v>
      </c>
      <c r="G90" s="309">
        <v>4180</v>
      </c>
      <c r="H90" s="309">
        <v>4180</v>
      </c>
      <c r="I90" s="309">
        <v>4180</v>
      </c>
      <c r="J90" s="309">
        <v>4180</v>
      </c>
      <c r="K90" s="309">
        <v>4180</v>
      </c>
      <c r="L90" s="309">
        <v>4180</v>
      </c>
      <c r="M90" s="309">
        <v>4180</v>
      </c>
      <c r="N90" s="309">
        <v>4180</v>
      </c>
      <c r="O90" s="309">
        <v>4180</v>
      </c>
    </row>
    <row r="91" spans="1:20" s="29" customFormat="1">
      <c r="A91" s="691" t="s">
        <v>340</v>
      </c>
      <c r="B91" s="326">
        <f t="shared" ref="B91:G91" si="77">B89/B90</f>
        <v>0.22607655502392343</v>
      </c>
      <c r="C91" s="326">
        <f t="shared" si="77"/>
        <v>0.39066985645933017</v>
      </c>
      <c r="D91" s="326">
        <f t="shared" si="77"/>
        <v>0.54330143540669862</v>
      </c>
      <c r="E91" s="326">
        <f t="shared" si="77"/>
        <v>0.54990430622009567</v>
      </c>
      <c r="F91" s="326">
        <f t="shared" si="77"/>
        <v>0.3477751196172249</v>
      </c>
      <c r="G91" s="326">
        <f t="shared" si="77"/>
        <v>0.3477751196172249</v>
      </c>
      <c r="H91" s="326">
        <f t="shared" ref="H91:M91" si="78">H89/H90</f>
        <v>0.3477751196172249</v>
      </c>
      <c r="I91" s="326">
        <f t="shared" si="78"/>
        <v>0.3477751196172249</v>
      </c>
      <c r="J91" s="326">
        <f t="shared" si="78"/>
        <v>0.3477751196172249</v>
      </c>
      <c r="K91" s="326">
        <f t="shared" si="78"/>
        <v>0.3473684210526316</v>
      </c>
      <c r="L91" s="326">
        <f t="shared" si="78"/>
        <v>0.3473684210526316</v>
      </c>
      <c r="M91" s="326">
        <f t="shared" si="78"/>
        <v>0.3473684210526316</v>
      </c>
      <c r="N91" s="326">
        <f>N89/N90</f>
        <v>0.3473684210526316</v>
      </c>
      <c r="O91" s="326">
        <f>O89/O90</f>
        <v>0.3473684210526316</v>
      </c>
    </row>
    <row r="92" spans="1:20" s="29" customFormat="1">
      <c r="A92" s="691" t="s">
        <v>435</v>
      </c>
      <c r="B92" s="326">
        <f t="shared" ref="B92:G92" si="79">AVERAGE(B85,B88)</f>
        <v>0.58700142123601684</v>
      </c>
      <c r="C92" s="326">
        <f t="shared" si="79"/>
        <v>0.59064849624060156</v>
      </c>
      <c r="D92" s="326">
        <f t="shared" si="79"/>
        <v>0.34813405464881719</v>
      </c>
      <c r="E92" s="326">
        <f t="shared" si="79"/>
        <v>0.41752659086741245</v>
      </c>
      <c r="F92" s="326">
        <f t="shared" si="79"/>
        <v>0.33914244452594899</v>
      </c>
      <c r="G92" s="326">
        <f t="shared" si="79"/>
        <v>0.33914244452594899</v>
      </c>
      <c r="H92" s="326">
        <f t="shared" ref="H92:M92" si="80">AVERAGE(H85,H88)</f>
        <v>0.33914244452594899</v>
      </c>
      <c r="I92" s="326">
        <f t="shared" si="80"/>
        <v>0.33914244452594899</v>
      </c>
      <c r="J92" s="326">
        <f t="shared" si="80"/>
        <v>0.33914244452594899</v>
      </c>
      <c r="K92" s="326">
        <f t="shared" si="80"/>
        <v>0.39086434072987342</v>
      </c>
      <c r="L92" s="326">
        <f t="shared" si="80"/>
        <v>0.39086434072987342</v>
      </c>
      <c r="M92" s="326">
        <f t="shared" si="80"/>
        <v>0.39086434072987342</v>
      </c>
      <c r="N92" s="326">
        <f>AVERAGE(N85,N88)</f>
        <v>0.39086434072987342</v>
      </c>
      <c r="O92" s="326">
        <f>AVERAGE(O85,O88)</f>
        <v>0.39086434072987342</v>
      </c>
      <c r="T92" s="29" t="s">
        <v>1097</v>
      </c>
    </row>
    <row r="93" spans="1:20" s="29" customFormat="1">
      <c r="A93" s="691" t="s">
        <v>357</v>
      </c>
      <c r="B93" s="326">
        <f t="shared" ref="B93:H93" si="81">B91</f>
        <v>0.22607655502392343</v>
      </c>
      <c r="C93" s="326">
        <f t="shared" si="81"/>
        <v>0.39066985645933017</v>
      </c>
      <c r="D93" s="326">
        <f t="shared" si="81"/>
        <v>0.54330143540669862</v>
      </c>
      <c r="E93" s="326">
        <f t="shared" si="81"/>
        <v>0.54990430622009567</v>
      </c>
      <c r="F93" s="326">
        <f t="shared" si="81"/>
        <v>0.3477751196172249</v>
      </c>
      <c r="G93" s="326">
        <f t="shared" si="81"/>
        <v>0.3477751196172249</v>
      </c>
      <c r="H93" s="326">
        <f t="shared" si="81"/>
        <v>0.3477751196172249</v>
      </c>
      <c r="I93" s="326">
        <f t="shared" ref="I93:N93" si="82">I91</f>
        <v>0.3477751196172249</v>
      </c>
      <c r="J93" s="326">
        <f t="shared" si="82"/>
        <v>0.3477751196172249</v>
      </c>
      <c r="K93" s="326">
        <f t="shared" si="82"/>
        <v>0.3473684210526316</v>
      </c>
      <c r="L93" s="326">
        <f t="shared" si="82"/>
        <v>0.3473684210526316</v>
      </c>
      <c r="M93" s="326">
        <f t="shared" si="82"/>
        <v>0.3473684210526316</v>
      </c>
      <c r="N93" s="326">
        <f t="shared" si="82"/>
        <v>0.3473684210526316</v>
      </c>
      <c r="O93" s="326">
        <f>O91</f>
        <v>0.3473684210526316</v>
      </c>
      <c r="P93" s="29">
        <v>166.9</v>
      </c>
      <c r="Q93" s="29" t="s">
        <v>1087</v>
      </c>
      <c r="R93" s="29" t="s">
        <v>1088</v>
      </c>
      <c r="T93" t="s">
        <v>1096</v>
      </c>
    </row>
    <row r="94" spans="1:20" s="29" customFormat="1">
      <c r="A94" s="290" t="s">
        <v>857</v>
      </c>
      <c r="B94" s="328">
        <f t="shared" ref="B94:G94" si="83">ROUND((B82*B81)/B92,-4)</f>
        <v>1730000</v>
      </c>
      <c r="C94" s="328">
        <f t="shared" si="83"/>
        <v>1390000</v>
      </c>
      <c r="D94" s="328">
        <f t="shared" si="83"/>
        <v>1180000</v>
      </c>
      <c r="E94" s="328">
        <f t="shared" si="83"/>
        <v>1180000</v>
      </c>
      <c r="F94" s="328">
        <f t="shared" si="83"/>
        <v>1750000</v>
      </c>
      <c r="G94" s="328">
        <f t="shared" si="83"/>
        <v>2020000</v>
      </c>
      <c r="H94" s="328">
        <f t="shared" ref="H94:M94" si="84">ROUND((H82*H81)/H92,-4)</f>
        <v>2300000</v>
      </c>
      <c r="I94" s="328">
        <f t="shared" si="84"/>
        <v>2820000</v>
      </c>
      <c r="J94" s="328">
        <f t="shared" si="84"/>
        <v>3000000</v>
      </c>
      <c r="K94" s="328">
        <f t="shared" si="84"/>
        <v>2600000</v>
      </c>
      <c r="L94" s="328">
        <f t="shared" si="84"/>
        <v>2140000</v>
      </c>
      <c r="M94" s="328">
        <f t="shared" si="84"/>
        <v>2640000</v>
      </c>
      <c r="N94" s="328">
        <f>ROUND((N82*N81)/N92,-4)</f>
        <v>2650000</v>
      </c>
      <c r="O94" s="328">
        <f>ROUND((O82*O81)/O92,-4)</f>
        <v>2950000</v>
      </c>
      <c r="P94" s="328">
        <f>P93*1.6</f>
        <v>267.04000000000002</v>
      </c>
      <c r="Q94" s="29" t="s">
        <v>1086</v>
      </c>
      <c r="T94" t="s">
        <v>1110</v>
      </c>
    </row>
    <row r="95" spans="1:20" s="29" customFormat="1">
      <c r="A95" s="290" t="s">
        <v>906</v>
      </c>
      <c r="B95" s="328">
        <f t="shared" ref="B95:G95" si="85">ROUND((B81*(1-B82))/B93,-4)</f>
        <v>500000</v>
      </c>
      <c r="C95" s="328">
        <f t="shared" si="85"/>
        <v>900000</v>
      </c>
      <c r="D95" s="328">
        <f t="shared" si="85"/>
        <v>590000</v>
      </c>
      <c r="E95" s="328">
        <f t="shared" si="85"/>
        <v>700000</v>
      </c>
      <c r="F95" s="328">
        <f t="shared" si="85"/>
        <v>1340000</v>
      </c>
      <c r="G95" s="328">
        <f t="shared" si="85"/>
        <v>1540000</v>
      </c>
      <c r="H95" s="328">
        <f t="shared" ref="H95:M95" si="86">ROUND((H81*(1-H82))/H93,-4)</f>
        <v>1760000</v>
      </c>
      <c r="I95" s="328">
        <f t="shared" si="86"/>
        <v>2160000</v>
      </c>
      <c r="J95" s="328">
        <f t="shared" si="86"/>
        <v>2300000</v>
      </c>
      <c r="K95" s="328">
        <f t="shared" si="86"/>
        <v>2300000</v>
      </c>
      <c r="L95" s="328">
        <f t="shared" si="86"/>
        <v>1890000</v>
      </c>
      <c r="M95" s="328">
        <f t="shared" si="86"/>
        <v>2330000</v>
      </c>
      <c r="N95" s="328">
        <f>ROUND((N81*(1-N82))/N93,-4)</f>
        <v>2350000</v>
      </c>
      <c r="O95" s="328">
        <f>ROUND((O81*(1-O82))/O93,-4)</f>
        <v>2600000</v>
      </c>
      <c r="P95" s="617">
        <f>P94/1000000</f>
        <v>2.6704000000000002E-4</v>
      </c>
      <c r="Q95" t="s">
        <v>1089</v>
      </c>
      <c r="T95" t="s">
        <v>1111</v>
      </c>
    </row>
    <row r="96" spans="1:20" s="29" customFormat="1">
      <c r="A96" s="329" t="s">
        <v>889</v>
      </c>
      <c r="B96" s="328">
        <f t="shared" ref="B96:G96" si="87">ROUND(SUM(B94:B95),-3)</f>
        <v>2230000</v>
      </c>
      <c r="C96" s="328">
        <f t="shared" si="87"/>
        <v>2290000</v>
      </c>
      <c r="D96" s="328">
        <f t="shared" si="87"/>
        <v>1770000</v>
      </c>
      <c r="E96" s="328">
        <f t="shared" si="87"/>
        <v>1880000</v>
      </c>
      <c r="F96" s="328">
        <f t="shared" si="87"/>
        <v>3090000</v>
      </c>
      <c r="G96" s="328">
        <f t="shared" si="87"/>
        <v>3560000</v>
      </c>
      <c r="H96" s="328">
        <f t="shared" ref="H96:M96" si="88">ROUND(SUM(H94:H95),-3)</f>
        <v>4060000</v>
      </c>
      <c r="I96" s="328">
        <f t="shared" si="88"/>
        <v>4980000</v>
      </c>
      <c r="J96" s="328">
        <f t="shared" si="88"/>
        <v>5300000</v>
      </c>
      <c r="K96" s="328">
        <f t="shared" si="88"/>
        <v>4900000</v>
      </c>
      <c r="L96" s="328">
        <f t="shared" si="88"/>
        <v>4030000</v>
      </c>
      <c r="M96" s="328">
        <f t="shared" si="88"/>
        <v>4970000</v>
      </c>
      <c r="N96" s="328">
        <f>ROUND(SUM(N94:N95),-3)</f>
        <v>5000000</v>
      </c>
      <c r="O96" s="328">
        <f>ROUND(SUM(O94:O95),-3)</f>
        <v>5550000</v>
      </c>
      <c r="P96" s="282">
        <f>P95*H96</f>
        <v>1084.1824000000001</v>
      </c>
      <c r="Q96" t="s">
        <v>1095</v>
      </c>
      <c r="R96"/>
      <c r="T96" t="s">
        <v>1112</v>
      </c>
    </row>
    <row r="97" spans="1:24">
      <c r="A97" s="692" t="s">
        <v>692</v>
      </c>
      <c r="B97" s="332">
        <v>3070</v>
      </c>
      <c r="C97" s="331">
        <v>3070</v>
      </c>
      <c r="D97" s="331">
        <v>3098</v>
      </c>
      <c r="E97" s="459">
        <v>2931</v>
      </c>
      <c r="F97" s="459">
        <v>2773</v>
      </c>
      <c r="G97" s="459">
        <v>2773</v>
      </c>
      <c r="H97" s="459">
        <v>2773</v>
      </c>
      <c r="I97" s="459">
        <v>2773</v>
      </c>
      <c r="J97" s="459">
        <v>2773</v>
      </c>
      <c r="K97" s="459">
        <v>2366</v>
      </c>
      <c r="L97" s="459">
        <v>2366</v>
      </c>
      <c r="M97" s="459">
        <v>2366</v>
      </c>
      <c r="N97" s="459">
        <v>2366</v>
      </c>
      <c r="O97" s="459">
        <v>2366</v>
      </c>
      <c r="T97" t="s">
        <v>1113</v>
      </c>
      <c r="X97" t="s">
        <v>1157</v>
      </c>
    </row>
    <row r="98" spans="1:24">
      <c r="A98" s="691" t="s">
        <v>748</v>
      </c>
      <c r="B98" s="332">
        <v>3574</v>
      </c>
      <c r="C98" s="331">
        <v>3574</v>
      </c>
      <c r="D98" s="331">
        <v>3691</v>
      </c>
      <c r="E98" s="459">
        <v>3490</v>
      </c>
      <c r="F98" s="459">
        <v>3388</v>
      </c>
      <c r="G98" s="459">
        <v>3388</v>
      </c>
      <c r="H98" s="459">
        <v>3388</v>
      </c>
      <c r="I98" s="459">
        <v>3388</v>
      </c>
      <c r="J98" s="459">
        <v>3388</v>
      </c>
      <c r="K98" s="459">
        <v>3392</v>
      </c>
      <c r="L98" s="459">
        <v>3392</v>
      </c>
      <c r="M98" s="459">
        <v>3392</v>
      </c>
      <c r="N98" s="459">
        <v>3392</v>
      </c>
      <c r="O98" s="459">
        <v>3392</v>
      </c>
    </row>
    <row r="99" spans="1:24">
      <c r="A99" s="279" t="s">
        <v>773</v>
      </c>
      <c r="B99" s="333">
        <f t="shared" ref="B99:H99" si="89">((B94*B97*$B143)+(B95*B98*$B143))/B81</f>
        <v>6.292513539174289E-3</v>
      </c>
      <c r="C99" s="333">
        <f t="shared" si="89"/>
        <v>6.3629274230753543E-3</v>
      </c>
      <c r="D99" s="333">
        <f t="shared" si="89"/>
        <v>7.9571703922159728E-3</v>
      </c>
      <c r="E99" s="333">
        <f t="shared" si="89"/>
        <v>6.7214795140874105E-3</v>
      </c>
      <c r="F99" s="333">
        <f t="shared" si="89"/>
        <v>8.8843938290405888E-3</v>
      </c>
      <c r="G99" s="333">
        <f t="shared" si="89"/>
        <v>8.859911752855585E-3</v>
      </c>
      <c r="H99" s="333">
        <f t="shared" si="89"/>
        <v>8.8705167547288924E-3</v>
      </c>
      <c r="I99" s="333">
        <f t="shared" ref="I99:N99" si="90">((I94*I97*$B143)+(I95*I98*$B143))/I81</f>
        <v>8.8514762877289887E-3</v>
      </c>
      <c r="J99" s="333">
        <f t="shared" si="90"/>
        <v>8.8726686686389222E-3</v>
      </c>
      <c r="K99" s="333">
        <f t="shared" si="90"/>
        <v>7.6841317618116739E-3</v>
      </c>
      <c r="L99" s="333">
        <f t="shared" si="90"/>
        <v>7.6766654958435772E-3</v>
      </c>
      <c r="M99" s="333">
        <f t="shared" si="90"/>
        <v>7.6790224201122703E-3</v>
      </c>
      <c r="N99" s="333">
        <f t="shared" si="90"/>
        <v>7.6920417822769378E-3</v>
      </c>
      <c r="O99" s="333">
        <f>((O94*O97*$B143)+(O95*O98*$B143))/O81</f>
        <v>7.6857168248182766E-3</v>
      </c>
      <c r="P99" s="29">
        <f>P100/1.6</f>
        <v>173.125</v>
      </c>
      <c r="Q99" s="29" t="s">
        <v>1085</v>
      </c>
      <c r="T99">
        <v>11000</v>
      </c>
      <c r="U99" t="s">
        <v>1106</v>
      </c>
      <c r="X99">
        <f>2.2*0.22</f>
        <v>0.48400000000000004</v>
      </c>
    </row>
    <row r="100" spans="1:24" ht="15">
      <c r="A100" s="279" t="s">
        <v>772</v>
      </c>
      <c r="B100" s="333">
        <f t="shared" ref="B100:H100" si="91">(B101*$B193*$B194*$B195*$B145)/B81</f>
        <v>4.4123837536986328E-4</v>
      </c>
      <c r="C100" s="333">
        <f t="shared" si="91"/>
        <v>4.4617587888774447E-4</v>
      </c>
      <c r="D100" s="333">
        <f t="shared" si="91"/>
        <v>5.5796318242575687E-4</v>
      </c>
      <c r="E100" s="333">
        <f t="shared" si="91"/>
        <v>4.7131956621088454E-4</v>
      </c>
      <c r="F100" s="333">
        <f t="shared" si="91"/>
        <v>6.2298602866743178E-4</v>
      </c>
      <c r="G100" s="333">
        <f t="shared" si="91"/>
        <v>6.2126847566045657E-4</v>
      </c>
      <c r="H100" s="333">
        <f t="shared" si="91"/>
        <v>6.2201197031965948E-4</v>
      </c>
      <c r="I100" s="333">
        <f t="shared" ref="I100:N100" si="92">(I101*$B193*$B194*$B195*$B145)/I81</f>
        <v>6.2067418249456155E-4</v>
      </c>
      <c r="J100" s="333">
        <f t="shared" si="92"/>
        <v>6.2216185697060113E-4</v>
      </c>
      <c r="K100" s="333">
        <f t="shared" si="92"/>
        <v>5.38820265320344E-4</v>
      </c>
      <c r="L100" s="333">
        <f t="shared" si="92"/>
        <v>5.3829578377837775E-4</v>
      </c>
      <c r="M100" s="333">
        <f t="shared" si="92"/>
        <v>5.3846199233187624E-4</v>
      </c>
      <c r="N100" s="333">
        <f t="shared" si="92"/>
        <v>5.393749251645394E-4</v>
      </c>
      <c r="O100" s="333">
        <f>(O101*$B193*$B194*$B195*$B145)/O81</f>
        <v>5.3893141178376256E-4</v>
      </c>
      <c r="P100">
        <f>P101/0.001</f>
        <v>277</v>
      </c>
      <c r="Q100" t="s">
        <v>1086</v>
      </c>
      <c r="T100">
        <f>T99/1.6</f>
        <v>6875</v>
      </c>
      <c r="U100" t="s">
        <v>1107</v>
      </c>
    </row>
    <row r="101" spans="1:24">
      <c r="A101" s="293" t="s">
        <v>405</v>
      </c>
      <c r="B101" s="294">
        <f t="shared" ref="B101:H101" si="93">ROUND((B94*B97*$B143)+(B95*B98*$B143),1)</f>
        <v>7098.1</v>
      </c>
      <c r="C101" s="294">
        <f t="shared" si="93"/>
        <v>7483.9</v>
      </c>
      <c r="D101" s="294">
        <f t="shared" si="93"/>
        <v>5833.3</v>
      </c>
      <c r="E101" s="294">
        <f t="shared" si="93"/>
        <v>5901.6</v>
      </c>
      <c r="F101" s="294">
        <f t="shared" si="93"/>
        <v>9392.7000000000007</v>
      </c>
      <c r="G101" s="294">
        <f t="shared" si="93"/>
        <v>10819</v>
      </c>
      <c r="H101" s="294">
        <f t="shared" si="93"/>
        <v>12340.8</v>
      </c>
      <c r="I101" s="294">
        <f t="shared" ref="I101:N101" si="94">ROUND((I94*I97*$B143)+(I95*I98*$B143),1)</f>
        <v>15137.9</v>
      </c>
      <c r="J101" s="294">
        <f t="shared" si="94"/>
        <v>16111.4</v>
      </c>
      <c r="K101" s="294">
        <f t="shared" si="94"/>
        <v>13953.2</v>
      </c>
      <c r="L101" s="294">
        <f t="shared" si="94"/>
        <v>11474.1</v>
      </c>
      <c r="M101" s="294">
        <f t="shared" si="94"/>
        <v>14149.6</v>
      </c>
      <c r="N101" s="294">
        <f t="shared" si="94"/>
        <v>14241.1</v>
      </c>
      <c r="O101" s="294">
        <f>ROUND((O94*O97*$B143)+(O95*O98*$B143),1)</f>
        <v>15798.9</v>
      </c>
      <c r="P101">
        <v>0.27700000000000002</v>
      </c>
      <c r="Q101" t="s">
        <v>1091</v>
      </c>
      <c r="T101">
        <v>5</v>
      </c>
      <c r="U101" t="s">
        <v>1109</v>
      </c>
    </row>
    <row r="102" spans="1:24" ht="15">
      <c r="A102" s="295" t="s">
        <v>173</v>
      </c>
      <c r="B102" s="296">
        <f t="shared" ref="B102:H102" si="95">ROUND(B101*$B193*$B194*$B195*$B145,1)</f>
        <v>497.7</v>
      </c>
      <c r="C102" s="296">
        <f t="shared" si="95"/>
        <v>524.79999999999995</v>
      </c>
      <c r="D102" s="296">
        <f t="shared" si="95"/>
        <v>409</v>
      </c>
      <c r="E102" s="296">
        <f t="shared" si="95"/>
        <v>413.8</v>
      </c>
      <c r="F102" s="296">
        <f t="shared" si="95"/>
        <v>658.6</v>
      </c>
      <c r="G102" s="296">
        <f t="shared" si="95"/>
        <v>758.6</v>
      </c>
      <c r="H102" s="296">
        <f t="shared" si="95"/>
        <v>865.4</v>
      </c>
      <c r="I102" s="296">
        <f t="shared" ref="I102:N102" si="96">ROUND(I101*$B193*$B194*$B195*$B145,1)</f>
        <v>1061.5</v>
      </c>
      <c r="J102" s="296">
        <f t="shared" si="96"/>
        <v>1129.8</v>
      </c>
      <c r="K102" s="296">
        <f t="shared" si="96"/>
        <v>978.4</v>
      </c>
      <c r="L102" s="296">
        <f t="shared" si="96"/>
        <v>804.6</v>
      </c>
      <c r="M102" s="296">
        <f t="shared" si="96"/>
        <v>992.2</v>
      </c>
      <c r="N102" s="296">
        <f t="shared" si="96"/>
        <v>998.6</v>
      </c>
      <c r="O102" s="296">
        <f>ROUND(O101*$B193*$B194*$B195*$B145,1)</f>
        <v>1107.8</v>
      </c>
      <c r="P102">
        <f>P101/2200</f>
        <v>1.2590909090909091E-4</v>
      </c>
      <c r="Q102" t="s">
        <v>1108</v>
      </c>
      <c r="T102">
        <f>T101/T100</f>
        <v>7.2727272727272723E-4</v>
      </c>
      <c r="U102" t="s">
        <v>1108</v>
      </c>
    </row>
    <row r="103" spans="1:24" s="29" customFormat="1">
      <c r="A103" s="334" t="s">
        <v>890</v>
      </c>
      <c r="B103" s="335">
        <v>2.7</v>
      </c>
      <c r="C103" s="330">
        <v>2.7</v>
      </c>
      <c r="D103" s="330">
        <v>2.7</v>
      </c>
      <c r="E103" s="330">
        <v>2.7</v>
      </c>
      <c r="F103" s="330">
        <v>2.7</v>
      </c>
      <c r="G103" s="330">
        <v>2.7</v>
      </c>
      <c r="H103" s="330">
        <v>2.7</v>
      </c>
      <c r="I103" s="330">
        <v>2.7</v>
      </c>
      <c r="J103" s="330">
        <v>2.7</v>
      </c>
      <c r="K103" s="330">
        <v>2.7</v>
      </c>
      <c r="L103" s="330">
        <v>2.7</v>
      </c>
      <c r="M103" s="330">
        <v>2.7</v>
      </c>
      <c r="N103" s="330">
        <v>2.7</v>
      </c>
      <c r="O103" s="330">
        <v>2.7</v>
      </c>
      <c r="P103">
        <v>4060000</v>
      </c>
      <c r="Q103" t="s">
        <v>1092</v>
      </c>
      <c r="T103" s="29">
        <v>0.25</v>
      </c>
      <c r="U103" s="29" t="s">
        <v>1114</v>
      </c>
    </row>
    <row r="104" spans="1:24">
      <c r="A104" s="295" t="s">
        <v>891</v>
      </c>
      <c r="B104" s="296">
        <f t="shared" ref="B104:G104" si="97">ROUND(B102*B103,1)</f>
        <v>1343.8</v>
      </c>
      <c r="C104" s="296">
        <f t="shared" si="97"/>
        <v>1417</v>
      </c>
      <c r="D104" s="296">
        <f t="shared" si="97"/>
        <v>1104.3</v>
      </c>
      <c r="E104" s="296">
        <f t="shared" si="97"/>
        <v>1117.3</v>
      </c>
      <c r="F104" s="296">
        <f t="shared" si="97"/>
        <v>1778.2</v>
      </c>
      <c r="G104" s="296">
        <f t="shared" si="97"/>
        <v>2048.1999999999998</v>
      </c>
      <c r="H104" s="296">
        <f t="shared" ref="H104:M104" si="98">ROUND(H102*H103,1)</f>
        <v>2336.6</v>
      </c>
      <c r="I104" s="296">
        <f t="shared" si="98"/>
        <v>2866.1</v>
      </c>
      <c r="J104" s="296">
        <f t="shared" si="98"/>
        <v>3050.5</v>
      </c>
      <c r="K104" s="296">
        <f t="shared" si="98"/>
        <v>2641.7</v>
      </c>
      <c r="L104" s="296">
        <f t="shared" si="98"/>
        <v>2172.4</v>
      </c>
      <c r="M104" s="296">
        <f t="shared" si="98"/>
        <v>2678.9</v>
      </c>
      <c r="N104" s="296">
        <f>ROUND(N102*N103,1)</f>
        <v>2696.2</v>
      </c>
      <c r="O104" s="296">
        <f>ROUND(O102*O103,1)</f>
        <v>2991.1</v>
      </c>
      <c r="P104">
        <f>P103*P101</f>
        <v>1124620</v>
      </c>
      <c r="Q104" t="s">
        <v>1093</v>
      </c>
      <c r="T104" s="29">
        <f>(H96*T103)*T102</f>
        <v>738.18181818181813</v>
      </c>
    </row>
    <row r="105" spans="1:24">
      <c r="A105" s="283" t="s">
        <v>420</v>
      </c>
      <c r="B105" s="336">
        <f t="shared" ref="B105:H105" si="99">(B101/$B192)/$B144</f>
        <v>52578.518518518526</v>
      </c>
      <c r="C105" s="336">
        <f t="shared" si="99"/>
        <v>55436.296296296299</v>
      </c>
      <c r="D105" s="336">
        <f t="shared" si="99"/>
        <v>43209.629629629635</v>
      </c>
      <c r="E105" s="336">
        <f t="shared" si="99"/>
        <v>43715.555555555569</v>
      </c>
      <c r="F105" s="336">
        <f t="shared" si="99"/>
        <v>69575.555555555577</v>
      </c>
      <c r="G105" s="336">
        <f t="shared" si="99"/>
        <v>80140.740740740745</v>
      </c>
      <c r="H105" s="336">
        <f t="shared" si="99"/>
        <v>91413.333333333328</v>
      </c>
      <c r="I105" s="336">
        <f t="shared" ref="I105:N105" si="100">(I101/$B192)/$B144</f>
        <v>112132.5925925926</v>
      </c>
      <c r="J105" s="336">
        <f t="shared" si="100"/>
        <v>119343.70370370371</v>
      </c>
      <c r="K105" s="336">
        <f t="shared" si="100"/>
        <v>103357.03703703705</v>
      </c>
      <c r="L105" s="336">
        <f t="shared" si="100"/>
        <v>84993.333333333343</v>
      </c>
      <c r="M105" s="336">
        <f t="shared" si="100"/>
        <v>104811.85185185185</v>
      </c>
      <c r="N105" s="336">
        <f t="shared" si="100"/>
        <v>105489.62962962965</v>
      </c>
      <c r="O105" s="336">
        <f>(O101/$B192)/$B144</f>
        <v>117028.88888888891</v>
      </c>
      <c r="P105">
        <f>P104*0.001</f>
        <v>1124.6200000000001</v>
      </c>
      <c r="Q105" t="s">
        <v>1094</v>
      </c>
    </row>
    <row r="106" spans="1:24" ht="15">
      <c r="A106" s="279" t="s">
        <v>866</v>
      </c>
      <c r="B106" s="299">
        <f t="shared" ref="B106:H106" si="101">(B101/$B192)*$B196*$B148*$B190*$B146</f>
        <v>1.3734255422780011E-2</v>
      </c>
      <c r="C106" s="299">
        <f t="shared" si="101"/>
        <v>1.4480747546321313E-2</v>
      </c>
      <c r="D106" s="299">
        <f t="shared" si="101"/>
        <v>1.1286968647624384E-2</v>
      </c>
      <c r="E106" s="299">
        <f t="shared" si="101"/>
        <v>1.1419123681418765E-2</v>
      </c>
      <c r="F106" s="299">
        <f t="shared" si="101"/>
        <v>1.8174122780680157E-2</v>
      </c>
      <c r="G106" s="299">
        <f t="shared" si="101"/>
        <v>2.093389913062044E-2</v>
      </c>
      <c r="H106" s="299">
        <f t="shared" si="101"/>
        <v>2.3878460337476724E-2</v>
      </c>
      <c r="I106" s="299">
        <f t="shared" ref="I106:N106" si="102">(I101/$B192)*$B196*$B148*$B190*$B146</f>
        <v>2.9290624979149568E-2</v>
      </c>
      <c r="J106" s="299">
        <f t="shared" si="102"/>
        <v>3.1174269567712187E-2</v>
      </c>
      <c r="K106" s="299">
        <f t="shared" si="102"/>
        <v>2.6998325293407257E-2</v>
      </c>
      <c r="L106" s="299">
        <f t="shared" si="102"/>
        <v>2.2201465201465202E-2</v>
      </c>
      <c r="M106" s="299">
        <f t="shared" si="102"/>
        <v>2.7378343575064884E-2</v>
      </c>
      <c r="N106" s="299">
        <f t="shared" si="102"/>
        <v>2.7555388752110062E-2</v>
      </c>
      <c r="O106" s="299">
        <f>(O101/$B192)*$B196*$B148*$B190*$B146</f>
        <v>3.05696070778038E-2</v>
      </c>
      <c r="T106" t="s">
        <v>1096</v>
      </c>
    </row>
    <row r="107" spans="1:24" ht="15">
      <c r="A107" s="295" t="s">
        <v>188</v>
      </c>
      <c r="B107" s="300">
        <f t="shared" ref="B107:H107" si="103">$B149*B106</f>
        <v>0.28841936387838024</v>
      </c>
      <c r="C107" s="300">
        <f t="shared" si="103"/>
        <v>0.30409569847274759</v>
      </c>
      <c r="D107" s="300">
        <f t="shared" si="103"/>
        <v>0.23702634160011207</v>
      </c>
      <c r="E107" s="300">
        <f t="shared" si="103"/>
        <v>0.23980159730979406</v>
      </c>
      <c r="F107" s="300">
        <f t="shared" si="103"/>
        <v>0.3816565783942833</v>
      </c>
      <c r="G107" s="300">
        <f t="shared" si="103"/>
        <v>0.43961188174302923</v>
      </c>
      <c r="H107" s="300">
        <f t="shared" si="103"/>
        <v>0.50144766708701116</v>
      </c>
      <c r="I107" s="300">
        <f t="shared" ref="I107:N107" si="104">$B149*I106</f>
        <v>0.61510312456214089</v>
      </c>
      <c r="J107" s="300">
        <f t="shared" si="104"/>
        <v>0.65465966092195593</v>
      </c>
      <c r="K107" s="300">
        <f t="shared" si="104"/>
        <v>0.56696483116155239</v>
      </c>
      <c r="L107" s="300">
        <f t="shared" si="104"/>
        <v>0.46623076923076923</v>
      </c>
      <c r="M107" s="300">
        <f t="shared" si="104"/>
        <v>0.57494521507636254</v>
      </c>
      <c r="N107" s="300">
        <f t="shared" si="104"/>
        <v>0.57866316379431126</v>
      </c>
      <c r="O107" s="300">
        <f>$B149*O106</f>
        <v>0.64196174863387978</v>
      </c>
      <c r="T107" t="s">
        <v>1098</v>
      </c>
    </row>
    <row r="108" spans="1:24" ht="15">
      <c r="A108" s="279" t="s">
        <v>859</v>
      </c>
      <c r="B108" s="299">
        <f t="shared" ref="B108:H108" si="105">(B101/$B192)*$B196*$B148*$B191*$B146</f>
        <v>1.5786500485954039E-2</v>
      </c>
      <c r="C108" s="299">
        <f t="shared" si="105"/>
        <v>1.664453740956473E-2</v>
      </c>
      <c r="D108" s="299">
        <f t="shared" si="105"/>
        <v>1.2973527181177454E-2</v>
      </c>
      <c r="E108" s="299">
        <f t="shared" si="105"/>
        <v>1.3125429518872144E-2</v>
      </c>
      <c r="F108" s="299">
        <f t="shared" si="105"/>
        <v>2.088979629963237E-2</v>
      </c>
      <c r="G108" s="299">
        <f t="shared" si="105"/>
        <v>2.4061953023701659E-2</v>
      </c>
      <c r="H108" s="299">
        <f t="shared" si="105"/>
        <v>2.7446506135030722E-2</v>
      </c>
      <c r="I108" s="299">
        <f t="shared" ref="I108:N108" si="106">(I101/$B192)*$B196*$B148*$B191*$B146</f>
        <v>3.3667385033505255E-2</v>
      </c>
      <c r="J108" s="299">
        <f t="shared" si="106"/>
        <v>3.5832493755991027E-2</v>
      </c>
      <c r="K108" s="299">
        <f t="shared" si="106"/>
        <v>3.1032557808514091E-2</v>
      </c>
      <c r="L108" s="299">
        <f t="shared" si="106"/>
        <v>2.5518925518925518E-2</v>
      </c>
      <c r="M108" s="299">
        <f t="shared" si="106"/>
        <v>3.1469360431109067E-2</v>
      </c>
      <c r="N108" s="299">
        <f t="shared" si="106"/>
        <v>3.1672860634609272E-2</v>
      </c>
      <c r="O108" s="299">
        <f>(O101/$B192)*$B196*$B148*$B191*$B146</f>
        <v>3.5137479399774484E-2</v>
      </c>
      <c r="P108">
        <v>0.15</v>
      </c>
      <c r="Q108" t="s">
        <v>1118</v>
      </c>
      <c r="T108" t="s">
        <v>1099</v>
      </c>
    </row>
    <row r="109" spans="1:24" ht="15">
      <c r="A109" s="295" t="s">
        <v>190</v>
      </c>
      <c r="B109" s="301">
        <f t="shared" ref="B109:H109" si="107">$B150*B108</f>
        <v>4.8938151506457519</v>
      </c>
      <c r="C109" s="301">
        <f t="shared" si="107"/>
        <v>5.1598065969650664</v>
      </c>
      <c r="D109" s="301">
        <f t="shared" si="107"/>
        <v>4.0217934261650106</v>
      </c>
      <c r="E109" s="301">
        <f t="shared" si="107"/>
        <v>4.0688831508503647</v>
      </c>
      <c r="F109" s="301">
        <f t="shared" si="107"/>
        <v>6.4758368528860348</v>
      </c>
      <c r="G109" s="301">
        <f t="shared" si="107"/>
        <v>7.4592054373475145</v>
      </c>
      <c r="H109" s="301">
        <f t="shared" si="107"/>
        <v>8.5084169018595244</v>
      </c>
      <c r="I109" s="301">
        <f t="shared" ref="I109:N109" si="108">$B150*I108</f>
        <v>10.43688936038663</v>
      </c>
      <c r="J109" s="301">
        <f t="shared" si="108"/>
        <v>11.108073064357217</v>
      </c>
      <c r="K109" s="301">
        <f t="shared" si="108"/>
        <v>9.6200929206393688</v>
      </c>
      <c r="L109" s="301">
        <f t="shared" si="108"/>
        <v>7.9108669108669103</v>
      </c>
      <c r="M109" s="301">
        <f t="shared" si="108"/>
        <v>9.7555017336438112</v>
      </c>
      <c r="N109" s="301">
        <f t="shared" si="108"/>
        <v>9.8185867967288747</v>
      </c>
      <c r="O109" s="301">
        <f>$B150*O108</f>
        <v>10.89261861393009</v>
      </c>
      <c r="P109">
        <v>0.44</v>
      </c>
      <c r="Q109" t="s">
        <v>1117</v>
      </c>
      <c r="T109" t="s">
        <v>1100</v>
      </c>
    </row>
    <row r="110" spans="1:24">
      <c r="A110" s="494" t="s">
        <v>675</v>
      </c>
      <c r="B110" s="495">
        <f t="shared" ref="B110:H110" si="109">ROUND(B104+B107+B109,1)</f>
        <v>1349</v>
      </c>
      <c r="C110" s="495">
        <f t="shared" si="109"/>
        <v>1422.5</v>
      </c>
      <c r="D110" s="495">
        <f t="shared" si="109"/>
        <v>1108.5999999999999</v>
      </c>
      <c r="E110" s="495">
        <f t="shared" si="109"/>
        <v>1121.5999999999999</v>
      </c>
      <c r="F110" s="495">
        <f t="shared" si="109"/>
        <v>1785.1</v>
      </c>
      <c r="G110" s="495">
        <f t="shared" si="109"/>
        <v>2056.1</v>
      </c>
      <c r="H110" s="495">
        <f t="shared" si="109"/>
        <v>2345.6</v>
      </c>
      <c r="I110" s="495">
        <f t="shared" ref="I110:N110" si="110">ROUND(I104+I107+I109,1)</f>
        <v>2877.2</v>
      </c>
      <c r="J110" s="495">
        <f t="shared" si="110"/>
        <v>3062.3</v>
      </c>
      <c r="K110" s="495">
        <f t="shared" si="110"/>
        <v>2651.9</v>
      </c>
      <c r="L110" s="495">
        <f t="shared" si="110"/>
        <v>2180.8000000000002</v>
      </c>
      <c r="M110" s="495">
        <f t="shared" si="110"/>
        <v>2689.2</v>
      </c>
      <c r="N110" s="495">
        <f t="shared" si="110"/>
        <v>2706.6</v>
      </c>
      <c r="O110" s="495">
        <f>ROUND(O104+O107+O109,1)</f>
        <v>3002.6</v>
      </c>
      <c r="P110" s="5">
        <f>H81</f>
        <v>1391213.2000000002</v>
      </c>
      <c r="Q110" t="s">
        <v>1119</v>
      </c>
      <c r="T110" t="s">
        <v>1101</v>
      </c>
    </row>
    <row r="111" spans="1:24">
      <c r="A111" s="273"/>
      <c r="P111">
        <f>(P110/P108)*P109</f>
        <v>4080892.0533333337</v>
      </c>
      <c r="Q111" t="s">
        <v>1120</v>
      </c>
    </row>
    <row r="112" spans="1:24" ht="16">
      <c r="A112" s="272" t="s">
        <v>746</v>
      </c>
      <c r="B112" s="303"/>
      <c r="C112" s="303"/>
      <c r="D112" s="303"/>
      <c r="E112" s="303"/>
      <c r="F112" s="270"/>
      <c r="G112" s="270"/>
      <c r="H112" s="270"/>
      <c r="I112" s="270"/>
      <c r="J112" s="270"/>
      <c r="P112">
        <v>2200</v>
      </c>
      <c r="Q112" t="s">
        <v>1121</v>
      </c>
      <c r="T112">
        <v>4136</v>
      </c>
      <c r="U112" t="s">
        <v>1106</v>
      </c>
    </row>
    <row r="113" spans="1:21">
      <c r="A113" s="273"/>
      <c r="B113" s="286" t="s">
        <v>629</v>
      </c>
      <c r="C113" s="270"/>
      <c r="D113" s="270"/>
      <c r="E113" s="270"/>
      <c r="F113" s="270"/>
      <c r="G113" s="270"/>
      <c r="H113" s="270"/>
      <c r="I113" s="270"/>
      <c r="J113" s="270"/>
      <c r="P113">
        <f>P111/P112</f>
        <v>1854.9509333333335</v>
      </c>
      <c r="Q113" t="s">
        <v>1122</v>
      </c>
      <c r="T113">
        <f>T112/1.6</f>
        <v>2585</v>
      </c>
      <c r="U113" t="s">
        <v>1107</v>
      </c>
    </row>
    <row r="114" spans="1:21" ht="25" customHeight="1">
      <c r="A114" s="286" t="s">
        <v>628</v>
      </c>
      <c r="B114" s="274" t="s">
        <v>310</v>
      </c>
      <c r="C114" s="274" t="s">
        <v>339</v>
      </c>
      <c r="D114" s="274" t="s">
        <v>731</v>
      </c>
      <c r="E114" s="274" t="s">
        <v>24</v>
      </c>
      <c r="F114" s="274" t="s">
        <v>1005</v>
      </c>
      <c r="G114" s="274" t="s">
        <v>970</v>
      </c>
      <c r="H114" s="274" t="s">
        <v>956</v>
      </c>
      <c r="I114" s="274" t="s">
        <v>1124</v>
      </c>
      <c r="J114" s="274" t="s">
        <v>1154</v>
      </c>
      <c r="K114" s="707" t="s">
        <v>1187</v>
      </c>
      <c r="L114" s="274" t="s">
        <v>1196</v>
      </c>
      <c r="M114" s="677" t="s">
        <v>1251</v>
      </c>
      <c r="N114" s="677" t="s">
        <v>1261</v>
      </c>
      <c r="O114" s="677" t="s">
        <v>1277</v>
      </c>
      <c r="T114">
        <v>2</v>
      </c>
      <c r="U114" t="s">
        <v>1109</v>
      </c>
    </row>
    <row r="115" spans="1:21" s="29" customFormat="1">
      <c r="A115" s="315" t="s">
        <v>735</v>
      </c>
      <c r="B115" s="337">
        <v>33046</v>
      </c>
      <c r="C115" s="289">
        <v>32970.68</v>
      </c>
      <c r="D115" s="399">
        <v>29868</v>
      </c>
      <c r="E115" s="625">
        <v>42980</v>
      </c>
      <c r="F115" s="625">
        <v>25735</v>
      </c>
      <c r="G115" s="627">
        <v>60062</v>
      </c>
      <c r="H115" s="627">
        <v>52370</v>
      </c>
      <c r="I115" s="627">
        <v>50871.87</v>
      </c>
      <c r="J115" s="628">
        <v>57531</v>
      </c>
      <c r="K115" s="628">
        <v>57531</v>
      </c>
      <c r="L115" s="628">
        <v>48752</v>
      </c>
      <c r="M115" s="628">
        <v>49823.569999999985</v>
      </c>
      <c r="N115" s="628">
        <v>53595.969999999994</v>
      </c>
      <c r="O115" s="796">
        <v>38262.460000000006</v>
      </c>
      <c r="T115" s="29">
        <f>T114/T113</f>
        <v>7.7369439071566729E-4</v>
      </c>
      <c r="U115" s="29" t="s">
        <v>1108</v>
      </c>
    </row>
    <row r="116" spans="1:21" s="29" customFormat="1">
      <c r="A116" s="691" t="s">
        <v>828</v>
      </c>
      <c r="B116" s="311">
        <v>18</v>
      </c>
      <c r="C116" s="372">
        <v>18</v>
      </c>
      <c r="D116" s="372">
        <v>18</v>
      </c>
      <c r="E116" s="372">
        <v>18</v>
      </c>
      <c r="F116" s="372">
        <v>18</v>
      </c>
      <c r="G116" s="372">
        <v>18</v>
      </c>
      <c r="H116" s="372">
        <v>18</v>
      </c>
      <c r="I116" s="372">
        <v>18</v>
      </c>
      <c r="J116" s="372">
        <v>18</v>
      </c>
      <c r="K116" s="372">
        <v>17</v>
      </c>
      <c r="L116" s="372">
        <v>17</v>
      </c>
      <c r="M116" s="372">
        <v>17</v>
      </c>
      <c r="N116" s="372">
        <v>17</v>
      </c>
      <c r="O116" s="372">
        <v>17</v>
      </c>
      <c r="T116" s="29">
        <v>0.5</v>
      </c>
      <c r="U116" s="29" t="s">
        <v>1114</v>
      </c>
    </row>
    <row r="117" spans="1:21" s="29" customFormat="1">
      <c r="A117" s="306"/>
      <c r="B117" s="311"/>
      <c r="C117" s="372"/>
      <c r="D117" s="372"/>
      <c r="E117" s="372"/>
      <c r="F117" s="372"/>
      <c r="G117" s="372"/>
      <c r="H117" s="372"/>
      <c r="I117" s="372"/>
      <c r="J117" s="372"/>
      <c r="K117" s="372"/>
      <c r="L117" s="372"/>
      <c r="M117" s="372"/>
      <c r="N117" s="372"/>
      <c r="O117" s="372"/>
      <c r="T117" s="29">
        <f>(H96*T116)*T115</f>
        <v>1570.5996131528045</v>
      </c>
    </row>
    <row r="118" spans="1:21" s="29" customFormat="1">
      <c r="A118" s="306" t="s">
        <v>710</v>
      </c>
      <c r="B118" s="339">
        <f>2*29.5</f>
        <v>59</v>
      </c>
      <c r="C118" s="306">
        <v>59</v>
      </c>
      <c r="D118" s="306">
        <v>59</v>
      </c>
      <c r="E118" s="306">
        <v>59</v>
      </c>
      <c r="F118" s="306">
        <v>59</v>
      </c>
      <c r="G118" s="306">
        <v>59</v>
      </c>
      <c r="H118" s="306">
        <v>59</v>
      </c>
      <c r="I118" s="306">
        <v>59</v>
      </c>
      <c r="J118" s="306">
        <v>59</v>
      </c>
      <c r="K118" s="306">
        <v>59</v>
      </c>
      <c r="L118" s="306">
        <v>59</v>
      </c>
      <c r="M118" s="306">
        <v>59</v>
      </c>
      <c r="N118" s="306">
        <v>59</v>
      </c>
      <c r="O118" s="306">
        <v>59</v>
      </c>
    </row>
    <row r="119" spans="1:21" s="29" customFormat="1">
      <c r="A119" s="694" t="s">
        <v>829</v>
      </c>
      <c r="B119" s="327">
        <f t="shared" ref="B119:H119" si="111">B116/B118</f>
        <v>0.30508474576271188</v>
      </c>
      <c r="C119" s="327">
        <f t="shared" si="111"/>
        <v>0.30508474576271188</v>
      </c>
      <c r="D119" s="327">
        <f t="shared" si="111"/>
        <v>0.30508474576271188</v>
      </c>
      <c r="E119" s="327">
        <f t="shared" si="111"/>
        <v>0.30508474576271188</v>
      </c>
      <c r="F119" s="327">
        <f t="shared" si="111"/>
        <v>0.30508474576271188</v>
      </c>
      <c r="G119" s="327">
        <f t="shared" si="111"/>
        <v>0.30508474576271188</v>
      </c>
      <c r="H119" s="327">
        <f t="shared" si="111"/>
        <v>0.30508474576271188</v>
      </c>
      <c r="I119" s="327">
        <f t="shared" ref="I119:N119" si="112">I116/I118</f>
        <v>0.30508474576271188</v>
      </c>
      <c r="J119" s="327">
        <f t="shared" si="112"/>
        <v>0.30508474576271188</v>
      </c>
      <c r="K119" s="327">
        <f t="shared" si="112"/>
        <v>0.28813559322033899</v>
      </c>
      <c r="L119" s="327">
        <f t="shared" si="112"/>
        <v>0.28813559322033899</v>
      </c>
      <c r="M119" s="327">
        <f t="shared" si="112"/>
        <v>0.28813559322033899</v>
      </c>
      <c r="N119" s="327">
        <f t="shared" si="112"/>
        <v>0.28813559322033899</v>
      </c>
      <c r="O119" s="327">
        <f>O116/O118</f>
        <v>0.28813559322033899</v>
      </c>
      <c r="T119" t="s">
        <v>1096</v>
      </c>
    </row>
    <row r="120" spans="1:21" s="29" customFormat="1">
      <c r="A120" s="691" t="s">
        <v>592</v>
      </c>
      <c r="B120" s="311">
        <v>89</v>
      </c>
      <c r="C120" s="372">
        <v>96</v>
      </c>
      <c r="D120" s="372">
        <v>96</v>
      </c>
      <c r="E120" s="372">
        <v>96</v>
      </c>
      <c r="F120" s="372">
        <v>96</v>
      </c>
      <c r="G120" s="372">
        <v>96</v>
      </c>
      <c r="H120" s="372">
        <v>96</v>
      </c>
      <c r="I120" s="372">
        <v>96</v>
      </c>
      <c r="J120" s="372">
        <v>96</v>
      </c>
      <c r="K120" s="372">
        <v>96</v>
      </c>
      <c r="L120" s="372">
        <v>96</v>
      </c>
      <c r="M120" s="372">
        <v>96</v>
      </c>
      <c r="N120" s="372">
        <v>96</v>
      </c>
      <c r="O120" s="372">
        <v>96</v>
      </c>
      <c r="P120" s="29" t="s">
        <v>21</v>
      </c>
      <c r="T120" t="s">
        <v>1102</v>
      </c>
    </row>
    <row r="121" spans="1:21" s="29" customFormat="1">
      <c r="A121" s="306" t="s">
        <v>711</v>
      </c>
      <c r="B121" s="339">
        <f>2*310.1</f>
        <v>620.20000000000005</v>
      </c>
      <c r="C121" s="306">
        <v>620.20000000000005</v>
      </c>
      <c r="D121" s="306">
        <v>620.20000000000005</v>
      </c>
      <c r="E121" s="306">
        <v>620.20000000000005</v>
      </c>
      <c r="F121" s="306">
        <v>620.20000000000005</v>
      </c>
      <c r="G121" s="306">
        <v>620.20000000000005</v>
      </c>
      <c r="H121" s="306">
        <v>620.20000000000005</v>
      </c>
      <c r="I121" s="306">
        <v>620.20000000000005</v>
      </c>
      <c r="J121" s="306">
        <v>620.20000000000005</v>
      </c>
      <c r="K121" s="306">
        <v>620.20000000000005</v>
      </c>
      <c r="L121" s="306">
        <v>620.20000000000005</v>
      </c>
      <c r="M121" s="306">
        <v>620.20000000000005</v>
      </c>
      <c r="N121" s="306">
        <v>620.20000000000005</v>
      </c>
      <c r="O121" s="306">
        <v>620.20000000000005</v>
      </c>
      <c r="T121" t="s">
        <v>1103</v>
      </c>
    </row>
    <row r="122" spans="1:21" s="29" customFormat="1">
      <c r="A122" s="290" t="s">
        <v>593</v>
      </c>
      <c r="B122" s="327">
        <f t="shared" ref="B122:G122" si="113">B120/B121</f>
        <v>0.14350209609803288</v>
      </c>
      <c r="C122" s="327">
        <f t="shared" si="113"/>
        <v>0.1547887778136085</v>
      </c>
      <c r="D122" s="327">
        <f t="shared" si="113"/>
        <v>0.1547887778136085</v>
      </c>
      <c r="E122" s="327">
        <f t="shared" si="113"/>
        <v>0.1547887778136085</v>
      </c>
      <c r="F122" s="327">
        <f t="shared" si="113"/>
        <v>0.1547887778136085</v>
      </c>
      <c r="G122" s="327">
        <f t="shared" si="113"/>
        <v>0.1547887778136085</v>
      </c>
      <c r="H122" s="327">
        <f t="shared" ref="H122:M122" si="114">H120/H121</f>
        <v>0.1547887778136085</v>
      </c>
      <c r="I122" s="327">
        <f t="shared" si="114"/>
        <v>0.1547887778136085</v>
      </c>
      <c r="J122" s="327">
        <f t="shared" si="114"/>
        <v>0.1547887778136085</v>
      </c>
      <c r="K122" s="327">
        <f t="shared" si="114"/>
        <v>0.1547887778136085</v>
      </c>
      <c r="L122" s="327">
        <f t="shared" si="114"/>
        <v>0.1547887778136085</v>
      </c>
      <c r="M122" s="327">
        <f t="shared" si="114"/>
        <v>0.1547887778136085</v>
      </c>
      <c r="N122" s="327">
        <f>N120/N121</f>
        <v>0.1547887778136085</v>
      </c>
      <c r="O122" s="327">
        <f>O120/O121</f>
        <v>0.1547887778136085</v>
      </c>
      <c r="T122" t="s">
        <v>1104</v>
      </c>
    </row>
    <row r="123" spans="1:21" s="29" customFormat="1">
      <c r="A123" s="691" t="s">
        <v>382</v>
      </c>
      <c r="B123" s="311">
        <v>142</v>
      </c>
      <c r="C123" s="372">
        <v>144</v>
      </c>
      <c r="D123" s="372">
        <v>144</v>
      </c>
      <c r="E123" s="457">
        <v>148</v>
      </c>
      <c r="F123" s="457">
        <v>156</v>
      </c>
      <c r="G123" s="457">
        <v>156</v>
      </c>
      <c r="H123" s="457">
        <v>156</v>
      </c>
      <c r="I123" s="457">
        <v>156</v>
      </c>
      <c r="J123" s="457">
        <v>156</v>
      </c>
      <c r="K123" s="457">
        <v>196</v>
      </c>
      <c r="L123" s="457">
        <v>196</v>
      </c>
      <c r="M123" s="457">
        <v>196</v>
      </c>
      <c r="N123" s="457">
        <v>196</v>
      </c>
      <c r="O123" s="457">
        <v>196</v>
      </c>
      <c r="P123" s="29" t="s">
        <v>40</v>
      </c>
      <c r="T123" t="s">
        <v>1105</v>
      </c>
    </row>
    <row r="124" spans="1:21" s="29" customFormat="1">
      <c r="A124" s="306" t="s">
        <v>481</v>
      </c>
      <c r="B124" s="339">
        <f>2*526</f>
        <v>1052</v>
      </c>
      <c r="C124" s="373">
        <v>1052</v>
      </c>
      <c r="D124" s="373">
        <v>1052</v>
      </c>
      <c r="E124" s="373">
        <v>1052</v>
      </c>
      <c r="F124" s="373">
        <v>1052</v>
      </c>
      <c r="G124" s="373">
        <v>1052</v>
      </c>
      <c r="H124" s="373">
        <v>1052</v>
      </c>
      <c r="I124" s="373">
        <v>1052</v>
      </c>
      <c r="J124" s="373">
        <v>1052</v>
      </c>
      <c r="K124" s="373">
        <v>1052</v>
      </c>
      <c r="L124" s="373">
        <v>1052</v>
      </c>
      <c r="M124" s="373">
        <v>1052</v>
      </c>
      <c r="N124" s="373">
        <v>1052</v>
      </c>
      <c r="O124" s="373">
        <v>1052</v>
      </c>
    </row>
    <row r="125" spans="1:21">
      <c r="A125" s="290" t="s">
        <v>501</v>
      </c>
      <c r="B125" s="327">
        <f t="shared" ref="B125:G125" si="115">B123/B124</f>
        <v>0.13498098859315588</v>
      </c>
      <c r="C125" s="327">
        <f t="shared" si="115"/>
        <v>0.13688212927756654</v>
      </c>
      <c r="D125" s="327">
        <f t="shared" si="115"/>
        <v>0.13688212927756654</v>
      </c>
      <c r="E125" s="327">
        <f t="shared" si="115"/>
        <v>0.14068441064638784</v>
      </c>
      <c r="F125" s="327">
        <f t="shared" si="115"/>
        <v>0.14828897338403041</v>
      </c>
      <c r="G125" s="327">
        <f t="shared" si="115"/>
        <v>0.14828897338403041</v>
      </c>
      <c r="H125" s="327">
        <f t="shared" ref="H125:M125" si="116">H123/H124</f>
        <v>0.14828897338403041</v>
      </c>
      <c r="I125" s="327">
        <f t="shared" si="116"/>
        <v>0.14828897338403041</v>
      </c>
      <c r="J125" s="327">
        <f t="shared" si="116"/>
        <v>0.14828897338403041</v>
      </c>
      <c r="K125" s="327">
        <f t="shared" si="116"/>
        <v>0.18631178707224336</v>
      </c>
      <c r="L125" s="327">
        <f t="shared" si="116"/>
        <v>0.18631178707224336</v>
      </c>
      <c r="M125" s="327">
        <f t="shared" si="116"/>
        <v>0.18631178707224336</v>
      </c>
      <c r="N125" s="327">
        <f>N123/N124</f>
        <v>0.18631178707224336</v>
      </c>
      <c r="O125" s="327">
        <f>O123/O124</f>
        <v>0.18631178707224336</v>
      </c>
      <c r="T125" s="29">
        <v>653</v>
      </c>
      <c r="U125" s="29" t="s">
        <v>1106</v>
      </c>
    </row>
    <row r="126" spans="1:21">
      <c r="A126" s="290" t="s">
        <v>743</v>
      </c>
      <c r="B126" s="327">
        <f t="shared" ref="B126:G126" si="117">AVERAGE(B119,B122,B125)</f>
        <v>0.19452261015130023</v>
      </c>
      <c r="C126" s="327">
        <f t="shared" si="117"/>
        <v>0.19891855095129563</v>
      </c>
      <c r="D126" s="327">
        <f t="shared" si="117"/>
        <v>0.19891855095129563</v>
      </c>
      <c r="E126" s="327">
        <f t="shared" si="117"/>
        <v>0.20018597807423608</v>
      </c>
      <c r="F126" s="327">
        <f t="shared" si="117"/>
        <v>0.20272083232011692</v>
      </c>
      <c r="G126" s="327">
        <f t="shared" si="117"/>
        <v>0.20272083232011692</v>
      </c>
      <c r="H126" s="327">
        <f t="shared" ref="H126:M126" si="118">AVERAGE(H119,H122,H125)</f>
        <v>0.20272083232011692</v>
      </c>
      <c r="I126" s="327">
        <f t="shared" si="118"/>
        <v>0.20272083232011692</v>
      </c>
      <c r="J126" s="327">
        <f t="shared" si="118"/>
        <v>0.20272083232011692</v>
      </c>
      <c r="K126" s="327">
        <f t="shared" si="118"/>
        <v>0.20974538603539694</v>
      </c>
      <c r="L126" s="327">
        <f t="shared" si="118"/>
        <v>0.20974538603539694</v>
      </c>
      <c r="M126" s="327">
        <f t="shared" si="118"/>
        <v>0.20974538603539694</v>
      </c>
      <c r="N126" s="327">
        <f>AVERAGE(N119,N122,N125)</f>
        <v>0.20974538603539694</v>
      </c>
      <c r="O126" s="327">
        <f>AVERAGE(O119,O122,O125)</f>
        <v>0.20974538603539694</v>
      </c>
      <c r="T126">
        <f>T125/1.6</f>
        <v>408.125</v>
      </c>
      <c r="U126" t="s">
        <v>1107</v>
      </c>
    </row>
    <row r="127" spans="1:21">
      <c r="A127" s="290" t="s">
        <v>247</v>
      </c>
      <c r="B127" s="313">
        <f t="shared" ref="B127:H127" si="119">ROUND((B115)/B126,-1)</f>
        <v>169880</v>
      </c>
      <c r="C127" s="313">
        <f t="shared" si="119"/>
        <v>165750</v>
      </c>
      <c r="D127" s="313">
        <f t="shared" si="119"/>
        <v>150150</v>
      </c>
      <c r="E127" s="313">
        <f t="shared" si="119"/>
        <v>214700</v>
      </c>
      <c r="F127" s="313">
        <f t="shared" si="119"/>
        <v>126950</v>
      </c>
      <c r="G127" s="313">
        <f t="shared" si="119"/>
        <v>296280</v>
      </c>
      <c r="H127" s="313">
        <f t="shared" si="119"/>
        <v>258340</v>
      </c>
      <c r="I127" s="313">
        <f t="shared" ref="I127:N127" si="120">ROUND((I115)/I126,-1)</f>
        <v>250950</v>
      </c>
      <c r="J127" s="313">
        <f t="shared" si="120"/>
        <v>283790</v>
      </c>
      <c r="K127" s="313">
        <f t="shared" si="120"/>
        <v>274290</v>
      </c>
      <c r="L127" s="313">
        <f t="shared" si="120"/>
        <v>232430</v>
      </c>
      <c r="M127" s="313">
        <f t="shared" si="120"/>
        <v>237540</v>
      </c>
      <c r="N127" s="313">
        <f t="shared" si="120"/>
        <v>255530</v>
      </c>
      <c r="O127" s="313">
        <f>ROUND((O115)/O126,-1)</f>
        <v>182420</v>
      </c>
      <c r="T127">
        <v>1</v>
      </c>
      <c r="U127" t="s">
        <v>1109</v>
      </c>
    </row>
    <row r="128" spans="1:21">
      <c r="A128" s="691" t="s">
        <v>827</v>
      </c>
      <c r="B128" s="332">
        <v>2100</v>
      </c>
      <c r="C128" s="331">
        <v>2100</v>
      </c>
      <c r="D128" s="331">
        <v>2100</v>
      </c>
      <c r="E128" s="331">
        <v>2100</v>
      </c>
      <c r="F128" s="331">
        <v>2100</v>
      </c>
      <c r="G128" s="331">
        <v>2100</v>
      </c>
      <c r="H128" s="331">
        <v>2100</v>
      </c>
      <c r="I128" s="331">
        <v>2100</v>
      </c>
      <c r="J128" s="331">
        <v>2100</v>
      </c>
      <c r="K128" s="331">
        <v>1608</v>
      </c>
      <c r="L128" s="331">
        <v>1608</v>
      </c>
      <c r="M128" s="331">
        <v>1608</v>
      </c>
      <c r="N128" s="331">
        <v>1608</v>
      </c>
      <c r="O128" s="331">
        <v>1608</v>
      </c>
      <c r="T128">
        <f>T127/T126</f>
        <v>2.450229709035222E-3</v>
      </c>
      <c r="U128" t="s">
        <v>1108</v>
      </c>
    </row>
    <row r="129" spans="1:21" s="24" customFormat="1">
      <c r="A129" s="279" t="s">
        <v>138</v>
      </c>
      <c r="B129" s="299">
        <f t="shared" ref="B129:H129" si="121">((B127*B128*$B143)/B115)</f>
        <v>1.0795497185741089E-2</v>
      </c>
      <c r="C129" s="299">
        <f t="shared" si="121"/>
        <v>1.0557107102431615E-2</v>
      </c>
      <c r="D129" s="299">
        <f t="shared" si="121"/>
        <v>1.0556950582563278E-2</v>
      </c>
      <c r="E129" s="299">
        <f t="shared" si="121"/>
        <v>1.0490228013029316E-2</v>
      </c>
      <c r="F129" s="299">
        <f t="shared" si="121"/>
        <v>1.03592383912959E-2</v>
      </c>
      <c r="G129" s="299">
        <f t="shared" si="121"/>
        <v>1.0359095601212081E-2</v>
      </c>
      <c r="H129" s="299">
        <f t="shared" si="121"/>
        <v>1.035925147985488E-2</v>
      </c>
      <c r="I129" s="299">
        <f>((I127*I128*$B143)/I115)</f>
        <v>1.0359261415002043E-2</v>
      </c>
      <c r="J129" s="299">
        <f>((J127*J128*$B143)/J115)</f>
        <v>1.035891953903113E-2</v>
      </c>
      <c r="K129" s="299">
        <f>((J127*K128*$B143)/J115)</f>
        <v>7.9319726756009803E-3</v>
      </c>
      <c r="L129" s="299">
        <f>((K127*L128*$B143)/K115)</f>
        <v>7.6664462637534543E-3</v>
      </c>
      <c r="M129" s="299">
        <f>((L127*M128*$B143)/L115)</f>
        <v>7.6662996389891694E-3</v>
      </c>
      <c r="N129" s="299">
        <f>((M127*N128*$B143)/M115)</f>
        <v>7.6663378397011719E-3</v>
      </c>
      <c r="O129" s="299">
        <f>((N127*O128*$B143)/N115)</f>
        <v>7.6664764160439677E-3</v>
      </c>
      <c r="T129" s="24">
        <v>0.25</v>
      </c>
      <c r="U129" t="s">
        <v>1115</v>
      </c>
    </row>
    <row r="130" spans="1:21" s="24" customFormat="1" ht="15">
      <c r="A130" s="293" t="s">
        <v>833</v>
      </c>
      <c r="B130" s="340">
        <f t="shared" ref="B130:H130" si="122">(B131*$B203*$B204*$B205*$B145)/B115</f>
        <v>7.5689097878123713E-4</v>
      </c>
      <c r="C130" s="340">
        <f t="shared" si="122"/>
        <v>7.4032981037489053E-4</v>
      </c>
      <c r="D130" s="340">
        <f t="shared" si="122"/>
        <v>7.4023045015477135E-4</v>
      </c>
      <c r="E130" s="340">
        <f t="shared" si="122"/>
        <v>7.3563594593572678E-4</v>
      </c>
      <c r="F130" s="340">
        <f t="shared" si="122"/>
        <v>7.2641548034507633E-4</v>
      </c>
      <c r="G130" s="340">
        <f t="shared" si="122"/>
        <v>7.2640585379807668E-4</v>
      </c>
      <c r="H130" s="340">
        <f t="shared" si="122"/>
        <v>7.2638402903959186E-4</v>
      </c>
      <c r="I130" s="340">
        <f>(I131*$B203*$B204*$B205*$B145)/I115</f>
        <v>7.2641036303690407E-4</v>
      </c>
      <c r="J130" s="340">
        <f>(J131*$B203*$B204*$B205*$B145)/J115</f>
        <v>7.2642947085402537E-4</v>
      </c>
      <c r="K130" s="693">
        <f>(K131*$B203*$B204*$B205*$B145)/J115</f>
        <v>5.5615732810518749E-4</v>
      </c>
      <c r="L130" s="693">
        <f>(L131*$B203*$B204*$B205*$B145)/K115</f>
        <v>5.3763093891562189E-4</v>
      </c>
      <c r="M130" s="693">
        <f>(M131*$B203*$B204*$B205*$B145)/L115</f>
        <v>5.3750162202378709E-4</v>
      </c>
      <c r="N130" s="693">
        <f>(N131*$B203*$B204*$B205*$B145)/M115</f>
        <v>5.3762275043929824E-4</v>
      </c>
      <c r="O130" s="693">
        <f>(O131*$B203*$B204*$B205*$B145)/N115</f>
        <v>5.3759240455342162E-4</v>
      </c>
      <c r="T130">
        <f>(H96*T129)*T128</f>
        <v>2486.9831546707501</v>
      </c>
    </row>
    <row r="131" spans="1:21" s="24" customFormat="1">
      <c r="A131" s="293" t="s">
        <v>405</v>
      </c>
      <c r="B131" s="294">
        <f t="shared" ref="B131:G131" si="123">ROUND((B127*B128*$B143),1)</f>
        <v>356.7</v>
      </c>
      <c r="C131" s="294">
        <f t="shared" si="123"/>
        <v>348.1</v>
      </c>
      <c r="D131" s="294">
        <f t="shared" si="123"/>
        <v>315.3</v>
      </c>
      <c r="E131" s="294">
        <f t="shared" si="123"/>
        <v>450.9</v>
      </c>
      <c r="F131" s="294">
        <f t="shared" si="123"/>
        <v>266.60000000000002</v>
      </c>
      <c r="G131" s="294">
        <f t="shared" si="123"/>
        <v>622.20000000000005</v>
      </c>
      <c r="H131" s="294">
        <f>ROUND((H127*H128*$B143),1)</f>
        <v>542.5</v>
      </c>
      <c r="I131" s="294">
        <f>ROUND((I127*I128*$B143),1)</f>
        <v>527</v>
      </c>
      <c r="J131" s="294">
        <f>ROUND((J127*J128*$B143),1)</f>
        <v>596</v>
      </c>
      <c r="K131" s="294">
        <f>ROUND((J127*K128*$B143),1)</f>
        <v>456.3</v>
      </c>
      <c r="L131" s="294">
        <f>ROUND((K127*L128*$B143),1)</f>
        <v>441.1</v>
      </c>
      <c r="M131" s="294">
        <f>ROUND((L127*M128*$B143),1)</f>
        <v>373.7</v>
      </c>
      <c r="N131" s="294">
        <f>ROUND((M127*N128*$B143),1)</f>
        <v>382</v>
      </c>
      <c r="O131" s="294">
        <f>ROUND((N127*O128*$B143),1)</f>
        <v>410.9</v>
      </c>
    </row>
    <row r="132" spans="1:21" s="24" customFormat="1" ht="15">
      <c r="A132" s="295" t="s">
        <v>173</v>
      </c>
      <c r="B132" s="296">
        <f t="shared" ref="B132:G132" si="124">ROUND(B131*$B203*$B204*$B205*$B145,1)</f>
        <v>25</v>
      </c>
      <c r="C132" s="296">
        <f t="shared" si="124"/>
        <v>24.4</v>
      </c>
      <c r="D132" s="296">
        <f t="shared" si="124"/>
        <v>22.1</v>
      </c>
      <c r="E132" s="296">
        <f t="shared" si="124"/>
        <v>31.6</v>
      </c>
      <c r="F132" s="296">
        <f t="shared" si="124"/>
        <v>18.7</v>
      </c>
      <c r="G132" s="296">
        <f t="shared" si="124"/>
        <v>43.6</v>
      </c>
      <c r="H132" s="296">
        <f t="shared" ref="H132:M132" si="125">ROUND(H131*$B203*$B204*$B205*$B145,1)</f>
        <v>38</v>
      </c>
      <c r="I132" s="296">
        <f t="shared" si="125"/>
        <v>37</v>
      </c>
      <c r="J132" s="296">
        <f t="shared" si="125"/>
        <v>41.8</v>
      </c>
      <c r="K132" s="296">
        <f t="shared" si="125"/>
        <v>32</v>
      </c>
      <c r="L132" s="296">
        <f t="shared" si="125"/>
        <v>30.9</v>
      </c>
      <c r="M132" s="296">
        <f t="shared" si="125"/>
        <v>26.2</v>
      </c>
      <c r="N132" s="296">
        <f>ROUND(N131*$B203*$B204*$B205*$B145,1)</f>
        <v>26.8</v>
      </c>
      <c r="O132" s="296">
        <f>ROUND(O131*$B203*$B204*$B205*$B145,1)</f>
        <v>28.8</v>
      </c>
      <c r="T132" s="24">
        <f>T130+T117+T104</f>
        <v>4795.7645860053726</v>
      </c>
      <c r="U132" s="70" t="s">
        <v>1116</v>
      </c>
    </row>
    <row r="133" spans="1:21">
      <c r="A133" s="283" t="s">
        <v>420</v>
      </c>
      <c r="B133" s="292">
        <f t="shared" ref="B133:G133" si="126">(B131/$B202)/$B144</f>
        <v>2571.9141630901286</v>
      </c>
      <c r="C133" s="292">
        <f t="shared" si="126"/>
        <v>2509.905579399142</v>
      </c>
      <c r="D133" s="292">
        <f t="shared" si="126"/>
        <v>2273.4077253218884</v>
      </c>
      <c r="E133" s="292">
        <f t="shared" si="126"/>
        <v>3251.1244635193134</v>
      </c>
      <c r="F133" s="292">
        <f t="shared" si="126"/>
        <v>1922.2660944206011</v>
      </c>
      <c r="G133" s="292">
        <f t="shared" si="126"/>
        <v>4486.2489270386268</v>
      </c>
      <c r="H133" s="292">
        <f t="shared" ref="H133:M133" si="127">(H131/$B202)/$B144</f>
        <v>3911.5879828326183</v>
      </c>
      <c r="I133" s="292">
        <f t="shared" si="127"/>
        <v>3799.8283261802576</v>
      </c>
      <c r="J133" s="292">
        <f t="shared" si="127"/>
        <v>4297.339055793992</v>
      </c>
      <c r="K133" s="292">
        <f t="shared" si="127"/>
        <v>3290.0600858369098</v>
      </c>
      <c r="L133" s="292">
        <f t="shared" si="127"/>
        <v>3180.4635193133054</v>
      </c>
      <c r="M133" s="292">
        <f t="shared" si="127"/>
        <v>2694.4892703862661</v>
      </c>
      <c r="N133" s="292">
        <f>(N131/$B202)/$B144</f>
        <v>2754.3347639484982</v>
      </c>
      <c r="O133" s="292">
        <f>(O131/$B202)/$B144</f>
        <v>2962.7124463519312</v>
      </c>
    </row>
    <row r="134" spans="1:21" ht="15">
      <c r="A134" s="279" t="s">
        <v>866</v>
      </c>
      <c r="B134" s="341">
        <f t="shared" ref="B134:G134" si="128">($B200*$B199*B133*$B146)</f>
        <v>2.0511015450643774E-3</v>
      </c>
      <c r="C134" s="341">
        <f t="shared" si="128"/>
        <v>2.0016496995708156E-3</v>
      </c>
      <c r="D134" s="341">
        <f t="shared" si="128"/>
        <v>1.8130426609442058E-3</v>
      </c>
      <c r="E134" s="341">
        <f t="shared" si="128"/>
        <v>2.592771759656652E-3</v>
      </c>
      <c r="F134" s="341">
        <f t="shared" si="128"/>
        <v>1.5330072103004293E-3</v>
      </c>
      <c r="G134" s="341">
        <f t="shared" si="128"/>
        <v>3.5777835193133043E-3</v>
      </c>
      <c r="H134" s="341">
        <f t="shared" ref="H134:M134" si="129">($B200*$B199*H133*$B146)</f>
        <v>3.1194914163090127E-3</v>
      </c>
      <c r="I134" s="341">
        <f t="shared" si="129"/>
        <v>3.030363090128755E-3</v>
      </c>
      <c r="J134" s="341">
        <f t="shared" si="129"/>
        <v>3.427127896995708E-3</v>
      </c>
      <c r="K134" s="341">
        <f t="shared" si="129"/>
        <v>2.6238229184549354E-3</v>
      </c>
      <c r="L134" s="341">
        <f t="shared" si="129"/>
        <v>2.5364196566523608E-3</v>
      </c>
      <c r="M134" s="341">
        <f t="shared" si="129"/>
        <v>2.1488551931330472E-3</v>
      </c>
      <c r="N134" s="341">
        <f>($B200*$B199*N133*$B146)</f>
        <v>2.1965819742489276E-3</v>
      </c>
      <c r="O134" s="341">
        <f>($B200*$B199*O133*$B146)</f>
        <v>2.3627631759656651E-3</v>
      </c>
    </row>
    <row r="135" spans="1:21" ht="15">
      <c r="A135" s="295" t="s">
        <v>188</v>
      </c>
      <c r="B135" s="322">
        <f t="shared" ref="B135:G135" si="130">B133*$B199*$B200*$B146*$B149</f>
        <v>4.3073132446351928E-2</v>
      </c>
      <c r="C135" s="322">
        <f t="shared" si="130"/>
        <v>4.2034643690987125E-2</v>
      </c>
      <c r="D135" s="322">
        <f t="shared" si="130"/>
        <v>3.8073895879828325E-2</v>
      </c>
      <c r="E135" s="322">
        <f t="shared" si="130"/>
        <v>5.4448206952789693E-2</v>
      </c>
      <c r="F135" s="322">
        <f t="shared" si="130"/>
        <v>3.2193151416309018E-2</v>
      </c>
      <c r="G135" s="322">
        <f t="shared" si="130"/>
        <v>7.5133453905579392E-2</v>
      </c>
      <c r="H135" s="322">
        <f t="shared" ref="H135:M135" si="131">H133*$B199*$B200*$B146*$B149</f>
        <v>6.5509319742489261E-2</v>
      </c>
      <c r="I135" s="322">
        <f t="shared" si="131"/>
        <v>6.3637624892703859E-2</v>
      </c>
      <c r="J135" s="322">
        <f t="shared" si="131"/>
        <v>7.1969685836909866E-2</v>
      </c>
      <c r="K135" s="322">
        <f t="shared" si="131"/>
        <v>5.5100281287553642E-2</v>
      </c>
      <c r="L135" s="322">
        <f t="shared" si="131"/>
        <v>5.3264812789699578E-2</v>
      </c>
      <c r="M135" s="322">
        <f t="shared" si="131"/>
        <v>4.5125959055793988E-2</v>
      </c>
      <c r="N135" s="322">
        <f>N133*$B199*$B200*$B146*$B149</f>
        <v>4.6128221459227479E-2</v>
      </c>
      <c r="O135" s="322">
        <f>O133*$B199*$B200*$B146*$B149</f>
        <v>4.9618026695278969E-2</v>
      </c>
    </row>
    <row r="136" spans="1:21" ht="15">
      <c r="A136" s="279" t="s">
        <v>859</v>
      </c>
      <c r="B136" s="342">
        <f t="shared" ref="B136:G136" si="132">($B201*$B199*B133*$B146)</f>
        <v>6.5635249442060073E-4</v>
      </c>
      <c r="C136" s="342">
        <f t="shared" si="132"/>
        <v>6.4052790386266093E-4</v>
      </c>
      <c r="D136" s="342">
        <f t="shared" si="132"/>
        <v>5.8017365150214587E-4</v>
      </c>
      <c r="E136" s="342">
        <f t="shared" si="132"/>
        <v>8.2968696309012875E-4</v>
      </c>
      <c r="F136" s="342">
        <f t="shared" si="132"/>
        <v>4.9056230729613737E-4</v>
      </c>
      <c r="G136" s="342">
        <f t="shared" si="132"/>
        <v>1.1448907261802574E-3</v>
      </c>
      <c r="H136" s="342">
        <f t="shared" ref="H136:M136" si="133">($B201*$B199*H133*$B146)</f>
        <v>9.9823725321888414E-4</v>
      </c>
      <c r="I136" s="342">
        <f t="shared" si="133"/>
        <v>9.697161888412016E-4</v>
      </c>
      <c r="J136" s="342">
        <f t="shared" si="133"/>
        <v>1.0966809270386265E-3</v>
      </c>
      <c r="K136" s="342">
        <f t="shared" si="133"/>
        <v>8.3962333390557925E-4</v>
      </c>
      <c r="L136" s="342">
        <f t="shared" si="133"/>
        <v>8.1165429012875552E-4</v>
      </c>
      <c r="M136" s="342">
        <f t="shared" si="133"/>
        <v>6.8763366180257498E-4</v>
      </c>
      <c r="N136" s="342">
        <f>($B201*$B199*N133*$B146)</f>
        <v>7.0290623175965671E-4</v>
      </c>
      <c r="O136" s="342">
        <f>($B201*$B199*O133*$B146)</f>
        <v>7.5608421630901277E-4</v>
      </c>
    </row>
    <row r="137" spans="1:21" ht="15">
      <c r="A137" s="295" t="s">
        <v>190</v>
      </c>
      <c r="B137" s="322">
        <f t="shared" ref="B137:G137" si="134">B133*$B201*$B146*$B150</f>
        <v>6.3783471244635195E-2</v>
      </c>
      <c r="C137" s="322">
        <f t="shared" si="134"/>
        <v>6.2245658369098726E-2</v>
      </c>
      <c r="D137" s="322">
        <f t="shared" si="134"/>
        <v>5.638051158798283E-2</v>
      </c>
      <c r="E137" s="322">
        <f t="shared" si="134"/>
        <v>8.0627886695278969E-2</v>
      </c>
      <c r="F137" s="322">
        <f t="shared" si="134"/>
        <v>4.7672199141630914E-2</v>
      </c>
      <c r="G137" s="322">
        <f t="shared" si="134"/>
        <v>0.11125897339055794</v>
      </c>
      <c r="H137" s="322">
        <f t="shared" ref="H137:M137" si="135">H133*$B201*$B146*$B150</f>
        <v>9.7007381974248935E-2</v>
      </c>
      <c r="I137" s="322">
        <f t="shared" si="135"/>
        <v>9.4235742489270385E-2</v>
      </c>
      <c r="J137" s="322">
        <f t="shared" si="135"/>
        <v>0.10657400858369101</v>
      </c>
      <c r="K137" s="322">
        <f t="shared" si="135"/>
        <v>8.1593490128755358E-2</v>
      </c>
      <c r="L137" s="322">
        <f t="shared" si="135"/>
        <v>7.8875495278969976E-2</v>
      </c>
      <c r="M137" s="322">
        <f t="shared" si="135"/>
        <v>6.6823333905579402E-2</v>
      </c>
      <c r="N137" s="322">
        <f>N133*$B201*$B146*$B150</f>
        <v>6.8307502145922752E-2</v>
      </c>
      <c r="O137" s="322">
        <f>O133*$B201*$B146*$B150</f>
        <v>7.3475268669527888E-2</v>
      </c>
    </row>
    <row r="138" spans="1:21">
      <c r="A138" s="494" t="s">
        <v>185</v>
      </c>
      <c r="B138" s="495">
        <f t="shared" ref="B138:G138" si="136">ROUND(B132+B135+B137,1)</f>
        <v>25.1</v>
      </c>
      <c r="C138" s="495">
        <f t="shared" si="136"/>
        <v>24.5</v>
      </c>
      <c r="D138" s="495">
        <f t="shared" si="136"/>
        <v>22.2</v>
      </c>
      <c r="E138" s="495">
        <f t="shared" si="136"/>
        <v>31.7</v>
      </c>
      <c r="F138" s="495">
        <f t="shared" si="136"/>
        <v>18.8</v>
      </c>
      <c r="G138" s="495">
        <f t="shared" si="136"/>
        <v>43.8</v>
      </c>
      <c r="H138" s="495">
        <f t="shared" ref="H138:M138" si="137">ROUND(H132+H135+H137,1)</f>
        <v>38.200000000000003</v>
      </c>
      <c r="I138" s="495">
        <f t="shared" si="137"/>
        <v>37.200000000000003</v>
      </c>
      <c r="J138" s="495">
        <f t="shared" si="137"/>
        <v>42</v>
      </c>
      <c r="K138" s="495">
        <f t="shared" si="137"/>
        <v>32.1</v>
      </c>
      <c r="L138" s="495">
        <f t="shared" si="137"/>
        <v>31</v>
      </c>
      <c r="M138" s="495">
        <f t="shared" si="137"/>
        <v>26.3</v>
      </c>
      <c r="N138" s="495">
        <f>ROUND(N132+N135+N137,1)</f>
        <v>26.9</v>
      </c>
      <c r="O138" s="495">
        <f>ROUND(O132+O135+O137,1)</f>
        <v>28.9</v>
      </c>
    </row>
    <row r="139" spans="1:21">
      <c r="A139" s="273"/>
    </row>
    <row r="140" spans="1:21">
      <c r="A140" s="270"/>
      <c r="B140" s="270"/>
      <c r="C140" s="302"/>
      <c r="D140" s="302"/>
      <c r="E140" s="302"/>
      <c r="F140" s="302"/>
      <c r="G140" s="302"/>
      <c r="H140" s="270"/>
      <c r="I140" s="270"/>
    </row>
    <row r="141" spans="1:21" ht="16">
      <c r="A141" s="867" t="s">
        <v>749</v>
      </c>
      <c r="B141" s="867"/>
      <c r="C141" s="270"/>
      <c r="D141" s="270"/>
      <c r="E141" s="270"/>
      <c r="F141" s="270"/>
      <c r="G141" s="270"/>
      <c r="H141" s="270"/>
      <c r="I141" s="270"/>
    </row>
    <row r="142" spans="1:21">
      <c r="A142" s="286" t="s">
        <v>511</v>
      </c>
      <c r="B142" s="270"/>
      <c r="C142" s="270"/>
      <c r="D142" s="270"/>
      <c r="E142" s="270"/>
      <c r="F142" s="270"/>
      <c r="G142" s="270"/>
      <c r="H142" s="270"/>
      <c r="I142" s="270"/>
    </row>
    <row r="143" spans="1:21">
      <c r="A143" s="343" t="s">
        <v>899</v>
      </c>
      <c r="B143" s="344">
        <f>1/1000000</f>
        <v>9.9999999999999995E-7</v>
      </c>
      <c r="C143" s="283"/>
      <c r="D143" s="270"/>
      <c r="E143" s="270"/>
      <c r="F143" s="270"/>
      <c r="G143" s="270"/>
      <c r="H143" s="270"/>
      <c r="I143" s="270"/>
    </row>
    <row r="144" spans="1:21">
      <c r="A144" s="345" t="s">
        <v>355</v>
      </c>
      <c r="B144" s="346">
        <f>((1)/(42))</f>
        <v>2.3809523809523808E-2</v>
      </c>
      <c r="C144" s="283"/>
      <c r="D144" s="270"/>
      <c r="E144" s="270"/>
      <c r="F144" s="270"/>
      <c r="G144" s="270"/>
      <c r="H144" s="270"/>
      <c r="I144" s="270"/>
    </row>
    <row r="145" spans="1:15">
      <c r="A145" s="347" t="s">
        <v>286</v>
      </c>
      <c r="B145" s="283">
        <v>1E-3</v>
      </c>
      <c r="C145" s="283"/>
      <c r="D145" s="270"/>
      <c r="E145" s="270"/>
      <c r="F145" s="270"/>
      <c r="G145" s="270"/>
      <c r="H145" s="270"/>
      <c r="I145" s="270"/>
    </row>
    <row r="146" spans="1:15" ht="15">
      <c r="A146" s="345" t="s">
        <v>719</v>
      </c>
      <c r="B146" s="348">
        <v>9.9999999999999995E-7</v>
      </c>
      <c r="C146" s="283"/>
      <c r="D146" s="270"/>
      <c r="E146" s="270"/>
      <c r="F146" s="270"/>
      <c r="G146" s="270"/>
      <c r="H146" s="270"/>
      <c r="I146" s="270"/>
    </row>
    <row r="147" spans="1:15">
      <c r="A147" s="349" t="s">
        <v>590</v>
      </c>
      <c r="B147" s="350">
        <f>1/100</f>
        <v>0.01</v>
      </c>
      <c r="C147" s="283"/>
      <c r="D147" s="270"/>
      <c r="E147" s="270"/>
      <c r="F147" s="270"/>
      <c r="G147" s="270"/>
      <c r="H147" s="270"/>
      <c r="I147" s="270"/>
    </row>
    <row r="148" spans="1:15">
      <c r="A148" s="347" t="s">
        <v>836</v>
      </c>
      <c r="B148" s="292">
        <v>1000</v>
      </c>
      <c r="C148" s="283"/>
      <c r="D148" s="270"/>
      <c r="E148" s="270"/>
      <c r="F148" s="270"/>
      <c r="G148" s="270"/>
      <c r="H148" s="270"/>
      <c r="I148" s="270"/>
    </row>
    <row r="149" spans="1:15" ht="15">
      <c r="A149" s="351" t="s">
        <v>876</v>
      </c>
      <c r="B149" s="352">
        <v>21</v>
      </c>
      <c r="C149" s="270"/>
      <c r="D149" s="270"/>
      <c r="E149" s="270"/>
      <c r="F149" s="270"/>
      <c r="G149" s="270"/>
      <c r="H149" s="270"/>
      <c r="I149" s="353"/>
      <c r="J149" s="9"/>
      <c r="K149" s="9"/>
      <c r="L149" s="9"/>
      <c r="M149" s="9"/>
      <c r="N149" s="9"/>
      <c r="O149" s="9"/>
    </row>
    <row r="150" spans="1:15" ht="15">
      <c r="A150" s="351" t="s">
        <v>56</v>
      </c>
      <c r="B150" s="352">
        <v>310</v>
      </c>
      <c r="C150" s="270"/>
      <c r="D150" s="270"/>
      <c r="E150" s="270"/>
      <c r="F150" s="270"/>
      <c r="G150" s="270"/>
      <c r="H150" s="270"/>
      <c r="I150" s="283"/>
      <c r="J150" s="24"/>
      <c r="K150" s="24"/>
      <c r="L150" s="24"/>
      <c r="M150" s="24"/>
      <c r="N150" s="24"/>
      <c r="O150" s="24"/>
    </row>
    <row r="151" spans="1:15">
      <c r="A151" s="270"/>
      <c r="B151" s="270"/>
      <c r="C151" s="270"/>
      <c r="D151" s="270"/>
      <c r="E151" s="270"/>
      <c r="F151" s="270"/>
      <c r="G151" s="270"/>
      <c r="H151" s="270"/>
      <c r="I151" s="270"/>
    </row>
    <row r="152" spans="1:15">
      <c r="A152" s="865" t="s">
        <v>289</v>
      </c>
      <c r="B152" s="865"/>
      <c r="C152" s="865"/>
      <c r="D152" s="865"/>
      <c r="E152" s="270"/>
      <c r="F152" s="270"/>
      <c r="G152" s="270"/>
      <c r="H152" s="270"/>
      <c r="I152" s="270"/>
    </row>
    <row r="153" spans="1:15">
      <c r="A153" s="295" t="s">
        <v>338</v>
      </c>
      <c r="B153" s="354">
        <f>$B144*B157</f>
        <v>0.12507142857142856</v>
      </c>
      <c r="C153" s="270"/>
      <c r="D153" s="270"/>
      <c r="E153" s="270"/>
      <c r="F153" s="270"/>
      <c r="G153" s="270"/>
      <c r="H153" s="270"/>
      <c r="I153" s="270"/>
    </row>
    <row r="154" spans="1:15" ht="15">
      <c r="A154" s="295" t="s">
        <v>207</v>
      </c>
      <c r="B154" s="295">
        <f>($B144*$B157*$B158*$B159*$B160*$B145)</f>
        <v>8.7746912536282202E-3</v>
      </c>
      <c r="C154" s="290"/>
      <c r="D154" s="290"/>
      <c r="E154" s="290"/>
      <c r="F154" s="290"/>
      <c r="G154" s="270"/>
      <c r="H154" s="270"/>
      <c r="I154" s="270"/>
    </row>
    <row r="155" spans="1:15" ht="15">
      <c r="A155" s="351" t="s">
        <v>106</v>
      </c>
      <c r="B155" s="355">
        <v>0.1143</v>
      </c>
      <c r="C155" s="290"/>
      <c r="D155" s="290"/>
      <c r="E155" s="290"/>
      <c r="F155" s="290"/>
      <c r="G155" s="270"/>
      <c r="H155" s="270"/>
      <c r="I155" s="270"/>
    </row>
    <row r="156" spans="1:15" ht="15">
      <c r="A156" s="356" t="s">
        <v>368</v>
      </c>
      <c r="B156" s="357">
        <v>0.1003</v>
      </c>
      <c r="C156" s="270"/>
      <c r="D156" s="270"/>
      <c r="E156" s="270"/>
      <c r="F156" s="270"/>
      <c r="G156" s="270"/>
      <c r="H156" s="270"/>
      <c r="I156" s="270"/>
    </row>
    <row r="157" spans="1:15">
      <c r="A157" s="351" t="s">
        <v>489</v>
      </c>
      <c r="B157" s="352">
        <v>5.2530000000000001</v>
      </c>
      <c r="C157" s="270"/>
      <c r="D157" s="270"/>
      <c r="E157" s="270"/>
      <c r="F157" s="270"/>
      <c r="G157" s="270"/>
      <c r="H157" s="270"/>
      <c r="I157" s="270"/>
    </row>
    <row r="158" spans="1:15">
      <c r="A158" s="351" t="s">
        <v>430</v>
      </c>
      <c r="B158" s="352">
        <v>19.34</v>
      </c>
      <c r="C158" s="270"/>
      <c r="D158" s="270"/>
      <c r="E158" s="270"/>
      <c r="F158" s="270"/>
      <c r="G158" s="270"/>
      <c r="H158" s="270"/>
      <c r="I158" s="270"/>
    </row>
    <row r="159" spans="1:15">
      <c r="A159" s="351" t="s">
        <v>625</v>
      </c>
      <c r="B159" s="352">
        <v>0.99</v>
      </c>
      <c r="C159" s="290"/>
      <c r="D159" s="290"/>
      <c r="E159" s="290"/>
      <c r="F159" s="290"/>
      <c r="G159" s="270"/>
      <c r="H159" s="270"/>
      <c r="I159" s="270"/>
    </row>
    <row r="160" spans="1:15" ht="15">
      <c r="A160" s="351" t="s">
        <v>947</v>
      </c>
      <c r="B160" s="358">
        <f>((12.011+32)/12.011)</f>
        <v>3.6642244609108316</v>
      </c>
      <c r="C160" s="270"/>
      <c r="D160" s="270"/>
      <c r="E160" s="270"/>
      <c r="F160" s="270"/>
      <c r="G160" s="270"/>
      <c r="H160" s="270"/>
      <c r="I160" s="270"/>
    </row>
    <row r="161" spans="1:9">
      <c r="A161" s="270"/>
      <c r="B161" s="270"/>
      <c r="C161" s="283"/>
      <c r="D161" s="283"/>
      <c r="E161" s="283"/>
      <c r="F161" s="283"/>
      <c r="G161" s="283"/>
      <c r="H161" s="283"/>
      <c r="I161" s="270"/>
    </row>
    <row r="162" spans="1:9">
      <c r="A162" s="359" t="s">
        <v>525</v>
      </c>
      <c r="B162" s="270"/>
      <c r="C162" s="283"/>
      <c r="D162" s="283"/>
      <c r="E162" s="283"/>
      <c r="F162" s="283"/>
      <c r="G162" s="270"/>
      <c r="H162" s="270"/>
      <c r="I162" s="270"/>
    </row>
    <row r="163" spans="1:9">
      <c r="A163" s="295" t="s">
        <v>338</v>
      </c>
      <c r="B163" s="354">
        <f>$B144*$B167</f>
        <v>0.12507142857142856</v>
      </c>
      <c r="C163" s="283"/>
      <c r="D163" s="283"/>
      <c r="E163" s="283"/>
      <c r="F163" s="283"/>
      <c r="G163" s="270"/>
      <c r="H163" s="270"/>
      <c r="I163" s="270"/>
    </row>
    <row r="164" spans="1:9" ht="15">
      <c r="A164" s="295" t="s">
        <v>207</v>
      </c>
      <c r="B164" s="295">
        <f>($B144*$B167*$B168*$B169*$B170*$B145)</f>
        <v>8.7746912536282202E-3</v>
      </c>
      <c r="C164" s="283"/>
      <c r="D164" s="270"/>
      <c r="E164" s="270"/>
      <c r="F164" s="283"/>
      <c r="G164" s="270"/>
      <c r="H164" s="270"/>
      <c r="I164" s="270"/>
    </row>
    <row r="165" spans="1:9" ht="15">
      <c r="A165" s="351" t="s">
        <v>106</v>
      </c>
      <c r="B165" s="355">
        <v>0.19839999999999999</v>
      </c>
      <c r="C165" s="283"/>
      <c r="D165" s="270"/>
      <c r="E165" s="270"/>
      <c r="F165" s="283"/>
      <c r="G165" s="283"/>
      <c r="H165" s="283"/>
      <c r="I165" s="270"/>
    </row>
    <row r="166" spans="1:9" ht="15">
      <c r="A166" s="356" t="s">
        <v>368</v>
      </c>
      <c r="B166" s="357">
        <v>0.1517</v>
      </c>
      <c r="C166" s="270"/>
      <c r="D166" s="290"/>
      <c r="E166" s="290"/>
      <c r="F166" s="270"/>
      <c r="G166" s="270"/>
      <c r="H166" s="270"/>
      <c r="I166" s="270"/>
    </row>
    <row r="167" spans="1:9">
      <c r="A167" s="351" t="s">
        <v>489</v>
      </c>
      <c r="B167" s="352">
        <v>5.2530000000000001</v>
      </c>
      <c r="C167" s="270"/>
      <c r="D167" s="270"/>
      <c r="E167" s="270"/>
      <c r="F167" s="270"/>
      <c r="G167" s="270"/>
      <c r="H167" s="270"/>
      <c r="I167" s="270"/>
    </row>
    <row r="168" spans="1:9">
      <c r="A168" s="351" t="s">
        <v>430</v>
      </c>
      <c r="B168" s="352">
        <v>19.34</v>
      </c>
      <c r="C168" s="270"/>
      <c r="D168" s="270"/>
      <c r="E168" s="270"/>
      <c r="F168" s="270"/>
      <c r="G168" s="270"/>
      <c r="H168" s="270"/>
      <c r="I168" s="270"/>
    </row>
    <row r="169" spans="1:9">
      <c r="A169" s="351" t="s">
        <v>625</v>
      </c>
      <c r="B169" s="352">
        <v>0.99</v>
      </c>
      <c r="C169" s="270"/>
      <c r="D169" s="270"/>
      <c r="E169" s="270"/>
      <c r="F169" s="270"/>
      <c r="G169" s="270"/>
      <c r="H169" s="270"/>
      <c r="I169" s="270"/>
    </row>
    <row r="170" spans="1:9" ht="15">
      <c r="A170" s="351" t="s">
        <v>947</v>
      </c>
      <c r="B170" s="358">
        <f>((12.011+32)/12.011)</f>
        <v>3.6642244609108316</v>
      </c>
      <c r="C170" s="270"/>
      <c r="D170" s="270"/>
      <c r="E170" s="270"/>
      <c r="F170" s="270"/>
      <c r="G170" s="270"/>
      <c r="H170" s="270"/>
      <c r="I170" s="270"/>
    </row>
    <row r="171" spans="1:9" ht="16">
      <c r="A171" s="360"/>
      <c r="B171" s="270"/>
      <c r="C171" s="270"/>
      <c r="D171" s="270"/>
      <c r="E171" s="270"/>
      <c r="F171" s="270"/>
      <c r="G171" s="270"/>
      <c r="H171" s="270"/>
      <c r="I171" s="270"/>
    </row>
    <row r="172" spans="1:9">
      <c r="A172" s="359" t="s">
        <v>424</v>
      </c>
      <c r="B172" s="270"/>
      <c r="C172" s="270"/>
      <c r="D172" s="283"/>
      <c r="E172" s="283"/>
      <c r="F172" s="270"/>
      <c r="G172" s="270"/>
      <c r="H172" s="270"/>
      <c r="I172" s="270"/>
    </row>
    <row r="173" spans="1:9">
      <c r="A173" s="295" t="s">
        <v>530</v>
      </c>
      <c r="B173" s="354">
        <f>$B144*$B177</f>
        <v>0.1386904761904762</v>
      </c>
      <c r="C173" s="270"/>
      <c r="D173" s="270"/>
      <c r="E173" s="270"/>
      <c r="F173" s="270"/>
      <c r="G173" s="270"/>
      <c r="H173" s="270"/>
      <c r="I173" s="270"/>
    </row>
    <row r="174" spans="1:9" ht="15">
      <c r="A174" s="295" t="s">
        <v>767</v>
      </c>
      <c r="B174" s="361">
        <f>($B144*$B177*$B178*$B179*$B180*$B145)</f>
        <v>1.0037066544729831E-2</v>
      </c>
      <c r="C174" s="270"/>
      <c r="D174" s="270"/>
      <c r="E174" s="270"/>
      <c r="F174" s="270"/>
      <c r="G174" s="270"/>
      <c r="H174" s="270"/>
      <c r="I174" s="270"/>
    </row>
    <row r="175" spans="1:9" ht="15">
      <c r="A175" s="351" t="s">
        <v>106</v>
      </c>
      <c r="B175" s="355">
        <v>9.6600000000000005E-2</v>
      </c>
      <c r="C175" s="270"/>
      <c r="D175" s="270"/>
      <c r="E175" s="270"/>
      <c r="F175" s="270"/>
      <c r="G175" s="270"/>
      <c r="H175" s="270"/>
      <c r="I175" s="270"/>
    </row>
    <row r="176" spans="1:9" ht="15">
      <c r="A176" s="351" t="s">
        <v>368</v>
      </c>
      <c r="B176" s="355">
        <v>4.8300000000000003E-2</v>
      </c>
      <c r="C176" s="270"/>
      <c r="D176" s="270"/>
      <c r="E176" s="270"/>
      <c r="F176" s="270"/>
      <c r="G176" s="270"/>
      <c r="H176" s="270"/>
      <c r="I176" s="270"/>
    </row>
    <row r="177" spans="1:9">
      <c r="A177" s="351" t="s">
        <v>489</v>
      </c>
      <c r="B177" s="352">
        <v>5.8250000000000002</v>
      </c>
      <c r="C177" s="270"/>
      <c r="D177" s="270"/>
      <c r="E177" s="270"/>
      <c r="F177" s="270"/>
      <c r="G177" s="270"/>
      <c r="H177" s="270"/>
      <c r="I177" s="270"/>
    </row>
    <row r="178" spans="1:9">
      <c r="A178" s="351" t="s">
        <v>430</v>
      </c>
      <c r="B178" s="352">
        <v>19.95</v>
      </c>
      <c r="C178" s="270"/>
      <c r="D178" s="270"/>
      <c r="E178" s="270"/>
      <c r="F178" s="270"/>
      <c r="G178" s="270"/>
      <c r="H178" s="270"/>
      <c r="I178" s="270"/>
    </row>
    <row r="179" spans="1:9">
      <c r="A179" s="351" t="s">
        <v>625</v>
      </c>
      <c r="B179" s="352">
        <v>0.99</v>
      </c>
      <c r="C179" s="270"/>
      <c r="D179" s="270"/>
      <c r="E179" s="270"/>
      <c r="F179" s="270"/>
      <c r="G179" s="270"/>
      <c r="H179" s="270"/>
      <c r="I179" s="270"/>
    </row>
    <row r="180" spans="1:9" ht="15">
      <c r="A180" s="351" t="s">
        <v>947</v>
      </c>
      <c r="B180" s="358">
        <v>3.6642244609108316</v>
      </c>
      <c r="C180" s="270"/>
      <c r="D180" s="270"/>
      <c r="E180" s="270"/>
      <c r="F180" s="270"/>
      <c r="G180" s="270"/>
      <c r="H180" s="270"/>
      <c r="I180" s="270"/>
    </row>
    <row r="181" spans="1:9">
      <c r="A181" s="351" t="s">
        <v>455</v>
      </c>
      <c r="B181" s="362">
        <f>309*2</f>
        <v>618</v>
      </c>
      <c r="C181" s="270"/>
      <c r="D181" s="270"/>
      <c r="E181" s="270"/>
      <c r="F181" s="270"/>
      <c r="G181" s="270"/>
      <c r="H181" s="270"/>
      <c r="I181" s="270"/>
    </row>
    <row r="182" spans="1:9">
      <c r="A182" s="351" t="s">
        <v>324</v>
      </c>
      <c r="B182" s="362">
        <f>34.7*2</f>
        <v>69.400000000000006</v>
      </c>
      <c r="C182" s="270"/>
      <c r="D182" s="270"/>
      <c r="E182" s="270"/>
      <c r="F182" s="270"/>
      <c r="G182" s="270"/>
      <c r="H182" s="270"/>
      <c r="I182" s="270"/>
    </row>
    <row r="183" spans="1:9">
      <c r="A183" s="351" t="s">
        <v>870</v>
      </c>
      <c r="B183" s="363">
        <f>5.5*2</f>
        <v>11</v>
      </c>
      <c r="C183" s="270"/>
      <c r="D183" s="270"/>
      <c r="E183" s="270"/>
      <c r="F183" s="270"/>
      <c r="G183" s="270"/>
      <c r="H183" s="270"/>
      <c r="I183" s="270"/>
    </row>
    <row r="184" spans="1:9">
      <c r="A184" s="351" t="s">
        <v>687</v>
      </c>
      <c r="B184" s="363">
        <f>0.8582*2</f>
        <v>1.7163999999999999</v>
      </c>
      <c r="C184" s="270"/>
      <c r="D184" s="270"/>
      <c r="E184" s="270"/>
      <c r="F184" s="270"/>
      <c r="G184" s="270"/>
      <c r="H184" s="270"/>
      <c r="I184" s="270"/>
    </row>
    <row r="185" spans="1:9">
      <c r="A185" s="351" t="s">
        <v>834</v>
      </c>
      <c r="B185" s="363">
        <v>4</v>
      </c>
      <c r="C185" s="270"/>
      <c r="D185" s="270"/>
      <c r="E185" s="270"/>
      <c r="F185" s="270"/>
      <c r="G185" s="270"/>
      <c r="H185" s="270"/>
      <c r="I185" s="270"/>
    </row>
    <row r="186" spans="1:9">
      <c r="A186" s="351" t="s">
        <v>390</v>
      </c>
      <c r="B186" s="364">
        <v>0.1449</v>
      </c>
      <c r="C186" s="270"/>
      <c r="D186" s="270"/>
      <c r="E186" s="270"/>
      <c r="F186" s="270"/>
      <c r="G186" s="270"/>
      <c r="H186" s="270"/>
      <c r="I186" s="270"/>
    </row>
    <row r="187" spans="1:9">
      <c r="A187" s="351" t="s">
        <v>385</v>
      </c>
      <c r="B187" s="363">
        <f>1/B186</f>
        <v>6.9013112491373363</v>
      </c>
      <c r="C187" s="270"/>
      <c r="D187" s="270"/>
      <c r="E187" s="270"/>
      <c r="F187" s="270"/>
      <c r="G187" s="270"/>
      <c r="H187" s="270"/>
      <c r="I187" s="270"/>
    </row>
    <row r="188" spans="1:9">
      <c r="A188" s="270"/>
      <c r="B188" s="270"/>
      <c r="C188" s="270"/>
      <c r="D188" s="270"/>
      <c r="E188" s="270"/>
      <c r="F188" s="270"/>
      <c r="G188" s="270"/>
      <c r="H188" s="270"/>
      <c r="I188" s="270"/>
    </row>
    <row r="189" spans="1:9">
      <c r="A189" s="359" t="s">
        <v>425</v>
      </c>
      <c r="B189" s="270"/>
      <c r="C189" s="270"/>
      <c r="D189" s="270"/>
      <c r="E189" s="270"/>
      <c r="F189" s="270"/>
      <c r="G189" s="270"/>
      <c r="H189" s="270"/>
      <c r="I189" s="270"/>
    </row>
    <row r="190" spans="1:9" ht="15">
      <c r="A190" s="351" t="s">
        <v>686</v>
      </c>
      <c r="B190" s="358">
        <v>8.6999999999999994E-2</v>
      </c>
      <c r="C190" s="270"/>
      <c r="D190" s="270"/>
      <c r="E190" s="270"/>
      <c r="F190" s="270"/>
      <c r="G190" s="270"/>
      <c r="H190" s="270"/>
      <c r="I190" s="270"/>
    </row>
    <row r="191" spans="1:9" ht="15">
      <c r="A191" s="351" t="s">
        <v>119</v>
      </c>
      <c r="B191" s="365">
        <v>0.1</v>
      </c>
      <c r="C191" s="270"/>
      <c r="D191" s="270"/>
      <c r="E191" s="270"/>
      <c r="F191" s="270"/>
      <c r="G191" s="270"/>
      <c r="H191" s="270"/>
      <c r="I191" s="270"/>
    </row>
    <row r="192" spans="1:9">
      <c r="A192" s="351" t="s">
        <v>900</v>
      </c>
      <c r="B192" s="358">
        <v>5.67</v>
      </c>
      <c r="C192" s="270"/>
      <c r="D192" s="270"/>
      <c r="E192" s="270"/>
      <c r="F192" s="270"/>
      <c r="G192" s="270"/>
      <c r="H192" s="270"/>
      <c r="I192" s="270"/>
    </row>
    <row r="193" spans="1:9">
      <c r="A193" s="351" t="s">
        <v>430</v>
      </c>
      <c r="B193" s="363">
        <v>19.329999999999998</v>
      </c>
      <c r="C193" s="270"/>
      <c r="D193" s="270"/>
      <c r="E193" s="270"/>
      <c r="F193" s="270"/>
      <c r="G193" s="270"/>
      <c r="H193" s="270"/>
      <c r="I193" s="270"/>
    </row>
    <row r="194" spans="1:9">
      <c r="A194" s="351" t="s">
        <v>625</v>
      </c>
      <c r="B194" s="352">
        <v>0.99</v>
      </c>
      <c r="C194" s="270"/>
      <c r="D194" s="270"/>
      <c r="E194" s="270"/>
      <c r="F194" s="270"/>
      <c r="G194" s="270"/>
      <c r="H194" s="270"/>
      <c r="I194" s="270"/>
    </row>
    <row r="195" spans="1:9" ht="15">
      <c r="A195" s="351" t="s">
        <v>947</v>
      </c>
      <c r="B195" s="358">
        <f>((12.011+32)/12.011)</f>
        <v>3.6642244609108316</v>
      </c>
      <c r="C195" s="270"/>
      <c r="D195" s="270"/>
      <c r="E195" s="270"/>
      <c r="F195" s="270"/>
      <c r="G195" s="270"/>
      <c r="H195" s="270"/>
      <c r="I195" s="270"/>
    </row>
    <row r="196" spans="1:9">
      <c r="A196" s="351" t="s">
        <v>835</v>
      </c>
      <c r="B196" s="366">
        <f>1/7.93</f>
        <v>0.12610340479192939</v>
      </c>
      <c r="C196" s="270"/>
      <c r="D196" s="270"/>
      <c r="E196" s="270"/>
      <c r="F196" s="270"/>
      <c r="G196" s="270"/>
      <c r="H196" s="270"/>
      <c r="I196" s="270"/>
    </row>
    <row r="197" spans="1:9">
      <c r="A197" s="270"/>
      <c r="B197" s="270"/>
      <c r="C197" s="270"/>
      <c r="D197" s="270"/>
      <c r="E197" s="270"/>
      <c r="F197" s="270"/>
      <c r="G197" s="270"/>
      <c r="H197" s="270"/>
      <c r="I197" s="270"/>
    </row>
    <row r="198" spans="1:9">
      <c r="A198" s="865" t="s">
        <v>472</v>
      </c>
      <c r="B198" s="865"/>
      <c r="C198" s="865"/>
      <c r="D198" s="270"/>
      <c r="E198" s="270"/>
      <c r="F198" s="270"/>
      <c r="G198" s="270"/>
      <c r="H198" s="270"/>
      <c r="I198" s="270"/>
    </row>
    <row r="199" spans="1:9">
      <c r="A199" s="351" t="s">
        <v>914</v>
      </c>
      <c r="B199" s="363">
        <v>3.19</v>
      </c>
      <c r="C199" s="270"/>
      <c r="D199" s="270"/>
      <c r="E199" s="270"/>
      <c r="F199" s="270"/>
      <c r="G199" s="270"/>
      <c r="H199" s="270"/>
      <c r="I199" s="270"/>
    </row>
    <row r="200" spans="1:9" ht="15">
      <c r="A200" s="351" t="s">
        <v>686</v>
      </c>
      <c r="B200" s="365">
        <v>0.25</v>
      </c>
      <c r="C200" s="270"/>
      <c r="D200" s="270"/>
      <c r="E200" s="270"/>
      <c r="F200" s="270"/>
      <c r="G200" s="270"/>
      <c r="H200" s="270"/>
      <c r="I200" s="270"/>
    </row>
    <row r="201" spans="1:9" ht="15">
      <c r="A201" s="351" t="s">
        <v>119</v>
      </c>
      <c r="B201" s="365">
        <v>0.08</v>
      </c>
      <c r="C201" s="270"/>
      <c r="D201" s="270"/>
      <c r="E201" s="270"/>
      <c r="F201" s="270"/>
      <c r="G201" s="270"/>
      <c r="H201" s="270"/>
      <c r="I201" s="270"/>
    </row>
    <row r="202" spans="1:9">
      <c r="A202" s="356" t="s">
        <v>900</v>
      </c>
      <c r="B202" s="367">
        <v>5.8250000000000002</v>
      </c>
      <c r="C202" s="270"/>
      <c r="D202" s="270"/>
      <c r="E202" s="270"/>
      <c r="F202" s="270"/>
      <c r="G202" s="270"/>
      <c r="H202" s="270"/>
      <c r="I202" s="270"/>
    </row>
    <row r="203" spans="1:9">
      <c r="A203" s="351" t="s">
        <v>430</v>
      </c>
      <c r="B203" s="363">
        <v>19.329999999999998</v>
      </c>
      <c r="C203" s="270"/>
      <c r="D203" s="270"/>
      <c r="E203" s="270"/>
      <c r="F203" s="270"/>
      <c r="G203" s="270"/>
      <c r="H203" s="270"/>
      <c r="I203" s="270"/>
    </row>
    <row r="204" spans="1:9">
      <c r="A204" s="351" t="s">
        <v>625</v>
      </c>
      <c r="B204" s="352">
        <v>0.99</v>
      </c>
      <c r="C204" s="270"/>
      <c r="D204" s="270"/>
      <c r="E204" s="270"/>
      <c r="F204" s="270"/>
      <c r="G204" s="270"/>
      <c r="H204" s="270"/>
      <c r="I204" s="270"/>
    </row>
    <row r="205" spans="1:9" ht="15">
      <c r="A205" s="351" t="s">
        <v>947</v>
      </c>
      <c r="B205" s="358">
        <f>((12.011+32)/12.011)</f>
        <v>3.6642244609108316</v>
      </c>
      <c r="C205" s="270"/>
      <c r="D205" s="270"/>
      <c r="E205" s="270"/>
      <c r="F205" s="270"/>
      <c r="G205" s="270"/>
      <c r="H205" s="270"/>
      <c r="I205" s="270"/>
    </row>
    <row r="207" spans="1:9">
      <c r="A207" s="351" t="s">
        <v>1302</v>
      </c>
      <c r="B207" s="806"/>
    </row>
    <row r="208" spans="1:9">
      <c r="A208" s="351" t="s">
        <v>1303</v>
      </c>
      <c r="B208" s="806"/>
    </row>
    <row r="209" spans="1:3">
      <c r="A209" s="351" t="s">
        <v>1304</v>
      </c>
      <c r="B209" s="806">
        <v>48.3</v>
      </c>
      <c r="C209" t="s">
        <v>1305</v>
      </c>
    </row>
  </sheetData>
  <mergeCells count="6">
    <mergeCell ref="A1:G1"/>
    <mergeCell ref="A198:C198"/>
    <mergeCell ref="A2:G3"/>
    <mergeCell ref="A141:B141"/>
    <mergeCell ref="A152:D152"/>
    <mergeCell ref="A51:G51"/>
  </mergeCells>
  <phoneticPr fontId="3" type="noConversion"/>
  <pageMargins left="0.5" right="0.5" top="0.5" bottom="0.5" header="0.5" footer="0.5"/>
  <pageSetup orientation="portrait"/>
  <headerFooter alignWithMargins="0"/>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246"/>
  <sheetViews>
    <sheetView zoomScaleNormal="100" workbookViewId="0">
      <selection activeCell="B112" sqref="B112:H113"/>
    </sheetView>
  </sheetViews>
  <sheetFormatPr baseColWidth="10" defaultColWidth="8.83203125" defaultRowHeight="13"/>
  <cols>
    <col min="1" max="1" width="27.83203125" customWidth="1"/>
    <col min="3" max="3" width="8.33203125" customWidth="1"/>
    <col min="4" max="4" width="11.5" customWidth="1"/>
    <col min="5" max="5" width="7.6640625" customWidth="1"/>
    <col min="6" max="6" width="8" customWidth="1"/>
    <col min="7" max="7" width="8.5" customWidth="1"/>
    <col min="8" max="8" width="12.83203125" customWidth="1"/>
  </cols>
  <sheetData>
    <row r="1" spans="1:13" ht="27.75" customHeight="1">
      <c r="A1" s="879" t="s">
        <v>365</v>
      </c>
      <c r="B1" s="879"/>
      <c r="C1" s="879"/>
      <c r="D1" s="879"/>
      <c r="E1" s="879"/>
      <c r="F1" s="879"/>
      <c r="G1" s="879"/>
      <c r="H1" s="879"/>
    </row>
    <row r="2" spans="1:13" ht="12.75" customHeight="1">
      <c r="A2" s="839" t="s">
        <v>133</v>
      </c>
      <c r="B2" s="839"/>
      <c r="C2" s="839"/>
      <c r="D2" s="839"/>
      <c r="E2" s="839"/>
      <c r="F2" s="839"/>
      <c r="G2" s="839"/>
      <c r="H2" s="839"/>
    </row>
    <row r="3" spans="1:13">
      <c r="A3" s="839"/>
      <c r="B3" s="839"/>
      <c r="C3" s="839"/>
      <c r="D3" s="839"/>
      <c r="E3" s="839"/>
      <c r="F3" s="839"/>
      <c r="G3" s="839"/>
      <c r="H3" s="839"/>
    </row>
    <row r="4" spans="1:13">
      <c r="A4" s="37"/>
    </row>
    <row r="5" spans="1:13">
      <c r="B5" s="24"/>
      <c r="C5" s="83"/>
      <c r="D5" s="24"/>
      <c r="E5" s="24"/>
      <c r="F5" s="24"/>
      <c r="G5" s="24"/>
      <c r="H5" s="24"/>
      <c r="I5" s="24"/>
      <c r="J5" s="24"/>
      <c r="K5" s="24"/>
      <c r="L5" s="24"/>
      <c r="M5" s="24"/>
    </row>
    <row r="6" spans="1:13">
      <c r="B6" s="83"/>
      <c r="C6" s="133"/>
      <c r="D6" s="133"/>
      <c r="E6" s="133"/>
      <c r="F6" s="133"/>
      <c r="G6" s="133"/>
      <c r="H6" s="24"/>
      <c r="I6" s="133"/>
      <c r="J6" s="24"/>
      <c r="K6" s="24"/>
      <c r="L6" s="24"/>
      <c r="M6" s="24"/>
    </row>
    <row r="7" spans="1:13">
      <c r="B7" s="121"/>
      <c r="C7" s="96"/>
      <c r="D7" s="96"/>
      <c r="E7" s="96"/>
      <c r="F7" s="96"/>
      <c r="G7" s="123"/>
      <c r="H7" s="24"/>
      <c r="I7" s="136"/>
      <c r="J7" s="24"/>
      <c r="K7" s="24"/>
      <c r="L7" s="24"/>
      <c r="M7" s="24"/>
    </row>
    <row r="8" spans="1:13">
      <c r="B8" s="121"/>
      <c r="C8" s="123"/>
      <c r="D8" s="134"/>
      <c r="E8" s="134"/>
      <c r="F8" s="134"/>
      <c r="G8" s="134"/>
      <c r="H8" s="24"/>
      <c r="I8" s="136"/>
      <c r="J8" s="24"/>
      <c r="K8" s="24"/>
      <c r="L8" s="24"/>
      <c r="M8" s="24"/>
    </row>
    <row r="9" spans="1:13">
      <c r="B9" s="121"/>
      <c r="C9" s="132"/>
      <c r="D9" s="132"/>
      <c r="E9" s="132"/>
      <c r="F9" s="132"/>
      <c r="G9" s="132"/>
      <c r="H9" s="24"/>
      <c r="I9" s="136"/>
      <c r="J9" s="24"/>
      <c r="K9" s="24"/>
      <c r="L9" s="24"/>
      <c r="M9" s="24"/>
    </row>
    <row r="10" spans="1:13">
      <c r="B10" s="121"/>
      <c r="C10" s="135"/>
      <c r="D10" s="135"/>
      <c r="E10" s="135"/>
      <c r="F10" s="135"/>
      <c r="G10" s="135"/>
      <c r="H10" s="24"/>
      <c r="I10" s="136"/>
      <c r="J10" s="24"/>
      <c r="K10" s="24"/>
      <c r="L10" s="24"/>
      <c r="M10" s="24"/>
    </row>
    <row r="11" spans="1:13">
      <c r="B11" s="121"/>
      <c r="C11" s="134"/>
      <c r="D11" s="134"/>
      <c r="E11" s="134"/>
      <c r="F11" s="134"/>
      <c r="G11" s="134"/>
      <c r="H11" s="24"/>
      <c r="I11" s="136"/>
      <c r="J11" s="24"/>
      <c r="K11" s="24"/>
      <c r="L11" s="24"/>
      <c r="M11" s="24"/>
    </row>
    <row r="12" spans="1:13">
      <c r="B12" s="83"/>
      <c r="C12" s="110"/>
      <c r="D12" s="110"/>
      <c r="E12" s="110"/>
      <c r="F12" s="110"/>
      <c r="G12" s="110"/>
      <c r="H12" s="110"/>
      <c r="I12" s="137"/>
      <c r="J12" s="24"/>
      <c r="K12" s="24"/>
      <c r="L12" s="24"/>
      <c r="M12" s="24"/>
    </row>
    <row r="13" spans="1:13">
      <c r="E13" s="24"/>
      <c r="F13" s="24"/>
      <c r="G13" s="24"/>
      <c r="H13" s="24"/>
      <c r="I13" s="24"/>
      <c r="J13" s="24"/>
      <c r="K13" s="24"/>
      <c r="L13" s="24"/>
      <c r="M13" s="24"/>
    </row>
    <row r="14" spans="1:13">
      <c r="E14" s="24"/>
      <c r="F14" s="24"/>
      <c r="G14" s="24"/>
      <c r="H14" s="24"/>
      <c r="I14" s="24"/>
      <c r="J14" s="24"/>
      <c r="K14" s="24"/>
      <c r="L14" s="24"/>
      <c r="M14" s="24"/>
    </row>
    <row r="15" spans="1:13">
      <c r="E15" s="24"/>
      <c r="F15" s="24"/>
      <c r="G15" s="24"/>
      <c r="H15" s="24"/>
      <c r="I15" s="24"/>
      <c r="J15" s="24"/>
      <c r="K15" s="24"/>
      <c r="L15" s="24"/>
      <c r="M15" s="24"/>
    </row>
    <row r="16" spans="1:13">
      <c r="E16" s="24"/>
      <c r="F16" s="24"/>
      <c r="G16" s="24"/>
      <c r="H16" s="24"/>
      <c r="I16" s="24"/>
      <c r="J16" s="24"/>
      <c r="K16" s="24"/>
      <c r="L16" s="24"/>
      <c r="M16" s="24"/>
    </row>
    <row r="17" spans="1:13">
      <c r="E17" s="24"/>
      <c r="F17" s="24"/>
      <c r="G17" s="24"/>
      <c r="H17" s="24"/>
      <c r="I17" s="24"/>
      <c r="J17" s="24"/>
      <c r="K17" s="24"/>
      <c r="L17" s="24"/>
      <c r="M17" s="24"/>
    </row>
    <row r="20" spans="1:13" ht="12.75" customHeight="1">
      <c r="A20" s="880" t="s">
        <v>413</v>
      </c>
      <c r="B20" s="880"/>
      <c r="C20" s="880"/>
      <c r="D20" s="880"/>
      <c r="E20" s="880"/>
      <c r="F20" s="880"/>
      <c r="G20" s="880"/>
      <c r="H20" s="880"/>
    </row>
    <row r="21" spans="1:13">
      <c r="A21" s="880"/>
      <c r="B21" s="880"/>
      <c r="C21" s="880"/>
      <c r="D21" s="880"/>
      <c r="E21" s="880"/>
      <c r="F21" s="880"/>
      <c r="G21" s="880"/>
      <c r="H21" s="880"/>
    </row>
    <row r="22" spans="1:13">
      <c r="H22" s="83"/>
    </row>
    <row r="23" spans="1:13">
      <c r="H23" s="90"/>
    </row>
    <row r="24" spans="1:13">
      <c r="H24" s="90"/>
    </row>
    <row r="35" spans="1:8" ht="12.75" customHeight="1">
      <c r="A35" s="880" t="s">
        <v>770</v>
      </c>
      <c r="B35" s="880"/>
      <c r="C35" s="880"/>
      <c r="D35" s="880"/>
      <c r="E35" s="880"/>
      <c r="F35" s="880"/>
      <c r="G35" s="880"/>
      <c r="H35" s="880"/>
    </row>
    <row r="36" spans="1:8">
      <c r="A36" s="880"/>
      <c r="B36" s="880"/>
      <c r="C36" s="880"/>
      <c r="D36" s="880"/>
      <c r="E36" s="880"/>
      <c r="F36" s="880"/>
      <c r="G36" s="880"/>
      <c r="H36" s="880"/>
    </row>
    <row r="38" spans="1:8" ht="16">
      <c r="A38" s="4" t="s">
        <v>764</v>
      </c>
    </row>
    <row r="39" spans="1:8">
      <c r="A39" t="s">
        <v>489</v>
      </c>
      <c r="B39" s="842" t="s">
        <v>216</v>
      </c>
      <c r="C39" s="842"/>
      <c r="D39" s="842"/>
      <c r="E39" s="842"/>
      <c r="F39" s="842"/>
      <c r="G39" s="842"/>
      <c r="H39" s="842"/>
    </row>
    <row r="40" spans="1:8">
      <c r="B40" s="842"/>
      <c r="C40" s="842"/>
      <c r="D40" s="842"/>
      <c r="E40" s="842"/>
      <c r="F40" s="842"/>
      <c r="G40" s="842"/>
      <c r="H40" s="842"/>
    </row>
    <row r="41" spans="1:8">
      <c r="B41" s="842"/>
      <c r="C41" s="842"/>
      <c r="D41" s="842"/>
      <c r="E41" s="842"/>
      <c r="F41" s="842"/>
      <c r="G41" s="842"/>
      <c r="H41" s="842"/>
    </row>
    <row r="42" spans="1:8">
      <c r="A42" t="s">
        <v>430</v>
      </c>
      <c r="B42" s="842" t="s">
        <v>766</v>
      </c>
      <c r="C42" s="842"/>
      <c r="D42" s="842"/>
      <c r="E42" s="842"/>
      <c r="F42" s="842"/>
      <c r="G42" s="842"/>
      <c r="H42" s="842"/>
    </row>
    <row r="43" spans="1:8">
      <c r="B43" s="842"/>
      <c r="C43" s="842"/>
      <c r="D43" s="842"/>
      <c r="E43" s="842"/>
      <c r="F43" s="842"/>
      <c r="G43" s="842"/>
      <c r="H43" s="842"/>
    </row>
    <row r="44" spans="1:8">
      <c r="A44" t="s">
        <v>625</v>
      </c>
      <c r="B44" s="842" t="s">
        <v>635</v>
      </c>
      <c r="C44" s="842"/>
      <c r="D44" s="842"/>
      <c r="E44" s="842"/>
      <c r="F44" s="842"/>
      <c r="G44" s="842"/>
      <c r="H44" s="842"/>
    </row>
    <row r="45" spans="1:8">
      <c r="B45" s="842"/>
      <c r="C45" s="842"/>
      <c r="D45" s="842"/>
      <c r="E45" s="842"/>
      <c r="F45" s="842"/>
      <c r="G45" s="842"/>
      <c r="H45" s="842"/>
    </row>
    <row r="46" spans="1:8" ht="15">
      <c r="A46" t="s">
        <v>534</v>
      </c>
      <c r="B46" s="842" t="s">
        <v>664</v>
      </c>
      <c r="C46" s="842"/>
      <c r="D46" s="842"/>
      <c r="E46" s="842"/>
      <c r="F46" s="842"/>
      <c r="G46" s="842"/>
      <c r="H46" s="842"/>
    </row>
    <row r="47" spans="1:8">
      <c r="B47" s="842"/>
      <c r="C47" s="842"/>
      <c r="D47" s="842"/>
      <c r="E47" s="842"/>
      <c r="F47" s="842"/>
      <c r="G47" s="842"/>
      <c r="H47" s="842"/>
    </row>
    <row r="48" spans="1:8" ht="12.75" customHeight="1">
      <c r="A48" t="s">
        <v>431</v>
      </c>
      <c r="B48" s="842" t="s">
        <v>136</v>
      </c>
      <c r="C48" s="842"/>
      <c r="D48" s="842"/>
      <c r="E48" s="842"/>
      <c r="F48" s="842"/>
      <c r="G48" s="842"/>
      <c r="H48" s="842"/>
    </row>
    <row r="49" spans="1:8">
      <c r="B49" s="842"/>
      <c r="C49" s="842"/>
      <c r="D49" s="842"/>
      <c r="E49" s="842"/>
      <c r="F49" s="842"/>
      <c r="G49" s="842"/>
      <c r="H49" s="842"/>
    </row>
    <row r="50" spans="1:8">
      <c r="B50" s="842"/>
      <c r="C50" s="842"/>
      <c r="D50" s="842"/>
      <c r="E50" s="842"/>
      <c r="F50" s="842"/>
      <c r="G50" s="842"/>
      <c r="H50" s="842"/>
    </row>
    <row r="51" spans="1:8">
      <c r="B51" s="842"/>
      <c r="C51" s="842"/>
      <c r="D51" s="842"/>
      <c r="E51" s="842"/>
      <c r="F51" s="842"/>
      <c r="G51" s="842"/>
      <c r="H51" s="842"/>
    </row>
    <row r="52" spans="1:8">
      <c r="B52" s="842"/>
      <c r="C52" s="842"/>
      <c r="D52" s="842"/>
      <c r="E52" s="842"/>
      <c r="F52" s="842"/>
      <c r="G52" s="842"/>
      <c r="H52" s="842"/>
    </row>
    <row r="53" spans="1:8">
      <c r="B53" s="842"/>
      <c r="C53" s="842"/>
      <c r="D53" s="842"/>
      <c r="E53" s="842"/>
      <c r="F53" s="842"/>
      <c r="G53" s="842"/>
      <c r="H53" s="842"/>
    </row>
    <row r="54" spans="1:8">
      <c r="B54" s="842"/>
      <c r="C54" s="842"/>
      <c r="D54" s="842"/>
      <c r="E54" s="842"/>
      <c r="F54" s="842"/>
      <c r="G54" s="842"/>
      <c r="H54" s="842"/>
    </row>
    <row r="55" spans="1:8">
      <c r="B55" s="842"/>
      <c r="C55" s="842"/>
      <c r="D55" s="842"/>
      <c r="E55" s="842"/>
      <c r="F55" s="842"/>
      <c r="G55" s="842"/>
      <c r="H55" s="842"/>
    </row>
    <row r="56" spans="1:8">
      <c r="B56" s="842"/>
      <c r="C56" s="842"/>
      <c r="D56" s="842"/>
      <c r="E56" s="842"/>
      <c r="F56" s="842"/>
      <c r="G56" s="842"/>
      <c r="H56" s="842"/>
    </row>
    <row r="57" spans="1:8" ht="15">
      <c r="A57" t="s">
        <v>432</v>
      </c>
      <c r="B57" s="842" t="s">
        <v>708</v>
      </c>
      <c r="C57" s="842"/>
      <c r="D57" s="842"/>
      <c r="E57" s="842"/>
      <c r="F57" s="842"/>
      <c r="G57" s="842"/>
      <c r="H57" s="842"/>
    </row>
    <row r="58" spans="1:8">
      <c r="B58" s="842"/>
      <c r="C58" s="842"/>
      <c r="D58" s="842"/>
      <c r="E58" s="842"/>
      <c r="F58" s="842"/>
      <c r="G58" s="842"/>
      <c r="H58" s="842"/>
    </row>
    <row r="59" spans="1:8">
      <c r="B59" s="842"/>
      <c r="C59" s="842"/>
      <c r="D59" s="842"/>
      <c r="E59" s="842"/>
      <c r="F59" s="842"/>
      <c r="G59" s="842"/>
      <c r="H59" s="842"/>
    </row>
    <row r="60" spans="1:8">
      <c r="B60" s="842"/>
      <c r="C60" s="842"/>
      <c r="D60" s="842"/>
      <c r="E60" s="842"/>
      <c r="F60" s="842"/>
      <c r="G60" s="842"/>
      <c r="H60" s="842"/>
    </row>
    <row r="61" spans="1:8" ht="15">
      <c r="A61" t="s">
        <v>433</v>
      </c>
      <c r="B61" s="842" t="s">
        <v>136</v>
      </c>
      <c r="C61" s="842"/>
      <c r="D61" s="842"/>
      <c r="E61" s="842"/>
      <c r="F61" s="842"/>
      <c r="G61" s="842"/>
      <c r="H61" s="842"/>
    </row>
    <row r="62" spans="1:8">
      <c r="B62" s="842"/>
      <c r="C62" s="842"/>
      <c r="D62" s="842"/>
      <c r="E62" s="842"/>
      <c r="F62" s="842"/>
      <c r="G62" s="842"/>
      <c r="H62" s="842"/>
    </row>
    <row r="63" spans="1:8">
      <c r="B63" s="842"/>
      <c r="C63" s="842"/>
      <c r="D63" s="842"/>
      <c r="E63" s="842"/>
      <c r="F63" s="842"/>
      <c r="G63" s="842"/>
      <c r="H63" s="842"/>
    </row>
    <row r="64" spans="1:8">
      <c r="B64" s="842"/>
      <c r="C64" s="842"/>
      <c r="D64" s="842"/>
      <c r="E64" s="842"/>
      <c r="F64" s="842"/>
      <c r="G64" s="842"/>
      <c r="H64" s="842"/>
    </row>
    <row r="65" spans="1:8">
      <c r="B65" s="842"/>
      <c r="C65" s="842"/>
      <c r="D65" s="842"/>
      <c r="E65" s="842"/>
      <c r="F65" s="842"/>
      <c r="G65" s="842"/>
      <c r="H65" s="842"/>
    </row>
    <row r="66" spans="1:8">
      <c r="B66" s="842"/>
      <c r="C66" s="842"/>
      <c r="D66" s="842"/>
      <c r="E66" s="842"/>
      <c r="F66" s="842"/>
      <c r="G66" s="842"/>
      <c r="H66" s="842"/>
    </row>
    <row r="67" spans="1:8">
      <c r="B67" s="842"/>
      <c r="C67" s="842"/>
      <c r="D67" s="842"/>
      <c r="E67" s="842"/>
      <c r="F67" s="842"/>
      <c r="G67" s="842"/>
      <c r="H67" s="842"/>
    </row>
    <row r="68" spans="1:8">
      <c r="B68" s="842"/>
      <c r="C68" s="842"/>
      <c r="D68" s="842"/>
      <c r="E68" s="842"/>
      <c r="F68" s="842"/>
      <c r="G68" s="842"/>
      <c r="H68" s="842"/>
    </row>
    <row r="69" spans="1:8">
      <c r="B69" s="842"/>
      <c r="C69" s="842"/>
      <c r="D69" s="842"/>
      <c r="E69" s="842"/>
      <c r="F69" s="842"/>
      <c r="G69" s="842"/>
      <c r="H69" s="842"/>
    </row>
    <row r="70" spans="1:8" ht="15">
      <c r="A70" t="s">
        <v>457</v>
      </c>
      <c r="B70" s="842" t="s">
        <v>722</v>
      </c>
      <c r="C70" s="842"/>
      <c r="D70" s="842"/>
      <c r="E70" s="842"/>
      <c r="F70" s="842"/>
      <c r="G70" s="842"/>
      <c r="H70" s="842"/>
    </row>
    <row r="71" spans="1:8">
      <c r="B71" s="842"/>
      <c r="C71" s="842"/>
      <c r="D71" s="842"/>
      <c r="E71" s="842"/>
      <c r="F71" s="842"/>
      <c r="G71" s="842"/>
      <c r="H71" s="842"/>
    </row>
    <row r="72" spans="1:8">
      <c r="B72" s="842"/>
      <c r="C72" s="842"/>
      <c r="D72" s="842"/>
      <c r="E72" s="842"/>
      <c r="F72" s="842"/>
      <c r="G72" s="842"/>
      <c r="H72" s="842"/>
    </row>
    <row r="73" spans="1:8">
      <c r="B73" s="842"/>
      <c r="C73" s="842"/>
      <c r="D73" s="842"/>
      <c r="E73" s="842"/>
      <c r="F73" s="842"/>
      <c r="G73" s="842"/>
      <c r="H73" s="842"/>
    </row>
    <row r="74" spans="1:8" ht="15.75" customHeight="1">
      <c r="A74" s="50" t="s">
        <v>839</v>
      </c>
      <c r="B74" s="842" t="s">
        <v>136</v>
      </c>
      <c r="C74" s="842"/>
      <c r="D74" s="842"/>
      <c r="E74" s="842"/>
      <c r="F74" s="842"/>
      <c r="G74" s="842"/>
      <c r="H74" s="842"/>
    </row>
    <row r="75" spans="1:8">
      <c r="B75" s="842"/>
      <c r="C75" s="842"/>
      <c r="D75" s="842"/>
      <c r="E75" s="842"/>
      <c r="F75" s="842"/>
      <c r="G75" s="842"/>
      <c r="H75" s="842"/>
    </row>
    <row r="76" spans="1:8">
      <c r="B76" s="842"/>
      <c r="C76" s="842"/>
      <c r="D76" s="842"/>
      <c r="E76" s="842"/>
      <c r="F76" s="842"/>
      <c r="G76" s="842"/>
      <c r="H76" s="842"/>
    </row>
    <row r="77" spans="1:8">
      <c r="B77" s="842"/>
      <c r="C77" s="842"/>
      <c r="D77" s="842"/>
      <c r="E77" s="842"/>
      <c r="F77" s="842"/>
      <c r="G77" s="842"/>
      <c r="H77" s="842"/>
    </row>
    <row r="78" spans="1:8">
      <c r="B78" s="842"/>
      <c r="C78" s="842"/>
      <c r="D78" s="842"/>
      <c r="E78" s="842"/>
      <c r="F78" s="842"/>
      <c r="G78" s="842"/>
      <c r="H78" s="842"/>
    </row>
    <row r="79" spans="1:8">
      <c r="B79" s="842"/>
      <c r="C79" s="842"/>
      <c r="D79" s="842"/>
      <c r="E79" s="842"/>
      <c r="F79" s="842"/>
      <c r="G79" s="842"/>
      <c r="H79" s="842"/>
    </row>
    <row r="80" spans="1:8">
      <c r="B80" s="842"/>
      <c r="C80" s="842"/>
      <c r="D80" s="842"/>
      <c r="E80" s="842"/>
      <c r="F80" s="842"/>
      <c r="G80" s="842"/>
      <c r="H80" s="842"/>
    </row>
    <row r="81" spans="1:8">
      <c r="B81" s="842"/>
      <c r="C81" s="842"/>
      <c r="D81" s="842"/>
      <c r="E81" s="842"/>
      <c r="F81" s="842"/>
      <c r="G81" s="842"/>
      <c r="H81" s="842"/>
    </row>
    <row r="82" spans="1:8">
      <c r="B82" s="842"/>
      <c r="C82" s="842"/>
      <c r="D82" s="842"/>
      <c r="E82" s="842"/>
      <c r="F82" s="842"/>
      <c r="G82" s="842"/>
      <c r="H82" s="842"/>
    </row>
    <row r="83" spans="1:8" ht="15.75" customHeight="1">
      <c r="A83" s="50" t="s">
        <v>750</v>
      </c>
      <c r="B83" s="842" t="s">
        <v>370</v>
      </c>
      <c r="C83" s="842"/>
      <c r="D83" s="842"/>
      <c r="E83" s="842"/>
      <c r="F83" s="842"/>
      <c r="G83" s="842"/>
      <c r="H83" s="842"/>
    </row>
    <row r="84" spans="1:8">
      <c r="B84" s="842"/>
      <c r="C84" s="842"/>
      <c r="D84" s="842"/>
      <c r="E84" s="842"/>
      <c r="F84" s="842"/>
      <c r="G84" s="842"/>
      <c r="H84" s="842"/>
    </row>
    <row r="85" spans="1:8">
      <c r="B85" s="842"/>
      <c r="C85" s="842"/>
      <c r="D85" s="842"/>
      <c r="E85" s="842"/>
      <c r="F85" s="842"/>
      <c r="G85" s="842"/>
      <c r="H85" s="842"/>
    </row>
    <row r="86" spans="1:8">
      <c r="B86" s="842"/>
      <c r="C86" s="842"/>
      <c r="D86" s="842"/>
      <c r="E86" s="842"/>
      <c r="F86" s="842"/>
      <c r="G86" s="842"/>
      <c r="H86" s="842"/>
    </row>
    <row r="87" spans="1:8">
      <c r="B87" s="116"/>
      <c r="C87" s="116"/>
      <c r="D87" s="116"/>
      <c r="E87" s="116"/>
      <c r="F87" s="116"/>
      <c r="G87" s="116"/>
      <c r="H87" s="116"/>
    </row>
    <row r="88" spans="1:8">
      <c r="A88" s="1" t="s">
        <v>355</v>
      </c>
      <c r="B88" t="s">
        <v>620</v>
      </c>
    </row>
    <row r="89" spans="1:8">
      <c r="A89" s="66" t="s">
        <v>590</v>
      </c>
      <c r="B89" t="s">
        <v>620</v>
      </c>
    </row>
    <row r="90" spans="1:8">
      <c r="A90" s="23" t="s">
        <v>286</v>
      </c>
      <c r="B90" t="s">
        <v>620</v>
      </c>
    </row>
    <row r="91" spans="1:8" ht="15">
      <c r="A91" s="1" t="s">
        <v>744</v>
      </c>
      <c r="B91" t="s">
        <v>620</v>
      </c>
    </row>
    <row r="92" spans="1:8">
      <c r="A92" s="29" t="s">
        <v>385</v>
      </c>
      <c r="B92" t="s">
        <v>725</v>
      </c>
    </row>
    <row r="93" spans="1:8">
      <c r="A93" s="29" t="s">
        <v>243</v>
      </c>
      <c r="B93" s="29" t="s">
        <v>244</v>
      </c>
    </row>
    <row r="94" spans="1:8">
      <c r="A94" s="66" t="s">
        <v>899</v>
      </c>
      <c r="B94" s="877" t="s">
        <v>620</v>
      </c>
      <c r="C94" s="877"/>
    </row>
    <row r="95" spans="1:8">
      <c r="A95" s="29"/>
      <c r="B95" s="29"/>
    </row>
    <row r="96" spans="1:8">
      <c r="A96" s="29"/>
      <c r="B96" s="29"/>
    </row>
    <row r="97" spans="1:9">
      <c r="A97" s="29"/>
    </row>
    <row r="98" spans="1:9" ht="16">
      <c r="A98" s="4" t="s">
        <v>594</v>
      </c>
    </row>
    <row r="99" spans="1:9" s="29" customFormat="1" ht="12.75" customHeight="1">
      <c r="A99" s="26" t="s">
        <v>419</v>
      </c>
      <c r="B99" s="841" t="s">
        <v>888</v>
      </c>
      <c r="C99" s="841"/>
      <c r="D99" s="841"/>
      <c r="E99" s="841"/>
      <c r="F99" s="841"/>
      <c r="G99" s="841"/>
      <c r="H99" s="841"/>
      <c r="I99" s="29" t="s">
        <v>1125</v>
      </c>
    </row>
    <row r="100" spans="1:9" s="29" customFormat="1" ht="25.5" customHeight="1">
      <c r="A100" s="26"/>
      <c r="B100" s="841"/>
      <c r="C100" s="841"/>
      <c r="D100" s="841"/>
      <c r="E100" s="841"/>
      <c r="F100" s="841"/>
      <c r="G100" s="841"/>
      <c r="H100" s="841"/>
      <c r="I100" s="29" t="s">
        <v>1126</v>
      </c>
    </row>
    <row r="101" spans="1:9" s="29" customFormat="1" ht="12.75" customHeight="1">
      <c r="A101" s="191" t="s">
        <v>669</v>
      </c>
      <c r="B101" s="878" t="s">
        <v>952</v>
      </c>
      <c r="C101" s="871"/>
      <c r="D101" s="871"/>
      <c r="E101" s="871"/>
      <c r="F101" s="871"/>
      <c r="G101" s="871"/>
      <c r="H101" s="871"/>
    </row>
    <row r="102" spans="1:9" s="29" customFormat="1" ht="27" customHeight="1">
      <c r="A102" s="191"/>
      <c r="B102" s="871"/>
      <c r="C102" s="871"/>
      <c r="D102" s="871"/>
      <c r="E102" s="871"/>
      <c r="F102" s="871"/>
      <c r="G102" s="871"/>
      <c r="H102" s="871"/>
    </row>
    <row r="103" spans="1:9" ht="12.75" customHeight="1">
      <c r="A103" s="50" t="s">
        <v>820</v>
      </c>
      <c r="B103" t="s">
        <v>725</v>
      </c>
    </row>
    <row r="104" spans="1:9">
      <c r="A104" s="121" t="s">
        <v>338</v>
      </c>
      <c r="B104" t="s">
        <v>725</v>
      </c>
    </row>
    <row r="105" spans="1:9" ht="15">
      <c r="A105" s="50" t="s">
        <v>856</v>
      </c>
      <c r="B105" t="s">
        <v>725</v>
      </c>
    </row>
    <row r="106" spans="1:9" s="29" customFormat="1" ht="12.75" customHeight="1">
      <c r="A106" s="88" t="s">
        <v>714</v>
      </c>
      <c r="B106" s="848" t="s">
        <v>528</v>
      </c>
      <c r="C106" s="848"/>
      <c r="D106" s="848"/>
      <c r="E106" s="848"/>
      <c r="F106" s="848"/>
      <c r="G106" s="848"/>
      <c r="H106" s="848"/>
    </row>
    <row r="107" spans="1:9" s="29" customFormat="1">
      <c r="A107" s="88"/>
      <c r="B107" s="848"/>
      <c r="C107" s="848"/>
      <c r="D107" s="848"/>
      <c r="E107" s="848"/>
      <c r="F107" s="848"/>
      <c r="G107" s="848"/>
      <c r="H107" s="848"/>
    </row>
    <row r="108" spans="1:9" s="29" customFormat="1">
      <c r="A108" s="88"/>
      <c r="B108" s="848"/>
      <c r="C108" s="848"/>
      <c r="D108" s="848"/>
      <c r="E108" s="848"/>
      <c r="F108" s="848"/>
      <c r="G108" s="848"/>
      <c r="H108" s="848"/>
    </row>
    <row r="109" spans="1:9" ht="12.75" customHeight="1">
      <c r="A109" t="s">
        <v>582</v>
      </c>
      <c r="B109" t="s">
        <v>725</v>
      </c>
    </row>
    <row r="111" spans="1:9" ht="16">
      <c r="A111" s="4" t="s">
        <v>672</v>
      </c>
    </row>
    <row r="112" spans="1:9" s="29" customFormat="1" ht="12.75" customHeight="1">
      <c r="A112" s="26" t="s">
        <v>145</v>
      </c>
      <c r="B112" s="841" t="s">
        <v>888</v>
      </c>
      <c r="C112" s="841"/>
      <c r="D112" s="841"/>
      <c r="E112" s="841"/>
      <c r="F112" s="841"/>
      <c r="G112" s="841"/>
      <c r="H112" s="841"/>
    </row>
    <row r="113" spans="1:8" s="29" customFormat="1" ht="25.5" customHeight="1">
      <c r="A113" s="26"/>
      <c r="B113" s="841"/>
      <c r="C113" s="841"/>
      <c r="D113" s="841"/>
      <c r="E113" s="841"/>
      <c r="F113" s="841"/>
      <c r="G113" s="841"/>
      <c r="H113" s="841"/>
    </row>
    <row r="114" spans="1:8" s="29" customFormat="1">
      <c r="A114" s="876" t="s">
        <v>761</v>
      </c>
      <c r="B114" s="881" t="s">
        <v>842</v>
      </c>
      <c r="C114" s="881"/>
      <c r="D114" s="881"/>
      <c r="E114" s="881"/>
      <c r="F114" s="881"/>
      <c r="G114" s="881"/>
      <c r="H114" s="881"/>
    </row>
    <row r="115" spans="1:8" s="29" customFormat="1">
      <c r="A115" s="876"/>
      <c r="B115" s="881"/>
      <c r="C115" s="881"/>
      <c r="D115" s="881"/>
      <c r="E115" s="881"/>
      <c r="F115" s="881"/>
      <c r="G115" s="881"/>
      <c r="H115" s="881"/>
    </row>
    <row r="116" spans="1:8" s="29" customFormat="1">
      <c r="A116" s="88" t="s">
        <v>544</v>
      </c>
      <c r="B116" s="870" t="s">
        <v>632</v>
      </c>
      <c r="C116" s="870"/>
      <c r="D116" s="870"/>
      <c r="E116" s="870"/>
      <c r="F116" s="870"/>
      <c r="G116" s="870"/>
      <c r="H116" s="870"/>
    </row>
    <row r="117" spans="1:8" s="29" customFormat="1">
      <c r="A117" s="88" t="s">
        <v>545</v>
      </c>
      <c r="B117" s="870" t="s">
        <v>632</v>
      </c>
      <c r="C117" s="870"/>
      <c r="D117" s="870"/>
      <c r="E117" s="870"/>
      <c r="F117" s="870"/>
      <c r="G117" s="870"/>
      <c r="H117" s="870"/>
    </row>
    <row r="118" spans="1:8" s="29" customFormat="1">
      <c r="A118" s="88" t="s">
        <v>774</v>
      </c>
      <c r="B118" s="870" t="s">
        <v>632</v>
      </c>
      <c r="C118" s="870"/>
      <c r="D118" s="870"/>
      <c r="E118" s="870"/>
      <c r="F118" s="870"/>
      <c r="G118" s="870"/>
      <c r="H118" s="870"/>
    </row>
    <row r="119" spans="1:8" s="29" customFormat="1">
      <c r="A119" s="29" t="s">
        <v>283</v>
      </c>
      <c r="B119" s="850" t="s">
        <v>808</v>
      </c>
      <c r="C119" s="850"/>
      <c r="D119" s="850"/>
      <c r="E119" s="850"/>
      <c r="F119" s="850"/>
      <c r="G119" s="850"/>
      <c r="H119" s="850"/>
    </row>
    <row r="120" spans="1:8" s="29" customFormat="1">
      <c r="B120" s="850"/>
      <c r="C120" s="850"/>
      <c r="D120" s="850"/>
      <c r="E120" s="850"/>
      <c r="F120" s="850"/>
      <c r="G120" s="850"/>
      <c r="H120" s="850"/>
    </row>
    <row r="121" spans="1:8" s="29" customFormat="1">
      <c r="A121" s="29" t="s">
        <v>397</v>
      </c>
      <c r="B121" t="s">
        <v>725</v>
      </c>
    </row>
    <row r="122" spans="1:8" s="29" customFormat="1">
      <c r="A122" s="88" t="s">
        <v>284</v>
      </c>
      <c r="B122" s="88" t="s">
        <v>632</v>
      </c>
      <c r="C122" s="88"/>
      <c r="D122" s="88"/>
      <c r="E122" s="88"/>
      <c r="F122" s="88"/>
      <c r="G122" s="88"/>
      <c r="H122" s="88"/>
    </row>
    <row r="123" spans="1:8">
      <c r="A123" s="50" t="s">
        <v>309</v>
      </c>
      <c r="B123" t="s">
        <v>725</v>
      </c>
    </row>
    <row r="124" spans="1:8">
      <c r="A124" s="121" t="s">
        <v>338</v>
      </c>
      <c r="B124" t="s">
        <v>725</v>
      </c>
    </row>
    <row r="125" spans="1:8" ht="15">
      <c r="A125" s="50" t="s">
        <v>856</v>
      </c>
      <c r="B125" t="s">
        <v>725</v>
      </c>
    </row>
    <row r="126" spans="1:8">
      <c r="A126" s="10"/>
    </row>
    <row r="127" spans="1:8" ht="16">
      <c r="A127" s="4" t="s">
        <v>673</v>
      </c>
    </row>
    <row r="128" spans="1:8">
      <c r="A128" s="10"/>
    </row>
    <row r="129" spans="1:8">
      <c r="A129" s="6" t="s">
        <v>628</v>
      </c>
      <c r="B129" s="6" t="s">
        <v>411</v>
      </c>
    </row>
    <row r="130" spans="1:8" s="126" customFormat="1">
      <c r="A130" s="91" t="s">
        <v>674</v>
      </c>
      <c r="B130" s="841" t="s">
        <v>888</v>
      </c>
      <c r="C130" s="841"/>
      <c r="D130" s="841"/>
      <c r="E130" s="841"/>
      <c r="F130" s="841"/>
      <c r="G130" s="841"/>
      <c r="H130" s="841"/>
    </row>
    <row r="131" spans="1:8" s="126" customFormat="1" ht="26.25" customHeight="1">
      <c r="A131" s="91"/>
      <c r="B131" s="841"/>
      <c r="C131" s="841"/>
      <c r="D131" s="841"/>
      <c r="E131" s="841"/>
      <c r="F131" s="841"/>
      <c r="G131" s="841"/>
      <c r="H131" s="841"/>
    </row>
    <row r="132" spans="1:8" s="29" customFormat="1">
      <c r="A132" s="88" t="s">
        <v>304</v>
      </c>
      <c r="B132" s="870" t="s">
        <v>809</v>
      </c>
      <c r="C132" s="870"/>
      <c r="D132" s="88"/>
      <c r="E132" s="88"/>
      <c r="F132" s="88"/>
      <c r="G132" s="88"/>
      <c r="H132" s="88"/>
    </row>
    <row r="133" spans="1:8" s="29" customFormat="1">
      <c r="A133" s="88" t="s">
        <v>837</v>
      </c>
      <c r="B133" s="870" t="s">
        <v>809</v>
      </c>
      <c r="C133" s="870"/>
      <c r="D133" s="88"/>
      <c r="E133" s="88"/>
      <c r="F133" s="88"/>
      <c r="G133" s="88"/>
      <c r="H133" s="88"/>
    </row>
    <row r="134" spans="1:8" s="29" customFormat="1">
      <c r="A134" s="88" t="s">
        <v>263</v>
      </c>
      <c r="B134" s="870" t="s">
        <v>809</v>
      </c>
      <c r="C134" s="870"/>
      <c r="D134" s="88"/>
      <c r="E134" s="88"/>
      <c r="F134" s="88"/>
      <c r="G134" s="88"/>
      <c r="H134" s="88"/>
    </row>
    <row r="135" spans="1:8" s="29" customFormat="1">
      <c r="A135" s="88" t="s">
        <v>392</v>
      </c>
      <c r="B135" s="870" t="s">
        <v>809</v>
      </c>
      <c r="C135" s="870"/>
      <c r="D135" s="88"/>
      <c r="E135" s="88"/>
      <c r="F135" s="88"/>
      <c r="G135" s="88"/>
      <c r="H135" s="88"/>
    </row>
    <row r="136" spans="1:8">
      <c r="A136" s="29" t="s">
        <v>390</v>
      </c>
      <c r="B136" s="842" t="s">
        <v>973</v>
      </c>
      <c r="C136" s="842"/>
      <c r="D136" s="842"/>
      <c r="E136" s="842"/>
      <c r="F136" s="842"/>
      <c r="G136" s="842"/>
      <c r="H136" s="842"/>
    </row>
    <row r="137" spans="1:8">
      <c r="B137" s="842"/>
      <c r="C137" s="842"/>
      <c r="D137" s="842"/>
      <c r="E137" s="842"/>
      <c r="F137" s="842"/>
      <c r="G137" s="842"/>
      <c r="H137" s="842"/>
    </row>
    <row r="138" spans="1:8">
      <c r="A138" s="60" t="s">
        <v>618</v>
      </c>
      <c r="B138" s="29"/>
    </row>
    <row r="139" spans="1:8">
      <c r="A139" s="29" t="s">
        <v>455</v>
      </c>
      <c r="B139" s="850" t="s">
        <v>810</v>
      </c>
      <c r="C139" s="850"/>
      <c r="D139" s="850"/>
      <c r="E139" s="850"/>
      <c r="F139" s="850"/>
      <c r="G139" s="850"/>
      <c r="H139" s="850"/>
    </row>
    <row r="140" spans="1:8">
      <c r="A140" s="29"/>
      <c r="B140" s="850"/>
      <c r="C140" s="850"/>
      <c r="D140" s="850"/>
      <c r="E140" s="850"/>
      <c r="F140" s="850"/>
      <c r="G140" s="850"/>
      <c r="H140" s="850"/>
    </row>
    <row r="141" spans="1:8">
      <c r="A141" s="29" t="s">
        <v>324</v>
      </c>
      <c r="B141" s="850" t="s">
        <v>810</v>
      </c>
      <c r="C141" s="850"/>
      <c r="D141" s="850"/>
      <c r="E141" s="850"/>
      <c r="F141" s="850"/>
      <c r="G141" s="850"/>
      <c r="H141" s="850"/>
    </row>
    <row r="142" spans="1:8">
      <c r="A142" s="29"/>
      <c r="B142" s="850"/>
      <c r="C142" s="850"/>
      <c r="D142" s="850"/>
      <c r="E142" s="850"/>
      <c r="F142" s="850"/>
      <c r="G142" s="850"/>
      <c r="H142" s="850"/>
    </row>
    <row r="143" spans="1:8">
      <c r="A143" s="29" t="s">
        <v>870</v>
      </c>
      <c r="B143" s="850" t="s">
        <v>810</v>
      </c>
      <c r="C143" s="850"/>
      <c r="D143" s="850"/>
      <c r="E143" s="850"/>
      <c r="F143" s="850"/>
      <c r="G143" s="850"/>
      <c r="H143" s="850"/>
    </row>
    <row r="144" spans="1:8">
      <c r="A144" s="29"/>
      <c r="B144" s="850"/>
      <c r="C144" s="850"/>
      <c r="D144" s="850"/>
      <c r="E144" s="850"/>
      <c r="F144" s="850"/>
      <c r="G144" s="850"/>
      <c r="H144" s="850"/>
    </row>
    <row r="145" spans="1:8">
      <c r="A145" s="29" t="s">
        <v>687</v>
      </c>
      <c r="B145" s="850" t="s">
        <v>715</v>
      </c>
      <c r="C145" s="850"/>
      <c r="D145" s="850"/>
      <c r="E145" s="850"/>
      <c r="F145" s="850"/>
      <c r="G145" s="850"/>
      <c r="H145" s="850"/>
    </row>
    <row r="146" spans="1:8">
      <c r="A146" s="29"/>
      <c r="B146" s="850"/>
      <c r="C146" s="850"/>
      <c r="D146" s="850"/>
      <c r="E146" s="850"/>
      <c r="F146" s="850"/>
      <c r="G146" s="850"/>
      <c r="H146" s="850"/>
    </row>
    <row r="147" spans="1:8">
      <c r="A147" s="29" t="s">
        <v>834</v>
      </c>
      <c r="B147" s="29" t="s">
        <v>663</v>
      </c>
    </row>
    <row r="148" spans="1:8">
      <c r="A148" s="29" t="s">
        <v>658</v>
      </c>
      <c r="B148" t="s">
        <v>725</v>
      </c>
    </row>
    <row r="149" spans="1:8">
      <c r="A149" s="29" t="s">
        <v>325</v>
      </c>
      <c r="B149" t="s">
        <v>725</v>
      </c>
    </row>
    <row r="150" spans="1:8">
      <c r="A150" s="29" t="s">
        <v>493</v>
      </c>
      <c r="B150" t="s">
        <v>725</v>
      </c>
    </row>
    <row r="151" spans="1:8">
      <c r="A151" s="29" t="s">
        <v>492</v>
      </c>
      <c r="B151" t="s">
        <v>725</v>
      </c>
    </row>
    <row r="152" spans="1:8">
      <c r="A152" s="29" t="s">
        <v>242</v>
      </c>
      <c r="B152" t="s">
        <v>725</v>
      </c>
    </row>
    <row r="153" spans="1:8">
      <c r="A153" s="121" t="s">
        <v>530</v>
      </c>
      <c r="B153" t="s">
        <v>725</v>
      </c>
    </row>
    <row r="154" spans="1:8" ht="15">
      <c r="A154" s="50" t="s">
        <v>875</v>
      </c>
      <c r="B154" t="s">
        <v>725</v>
      </c>
    </row>
    <row r="155" spans="1:8">
      <c r="A155" t="s">
        <v>582</v>
      </c>
      <c r="B155" t="s">
        <v>725</v>
      </c>
    </row>
    <row r="156" spans="1:8">
      <c r="A156" s="10"/>
    </row>
    <row r="157" spans="1:8" ht="16">
      <c r="A157" s="4" t="s">
        <v>807</v>
      </c>
    </row>
    <row r="158" spans="1:8" s="29" customFormat="1" ht="12.75" customHeight="1">
      <c r="A158" s="91" t="s">
        <v>473</v>
      </c>
      <c r="B158" s="841" t="s">
        <v>707</v>
      </c>
      <c r="C158" s="841"/>
      <c r="D158" s="841"/>
      <c r="E158" s="841"/>
      <c r="F158" s="841"/>
      <c r="G158" s="841"/>
      <c r="H158" s="841"/>
    </row>
    <row r="159" spans="1:8" s="29" customFormat="1" ht="25.5" customHeight="1">
      <c r="A159" s="91"/>
      <c r="B159" s="841"/>
      <c r="C159" s="841"/>
      <c r="D159" s="841"/>
      <c r="E159" s="841"/>
      <c r="F159" s="841"/>
      <c r="G159" s="841"/>
      <c r="H159" s="841"/>
    </row>
    <row r="160" spans="1:8" s="29" customFormat="1">
      <c r="A160" s="91" t="s">
        <v>434</v>
      </c>
      <c r="B160" s="861" t="s">
        <v>929</v>
      </c>
      <c r="C160" s="861"/>
      <c r="D160" s="861"/>
      <c r="E160" s="861"/>
      <c r="F160" s="861"/>
      <c r="G160" s="861"/>
      <c r="H160" s="861"/>
    </row>
    <row r="161" spans="1:8" s="29" customFormat="1">
      <c r="A161" s="91"/>
      <c r="B161" s="861"/>
      <c r="C161" s="861"/>
      <c r="D161" s="861"/>
      <c r="E161" s="861"/>
      <c r="F161" s="861"/>
      <c r="G161" s="861"/>
      <c r="H161" s="861"/>
    </row>
    <row r="162" spans="1:8" s="29" customFormat="1">
      <c r="A162" s="91"/>
      <c r="B162" s="861"/>
      <c r="C162" s="861"/>
      <c r="D162" s="861"/>
      <c r="E162" s="861"/>
      <c r="F162" s="861"/>
      <c r="G162" s="861"/>
      <c r="H162" s="861"/>
    </row>
    <row r="163" spans="1:8" s="29" customFormat="1">
      <c r="A163" s="88" t="s">
        <v>709</v>
      </c>
      <c r="B163" s="848" t="s">
        <v>861</v>
      </c>
      <c r="C163" s="848"/>
      <c r="D163" s="848"/>
      <c r="E163" s="848"/>
      <c r="F163" s="848"/>
      <c r="G163" s="848"/>
      <c r="H163" s="848"/>
    </row>
    <row r="164" spans="1:8" s="29" customFormat="1">
      <c r="A164" s="88"/>
      <c r="B164" s="848"/>
      <c r="C164" s="848"/>
      <c r="D164" s="848"/>
      <c r="E164" s="848"/>
      <c r="F164" s="848"/>
      <c r="G164" s="848"/>
      <c r="H164" s="848"/>
    </row>
    <row r="165" spans="1:8" s="29" customFormat="1">
      <c r="A165" s="88" t="s">
        <v>588</v>
      </c>
      <c r="B165" s="870" t="s">
        <v>843</v>
      </c>
      <c r="C165" s="870"/>
      <c r="D165" s="870"/>
      <c r="E165" s="870"/>
      <c r="F165" s="870"/>
      <c r="G165" s="870"/>
      <c r="H165" s="870"/>
    </row>
    <row r="166" spans="1:8" s="29" customFormat="1">
      <c r="A166" s="88" t="s">
        <v>679</v>
      </c>
      <c r="B166" s="848" t="s">
        <v>861</v>
      </c>
      <c r="C166" s="848"/>
      <c r="D166" s="848"/>
      <c r="E166" s="848"/>
      <c r="F166" s="848"/>
      <c r="G166" s="848"/>
      <c r="H166" s="848"/>
    </row>
    <row r="167" spans="1:8" s="29" customFormat="1">
      <c r="A167" s="88"/>
      <c r="B167" s="848"/>
      <c r="C167" s="848"/>
      <c r="D167" s="848"/>
      <c r="E167" s="848"/>
      <c r="F167" s="848"/>
      <c r="G167" s="848"/>
      <c r="H167" s="848"/>
    </row>
    <row r="168" spans="1:8" s="29" customFormat="1">
      <c r="A168" s="88" t="s">
        <v>399</v>
      </c>
      <c r="B168" s="870" t="s">
        <v>843</v>
      </c>
      <c r="C168" s="870"/>
      <c r="D168" s="870"/>
      <c r="E168" s="870"/>
      <c r="F168" s="870"/>
      <c r="G168" s="870"/>
      <c r="H168" s="870"/>
    </row>
    <row r="169" spans="1:8" s="29" customFormat="1">
      <c r="A169" s="88" t="s">
        <v>327</v>
      </c>
      <c r="B169" s="848" t="s">
        <v>861</v>
      </c>
      <c r="C169" s="848"/>
      <c r="D169" s="848"/>
      <c r="E169" s="848"/>
      <c r="F169" s="848"/>
      <c r="G169" s="848"/>
      <c r="H169" s="848"/>
    </row>
    <row r="170" spans="1:8" s="29" customFormat="1">
      <c r="A170" s="88"/>
      <c r="B170" s="848"/>
      <c r="C170" s="848"/>
      <c r="D170" s="848"/>
      <c r="E170" s="848"/>
      <c r="F170" s="848"/>
      <c r="G170" s="848"/>
      <c r="H170" s="848"/>
    </row>
    <row r="171" spans="1:8" s="29" customFormat="1">
      <c r="A171" s="88" t="s">
        <v>400</v>
      </c>
      <c r="B171" s="870" t="s">
        <v>843</v>
      </c>
      <c r="C171" s="870"/>
      <c r="D171" s="870"/>
      <c r="E171" s="870"/>
      <c r="F171" s="870"/>
      <c r="G171" s="870"/>
      <c r="H171" s="870"/>
    </row>
    <row r="172" spans="1:8" ht="12.75" customHeight="1">
      <c r="A172" s="191" t="s">
        <v>692</v>
      </c>
      <c r="B172" s="874" t="s">
        <v>958</v>
      </c>
      <c r="C172" s="875"/>
      <c r="D172" s="875"/>
      <c r="E172" s="875"/>
      <c r="F172" s="875"/>
      <c r="G172" s="875"/>
      <c r="H172" s="875"/>
    </row>
    <row r="173" spans="1:8">
      <c r="A173" s="191"/>
      <c r="B173" s="875"/>
      <c r="C173" s="875"/>
      <c r="D173" s="875"/>
      <c r="E173" s="875"/>
      <c r="F173" s="875"/>
      <c r="G173" s="875"/>
      <c r="H173" s="875"/>
    </row>
    <row r="174" spans="1:8">
      <c r="A174" s="191"/>
      <c r="B174" s="875"/>
      <c r="C174" s="875"/>
      <c r="D174" s="875"/>
      <c r="E174" s="875"/>
      <c r="F174" s="875"/>
      <c r="G174" s="875"/>
      <c r="H174" s="875"/>
    </row>
    <row r="175" spans="1:8" ht="12.75" customHeight="1">
      <c r="A175" s="191" t="s">
        <v>748</v>
      </c>
      <c r="B175" s="873" t="s">
        <v>959</v>
      </c>
      <c r="C175" s="871"/>
      <c r="D175" s="871"/>
      <c r="E175" s="871"/>
      <c r="F175" s="871"/>
      <c r="G175" s="871"/>
      <c r="H175" s="871"/>
    </row>
    <row r="176" spans="1:8">
      <c r="A176" s="191"/>
      <c r="B176" s="871"/>
      <c r="C176" s="871"/>
      <c r="D176" s="871"/>
      <c r="E176" s="871"/>
      <c r="F176" s="871"/>
      <c r="G176" s="871"/>
      <c r="H176" s="871"/>
    </row>
    <row r="177" spans="1:8">
      <c r="A177" s="191"/>
      <c r="B177" s="871"/>
      <c r="C177" s="871"/>
      <c r="D177" s="871"/>
      <c r="E177" s="871"/>
      <c r="F177" s="871"/>
      <c r="G177" s="871"/>
      <c r="H177" s="871"/>
    </row>
    <row r="178" spans="1:8">
      <c r="A178" s="191"/>
      <c r="B178" s="871"/>
      <c r="C178" s="871"/>
      <c r="D178" s="871"/>
      <c r="E178" s="871"/>
      <c r="F178" s="871"/>
      <c r="G178" s="871"/>
      <c r="H178" s="871"/>
    </row>
    <row r="179" spans="1:8">
      <c r="A179" s="191"/>
      <c r="B179" s="871"/>
      <c r="C179" s="871"/>
      <c r="D179" s="871"/>
      <c r="E179" s="871"/>
      <c r="F179" s="871"/>
      <c r="G179" s="871"/>
      <c r="H179" s="871"/>
    </row>
    <row r="180" spans="1:8">
      <c r="A180" s="121" t="s">
        <v>773</v>
      </c>
      <c r="B180" t="s">
        <v>537</v>
      </c>
    </row>
    <row r="181" spans="1:8" ht="15">
      <c r="A181" s="50" t="s">
        <v>790</v>
      </c>
      <c r="B181" t="s">
        <v>537</v>
      </c>
    </row>
    <row r="182" spans="1:8" s="29" customFormat="1" ht="12.75" customHeight="1">
      <c r="A182" s="192" t="s">
        <v>890</v>
      </c>
      <c r="B182" s="871" t="s">
        <v>616</v>
      </c>
      <c r="C182" s="871"/>
      <c r="D182" s="871"/>
      <c r="E182" s="871"/>
      <c r="F182" s="871"/>
      <c r="G182" s="871"/>
      <c r="H182" s="871"/>
    </row>
    <row r="183" spans="1:8">
      <c r="A183" s="193"/>
      <c r="B183" s="871"/>
      <c r="C183" s="871"/>
      <c r="D183" s="871"/>
      <c r="E183" s="871"/>
      <c r="F183" s="871"/>
      <c r="G183" s="871"/>
      <c r="H183" s="871"/>
    </row>
    <row r="184" spans="1:8">
      <c r="A184" s="193"/>
      <c r="B184" s="871"/>
      <c r="C184" s="871"/>
      <c r="D184" s="871"/>
      <c r="E184" s="871"/>
      <c r="F184" s="871"/>
      <c r="G184" s="871"/>
      <c r="H184" s="871"/>
    </row>
    <row r="185" spans="1:8" ht="15" customHeight="1">
      <c r="A185" s="193"/>
      <c r="B185" s="872" t="s">
        <v>860</v>
      </c>
      <c r="C185" s="872"/>
      <c r="D185" s="872"/>
      <c r="E185" s="872"/>
      <c r="F185" s="872"/>
      <c r="G185" s="872"/>
      <c r="H185" s="872"/>
    </row>
    <row r="186" spans="1:8" ht="16">
      <c r="A186" s="4" t="s">
        <v>746</v>
      </c>
    </row>
    <row r="187" spans="1:8" s="29" customFormat="1">
      <c r="A187" s="91" t="s">
        <v>321</v>
      </c>
      <c r="B187" s="861" t="s">
        <v>853</v>
      </c>
      <c r="C187" s="861"/>
      <c r="D187" s="861"/>
      <c r="E187" s="861"/>
      <c r="F187" s="861"/>
      <c r="G187" s="861"/>
      <c r="H187" s="861"/>
    </row>
    <row r="188" spans="1:8" s="29" customFormat="1" ht="26.25" customHeight="1">
      <c r="A188" s="91"/>
      <c r="B188" s="861"/>
      <c r="C188" s="861"/>
      <c r="D188" s="861"/>
      <c r="E188" s="861"/>
      <c r="F188" s="861"/>
      <c r="G188" s="861"/>
      <c r="H188" s="861"/>
    </row>
    <row r="189" spans="1:8" s="29" customFormat="1">
      <c r="A189" s="88" t="s">
        <v>828</v>
      </c>
      <c r="B189" s="848" t="s">
        <v>951</v>
      </c>
      <c r="C189" s="848"/>
      <c r="D189" s="848"/>
      <c r="E189" s="848"/>
      <c r="F189" s="848"/>
      <c r="G189" s="848"/>
      <c r="H189" s="848"/>
    </row>
    <row r="190" spans="1:8" s="29" customFormat="1">
      <c r="A190" s="88"/>
      <c r="B190" s="848"/>
      <c r="C190" s="848"/>
      <c r="D190" s="848"/>
      <c r="E190" s="848"/>
      <c r="F190" s="848"/>
      <c r="G190" s="848"/>
      <c r="H190" s="848"/>
    </row>
    <row r="191" spans="1:8" s="29" customFormat="1">
      <c r="A191" s="88" t="s">
        <v>398</v>
      </c>
      <c r="B191" s="870" t="s">
        <v>826</v>
      </c>
      <c r="C191" s="870"/>
      <c r="D191" s="870"/>
      <c r="E191" s="870"/>
      <c r="F191" s="870"/>
      <c r="G191" s="870"/>
      <c r="H191" s="870"/>
    </row>
    <row r="192" spans="1:8" s="29" customFormat="1">
      <c r="A192" s="88" t="s">
        <v>592</v>
      </c>
      <c r="B192" s="848" t="s">
        <v>951</v>
      </c>
      <c r="C192" s="848"/>
      <c r="D192" s="848"/>
      <c r="E192" s="848"/>
      <c r="F192" s="848"/>
      <c r="G192" s="848"/>
      <c r="H192" s="848"/>
    </row>
    <row r="193" spans="1:8" s="29" customFormat="1">
      <c r="A193" s="88"/>
      <c r="B193" s="848"/>
      <c r="C193" s="848"/>
      <c r="D193" s="848"/>
      <c r="E193" s="848"/>
      <c r="F193" s="848"/>
      <c r="G193" s="848"/>
      <c r="H193" s="848"/>
    </row>
    <row r="194" spans="1:8" s="29" customFormat="1">
      <c r="A194" s="88" t="s">
        <v>711</v>
      </c>
      <c r="B194" s="870" t="s">
        <v>843</v>
      </c>
      <c r="C194" s="870"/>
      <c r="D194" s="870"/>
      <c r="E194" s="870"/>
      <c r="F194" s="870"/>
      <c r="G194" s="870"/>
      <c r="H194" s="870"/>
    </row>
    <row r="195" spans="1:8" s="29" customFormat="1">
      <c r="A195" s="88" t="s">
        <v>382</v>
      </c>
      <c r="B195" s="848" t="s">
        <v>951</v>
      </c>
      <c r="C195" s="848"/>
      <c r="D195" s="848"/>
      <c r="E195" s="848"/>
      <c r="F195" s="848"/>
      <c r="G195" s="848"/>
      <c r="H195" s="848"/>
    </row>
    <row r="196" spans="1:8" s="29" customFormat="1">
      <c r="A196" s="88"/>
      <c r="B196" s="848"/>
      <c r="C196" s="848"/>
      <c r="D196" s="848"/>
      <c r="E196" s="848"/>
      <c r="F196" s="848"/>
      <c r="G196" s="848"/>
      <c r="H196" s="848"/>
    </row>
    <row r="197" spans="1:8" s="29" customFormat="1">
      <c r="A197" s="88" t="s">
        <v>481</v>
      </c>
      <c r="B197" s="870" t="s">
        <v>826</v>
      </c>
      <c r="C197" s="870"/>
      <c r="D197" s="870"/>
      <c r="E197" s="870"/>
      <c r="F197" s="870"/>
      <c r="G197" s="870"/>
      <c r="H197" s="870"/>
    </row>
    <row r="198" spans="1:8" ht="12.75" customHeight="1">
      <c r="A198" s="191" t="s">
        <v>742</v>
      </c>
      <c r="B198" s="871" t="s">
        <v>699</v>
      </c>
      <c r="C198" s="871"/>
      <c r="D198" s="871"/>
      <c r="E198" s="871"/>
      <c r="F198" s="871"/>
      <c r="G198" s="871"/>
      <c r="H198" s="871"/>
    </row>
    <row r="199" spans="1:8">
      <c r="A199" s="191"/>
      <c r="B199" s="871"/>
      <c r="C199" s="871"/>
      <c r="D199" s="871"/>
      <c r="E199" s="871"/>
      <c r="F199" s="871"/>
      <c r="G199" s="871"/>
      <c r="H199" s="871"/>
    </row>
    <row r="200" spans="1:8">
      <c r="A200" s="191"/>
      <c r="B200" s="871"/>
      <c r="C200" s="871"/>
      <c r="D200" s="871"/>
      <c r="E200" s="871"/>
      <c r="F200" s="871"/>
      <c r="G200" s="871"/>
      <c r="H200" s="871"/>
    </row>
    <row r="201" spans="1:8">
      <c r="A201" s="191"/>
      <c r="B201" s="871"/>
      <c r="C201" s="871"/>
      <c r="D201" s="871"/>
      <c r="E201" s="871"/>
      <c r="F201" s="871"/>
      <c r="G201" s="871"/>
      <c r="H201" s="871"/>
    </row>
    <row r="202" spans="1:8">
      <c r="A202" s="121" t="s">
        <v>138</v>
      </c>
      <c r="B202" t="s">
        <v>725</v>
      </c>
    </row>
    <row r="203" spans="1:8" ht="15">
      <c r="A203" s="50" t="s">
        <v>76</v>
      </c>
      <c r="B203" t="s">
        <v>725</v>
      </c>
    </row>
    <row r="204" spans="1:8">
      <c r="A204" s="10"/>
    </row>
    <row r="205" spans="1:8" ht="16">
      <c r="A205" s="19" t="s">
        <v>257</v>
      </c>
    </row>
    <row r="206" spans="1:8" ht="15.75" customHeight="1">
      <c r="A206" s="869" t="s">
        <v>639</v>
      </c>
      <c r="B206" s="869"/>
      <c r="C206" s="869"/>
      <c r="D206" s="869"/>
      <c r="E206" s="869"/>
      <c r="F206" s="869"/>
      <c r="G206" s="869"/>
      <c r="H206" s="869"/>
    </row>
    <row r="207" spans="1:8" s="29" customFormat="1" ht="15.75" customHeight="1">
      <c r="A207" s="869"/>
      <c r="B207" s="869"/>
      <c r="C207" s="869"/>
      <c r="D207" s="869"/>
      <c r="E207" s="869"/>
      <c r="F207" s="869"/>
      <c r="G207" s="869"/>
      <c r="H207" s="869"/>
    </row>
    <row r="208" spans="1:8" ht="15.75" customHeight="1">
      <c r="A208" s="869"/>
      <c r="B208" s="869"/>
      <c r="C208" s="869"/>
      <c r="D208" s="869"/>
      <c r="E208" s="869"/>
      <c r="F208" s="869"/>
      <c r="G208" s="869"/>
      <c r="H208" s="869"/>
    </row>
    <row r="209" spans="1:8">
      <c r="A209" s="869"/>
      <c r="B209" s="869"/>
      <c r="C209" s="869"/>
      <c r="D209" s="869"/>
      <c r="E209" s="869"/>
      <c r="F209" s="869"/>
      <c r="G209" s="869"/>
      <c r="H209" s="869"/>
    </row>
    <row r="212" spans="1:8">
      <c r="A212" s="50"/>
    </row>
    <row r="213" spans="1:8">
      <c r="A213" s="23"/>
    </row>
    <row r="214" spans="1:8">
      <c r="A214" s="50"/>
    </row>
    <row r="215" spans="1:8">
      <c r="A215" s="23"/>
      <c r="C215" s="9"/>
      <c r="D215" s="9"/>
      <c r="E215" s="9"/>
      <c r="F215" s="9"/>
      <c r="G215" s="9"/>
    </row>
    <row r="216" spans="1:8">
      <c r="A216" s="50"/>
      <c r="B216" s="24"/>
      <c r="C216" s="24"/>
      <c r="D216" s="24"/>
      <c r="E216" s="24"/>
      <c r="F216" s="24"/>
      <c r="G216" s="24"/>
    </row>
    <row r="217" spans="1:8">
      <c r="A217" s="23"/>
    </row>
    <row r="219" spans="1:8">
      <c r="A219" s="50"/>
    </row>
    <row r="220" spans="1:8">
      <c r="A220" s="1"/>
    </row>
    <row r="221" spans="1:8">
      <c r="A221" s="50"/>
    </row>
    <row r="222" spans="1:8">
      <c r="A222" s="50"/>
    </row>
    <row r="223" spans="1:8">
      <c r="A223" s="23"/>
    </row>
    <row r="225" spans="1:1">
      <c r="A225" s="50"/>
    </row>
    <row r="226" spans="1:1">
      <c r="A226" s="1"/>
    </row>
    <row r="227" spans="1:1">
      <c r="A227" s="50"/>
    </row>
    <row r="228" spans="1:1">
      <c r="A228" s="50"/>
    </row>
    <row r="229" spans="1:1">
      <c r="A229" s="23"/>
    </row>
    <row r="231" spans="1:1">
      <c r="A231" s="10"/>
    </row>
    <row r="235" spans="1:1" ht="16">
      <c r="A235" s="19"/>
    </row>
    <row r="236" spans="1:1" ht="16">
      <c r="A236" s="20"/>
    </row>
    <row r="237" spans="1:1" ht="16">
      <c r="A237" s="21"/>
    </row>
    <row r="238" spans="1:1" ht="16">
      <c r="A238" s="12"/>
    </row>
    <row r="239" spans="1:1" ht="16">
      <c r="A239" s="21"/>
    </row>
    <row r="240" spans="1:1" ht="16">
      <c r="A240" s="12"/>
    </row>
    <row r="241" spans="1:1" ht="16">
      <c r="A241" s="12"/>
    </row>
    <row r="242" spans="1:1" ht="16">
      <c r="A242" s="20"/>
    </row>
    <row r="243" spans="1:1" ht="16">
      <c r="A243" s="21"/>
    </row>
    <row r="244" spans="1:1" ht="16">
      <c r="A244" s="12"/>
    </row>
    <row r="245" spans="1:1" ht="16">
      <c r="A245" s="21"/>
    </row>
    <row r="246" spans="1:1" ht="16">
      <c r="A246" s="12"/>
    </row>
  </sheetData>
  <mergeCells count="56">
    <mergeCell ref="B134:C134"/>
    <mergeCell ref="A20:H21"/>
    <mergeCell ref="A35:H36"/>
    <mergeCell ref="B114:H115"/>
    <mergeCell ref="B135:C135"/>
    <mergeCell ref="B116:H116"/>
    <mergeCell ref="B117:H117"/>
    <mergeCell ref="B118:H118"/>
    <mergeCell ref="B119:H120"/>
    <mergeCell ref="B130:H131"/>
    <mergeCell ref="B132:C132"/>
    <mergeCell ref="B166:H167"/>
    <mergeCell ref="B187:H188"/>
    <mergeCell ref="A1:H1"/>
    <mergeCell ref="A2:H3"/>
    <mergeCell ref="B48:H56"/>
    <mergeCell ref="B74:H82"/>
    <mergeCell ref="B57:H60"/>
    <mergeCell ref="B70:H73"/>
    <mergeCell ref="B61:H69"/>
    <mergeCell ref="B46:H47"/>
    <mergeCell ref="B39:H41"/>
    <mergeCell ref="B42:H43"/>
    <mergeCell ref="B44:H45"/>
    <mergeCell ref="B136:H137"/>
    <mergeCell ref="B94:C94"/>
    <mergeCell ref="B101:H102"/>
    <mergeCell ref="B83:H86"/>
    <mergeCell ref="B99:H100"/>
    <mergeCell ref="B106:H108"/>
    <mergeCell ref="A114:A115"/>
    <mergeCell ref="B171:H171"/>
    <mergeCell ref="B145:H146"/>
    <mergeCell ref="B112:H113"/>
    <mergeCell ref="B133:C133"/>
    <mergeCell ref="B158:H159"/>
    <mergeCell ref="B163:H164"/>
    <mergeCell ref="B165:H165"/>
    <mergeCell ref="B169:H170"/>
    <mergeCell ref="B168:H168"/>
    <mergeCell ref="B139:H140"/>
    <mergeCell ref="B141:H142"/>
    <mergeCell ref="B143:H144"/>
    <mergeCell ref="B160:H162"/>
    <mergeCell ref="B198:H201"/>
    <mergeCell ref="B175:H179"/>
    <mergeCell ref="B172:H174"/>
    <mergeCell ref="B195:H196"/>
    <mergeCell ref="B191:H191"/>
    <mergeCell ref="A206:H209"/>
    <mergeCell ref="B192:H193"/>
    <mergeCell ref="B194:H194"/>
    <mergeCell ref="B197:H197"/>
    <mergeCell ref="B182:H184"/>
    <mergeCell ref="B189:H190"/>
    <mergeCell ref="B185:H185"/>
  </mergeCells>
  <phoneticPr fontId="3" type="noConversion"/>
  <pageMargins left="0.5" right="0.5" top="0.5" bottom="0.5" header="0.5" footer="0.5"/>
  <pageSetup orientation="portrait" horizontalDpi="4294967293" verticalDpi="4294967293"/>
  <headerFooter alignWithMargins="0"/>
  <drawing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I22"/>
  <sheetViews>
    <sheetView workbookViewId="0">
      <selection activeCell="I10" sqref="I10"/>
    </sheetView>
  </sheetViews>
  <sheetFormatPr baseColWidth="10" defaultRowHeight="13"/>
  <cols>
    <col min="2" max="2" width="16.33203125" customWidth="1"/>
    <col min="3" max="3" width="8" customWidth="1"/>
    <col min="4" max="9" width="14.5" customWidth="1"/>
  </cols>
  <sheetData>
    <row r="3" spans="2:9" ht="34">
      <c r="B3" s="793" t="s">
        <v>1283</v>
      </c>
      <c r="C3" s="794" t="s">
        <v>1301</v>
      </c>
      <c r="D3" s="794"/>
      <c r="E3" s="794"/>
      <c r="F3" s="794"/>
      <c r="G3" s="794"/>
      <c r="H3" s="794"/>
      <c r="I3" s="794"/>
    </row>
    <row r="4" spans="2:9" ht="14">
      <c r="B4" s="784"/>
      <c r="C4" s="784"/>
      <c r="D4" s="784" t="s">
        <v>1284</v>
      </c>
      <c r="E4" s="784" t="s">
        <v>1285</v>
      </c>
      <c r="F4" s="784" t="s">
        <v>296</v>
      </c>
      <c r="G4" s="784" t="s">
        <v>1286</v>
      </c>
      <c r="H4" s="784" t="s">
        <v>1287</v>
      </c>
      <c r="I4" s="784" t="s">
        <v>1288</v>
      </c>
    </row>
    <row r="5" spans="2:9" ht="28">
      <c r="B5" s="804"/>
      <c r="C5" s="804"/>
      <c r="D5" s="804" t="s">
        <v>1289</v>
      </c>
      <c r="E5" s="804" t="s">
        <v>1290</v>
      </c>
      <c r="F5" s="804"/>
      <c r="G5" s="804" t="s">
        <v>1289</v>
      </c>
      <c r="H5" s="804" t="s">
        <v>1290</v>
      </c>
      <c r="I5" s="804"/>
    </row>
    <row r="6" spans="2:9" ht="30" customHeight="1">
      <c r="B6" s="783" t="s">
        <v>1291</v>
      </c>
      <c r="C6" s="784"/>
      <c r="D6" s="795">
        <v>449535.53999999992</v>
      </c>
      <c r="E6" s="795">
        <v>144247.22999999992</v>
      </c>
      <c r="F6" s="803">
        <f>D6+E6</f>
        <v>593782.76999999979</v>
      </c>
      <c r="G6" s="784">
        <v>647.6</v>
      </c>
      <c r="H6" s="784">
        <v>208.5</v>
      </c>
      <c r="I6" s="784">
        <v>856.1</v>
      </c>
    </row>
    <row r="7" spans="2:9" ht="14">
      <c r="B7" s="784" t="s">
        <v>667</v>
      </c>
      <c r="C7" s="784"/>
      <c r="D7" s="602">
        <v>189553.56</v>
      </c>
      <c r="E7" s="784" t="s">
        <v>1292</v>
      </c>
      <c r="F7" s="784"/>
      <c r="G7" s="784">
        <v>30.1</v>
      </c>
      <c r="H7" s="784">
        <v>0</v>
      </c>
      <c r="I7" s="784">
        <v>30.1</v>
      </c>
    </row>
    <row r="8" spans="2:9" ht="14">
      <c r="B8" s="784" t="s">
        <v>666</v>
      </c>
      <c r="C8" s="784"/>
      <c r="D8" s="796">
        <v>459714.95000000007</v>
      </c>
      <c r="E8" s="784" t="s">
        <v>1292</v>
      </c>
      <c r="F8" s="784"/>
      <c r="G8" s="784">
        <v>112.6</v>
      </c>
      <c r="H8" s="784">
        <v>0</v>
      </c>
      <c r="I8" s="784">
        <v>112.6</v>
      </c>
    </row>
    <row r="9" spans="2:9" ht="14">
      <c r="B9" s="784" t="s">
        <v>665</v>
      </c>
      <c r="C9" s="784"/>
      <c r="D9" s="797">
        <v>1562814.21</v>
      </c>
      <c r="E9" s="797">
        <v>492804.06999999902</v>
      </c>
      <c r="F9" s="797">
        <f>E9+D9</f>
        <v>2055618.2799999989</v>
      </c>
      <c r="G9" s="784">
        <v>2283.8000000000002</v>
      </c>
      <c r="H9" s="784">
        <v>719.1</v>
      </c>
      <c r="I9" s="784">
        <v>3002.9</v>
      </c>
    </row>
    <row r="10" spans="2:9" ht="14">
      <c r="B10" s="784" t="s">
        <v>668</v>
      </c>
      <c r="C10" s="784"/>
      <c r="D10" s="796">
        <v>38262.460000000006</v>
      </c>
      <c r="E10" s="784" t="s">
        <v>1292</v>
      </c>
      <c r="F10" s="784"/>
      <c r="G10" s="784">
        <v>20.7</v>
      </c>
      <c r="H10" s="784">
        <v>0</v>
      </c>
      <c r="I10" s="784">
        <v>20.7</v>
      </c>
    </row>
    <row r="11" spans="2:9" ht="14">
      <c r="B11" s="798" t="s">
        <v>296</v>
      </c>
      <c r="C11" s="798"/>
      <c r="D11" s="798"/>
      <c r="E11" s="798"/>
      <c r="F11" s="798"/>
      <c r="G11" s="798">
        <v>3094.8</v>
      </c>
      <c r="H11" s="798">
        <v>927.6</v>
      </c>
      <c r="I11" s="798">
        <v>4022.4</v>
      </c>
    </row>
    <row r="12" spans="2:9" ht="14" thickBot="1">
      <c r="B12" s="784"/>
      <c r="C12" s="784"/>
      <c r="D12" s="784"/>
      <c r="E12" s="784"/>
      <c r="F12" s="784"/>
      <c r="G12" s="784"/>
      <c r="H12" s="784"/>
      <c r="I12" s="784"/>
    </row>
    <row r="13" spans="2:9" ht="46" customHeight="1" thickBot="1">
      <c r="B13" s="784" t="s">
        <v>1293</v>
      </c>
      <c r="C13" s="784"/>
      <c r="D13" s="784"/>
      <c r="E13" s="784"/>
      <c r="F13" s="784"/>
      <c r="G13" s="784"/>
      <c r="H13" s="799">
        <f>C15*H11</f>
        <v>48.334144653768895</v>
      </c>
      <c r="I13" s="800">
        <f>I11+H13</f>
        <v>4070.7341446537689</v>
      </c>
    </row>
    <row r="14" spans="2:9">
      <c r="B14" s="784"/>
      <c r="C14" s="784"/>
      <c r="D14" s="784"/>
      <c r="E14" s="784"/>
      <c r="F14" s="784"/>
      <c r="G14" s="784"/>
      <c r="H14" s="784"/>
      <c r="I14" s="784"/>
    </row>
    <row r="15" spans="2:9" ht="52" customHeight="1">
      <c r="B15" s="784" t="s">
        <v>1294</v>
      </c>
      <c r="C15" s="801">
        <v>5.21066673714628E-2</v>
      </c>
      <c r="D15" s="801"/>
      <c r="E15" s="801"/>
      <c r="F15" s="801"/>
      <c r="G15" s="784"/>
      <c r="H15" s="784"/>
      <c r="I15" s="801"/>
    </row>
    <row r="16" spans="2:9" ht="55" customHeight="1">
      <c r="B16" s="784" t="s">
        <v>1295</v>
      </c>
      <c r="C16" s="801">
        <v>5.2798240000000003E-2</v>
      </c>
      <c r="D16" s="801"/>
      <c r="E16" s="801"/>
      <c r="F16" s="801"/>
      <c r="G16" s="784"/>
      <c r="H16" s="783"/>
      <c r="I16" s="801"/>
    </row>
    <row r="17" spans="2:9">
      <c r="B17" s="784"/>
      <c r="C17" s="784"/>
      <c r="D17" s="784"/>
      <c r="E17" s="784"/>
      <c r="F17" s="784"/>
      <c r="G17" s="784"/>
      <c r="H17" s="784"/>
      <c r="I17" s="784"/>
    </row>
    <row r="18" spans="2:9">
      <c r="B18" s="805" t="s">
        <v>1296</v>
      </c>
      <c r="C18" s="37"/>
      <c r="D18" s="37"/>
      <c r="E18" s="37"/>
      <c r="F18" s="37"/>
      <c r="G18" s="37"/>
      <c r="H18" s="37"/>
      <c r="I18" s="37"/>
    </row>
    <row r="19" spans="2:9">
      <c r="B19" s="802" t="s">
        <v>1297</v>
      </c>
    </row>
    <row r="20" spans="2:9">
      <c r="B20" s="802" t="s">
        <v>1298</v>
      </c>
    </row>
    <row r="21" spans="2:9">
      <c r="B21" s="802" t="s">
        <v>1299</v>
      </c>
    </row>
    <row r="22" spans="2:9">
      <c r="B22" s="802" t="s">
        <v>1300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49"/>
  </sheetPr>
  <dimension ref="A1:O50"/>
  <sheetViews>
    <sheetView zoomScale="125" zoomScaleNormal="100" workbookViewId="0">
      <selection activeCell="N12" sqref="N12"/>
    </sheetView>
  </sheetViews>
  <sheetFormatPr baseColWidth="10" defaultColWidth="8.83203125" defaultRowHeight="13"/>
  <cols>
    <col min="1" max="1" width="33.1640625" customWidth="1"/>
    <col min="2" max="2" width="9.6640625" bestFit="1" customWidth="1"/>
    <col min="3" max="7" width="9.33203125" customWidth="1"/>
    <col min="8" max="9" width="9.5" customWidth="1"/>
    <col min="10" max="10" width="8" customWidth="1"/>
    <col min="11" max="12" width="8.5" customWidth="1"/>
    <col min="15" max="15" width="31.5" customWidth="1"/>
    <col min="18" max="18" width="36.1640625" customWidth="1"/>
  </cols>
  <sheetData>
    <row r="1" spans="1:15" ht="27.75" customHeight="1">
      <c r="A1" s="882" t="s">
        <v>961</v>
      </c>
      <c r="B1" s="883"/>
      <c r="C1" s="883"/>
      <c r="D1" s="883"/>
      <c r="E1" s="883"/>
      <c r="F1" s="883"/>
      <c r="G1" s="882"/>
      <c r="H1" s="883"/>
      <c r="I1" s="883"/>
      <c r="J1" s="883"/>
      <c r="K1" s="883"/>
      <c r="L1" s="883"/>
      <c r="M1" s="883"/>
    </row>
    <row r="2" spans="1:15" s="2" customFormat="1" ht="12.75" customHeight="1">
      <c r="A2" s="76" t="s">
        <v>634</v>
      </c>
    </row>
    <row r="3" spans="1:15">
      <c r="A3" t="s">
        <v>149</v>
      </c>
      <c r="B3" t="s">
        <v>362</v>
      </c>
      <c r="G3" s="10"/>
    </row>
    <row r="4" spans="1:15">
      <c r="B4" t="s">
        <v>363</v>
      </c>
      <c r="G4" s="22"/>
      <c r="H4" s="22"/>
      <c r="I4" s="22"/>
      <c r="J4" s="22"/>
      <c r="K4" s="22"/>
      <c r="L4" s="22"/>
    </row>
    <row r="5" spans="1:15">
      <c r="B5" t="s">
        <v>662</v>
      </c>
      <c r="G5" s="5"/>
      <c r="H5" s="5"/>
      <c r="I5" s="5"/>
      <c r="J5" s="5"/>
      <c r="K5" s="17"/>
      <c r="L5" s="17"/>
    </row>
    <row r="7" spans="1:15" ht="26.25" customHeight="1">
      <c r="A7" s="884" t="s">
        <v>68</v>
      </c>
      <c r="B7" s="838"/>
      <c r="C7" s="838"/>
      <c r="D7" s="838"/>
      <c r="E7" s="838"/>
      <c r="F7" s="838"/>
    </row>
    <row r="8" spans="1:15">
      <c r="A8" s="37"/>
      <c r="B8" s="37"/>
      <c r="C8" s="37"/>
      <c r="D8" s="37"/>
      <c r="E8" s="37"/>
      <c r="F8" s="37"/>
    </row>
    <row r="9" spans="1:15" ht="16">
      <c r="A9" s="85" t="s">
        <v>762</v>
      </c>
      <c r="B9" s="37"/>
      <c r="C9" s="37"/>
      <c r="D9" s="37"/>
      <c r="E9" s="37"/>
      <c r="F9" s="37"/>
      <c r="G9" s="29"/>
    </row>
    <row r="10" spans="1:15">
      <c r="A10" s="10"/>
      <c r="B10" s="6" t="s">
        <v>629</v>
      </c>
      <c r="I10" s="131"/>
    </row>
    <row r="11" spans="1:15">
      <c r="A11" s="6" t="s">
        <v>628</v>
      </c>
      <c r="B11" s="679" t="s">
        <v>310</v>
      </c>
      <c r="C11" s="679" t="s">
        <v>339</v>
      </c>
      <c r="D11" s="680" t="s">
        <v>731</v>
      </c>
      <c r="E11" s="594" t="s">
        <v>24</v>
      </c>
      <c r="F11" s="594" t="s">
        <v>1005</v>
      </c>
      <c r="G11" s="680" t="s">
        <v>970</v>
      </c>
      <c r="H11" s="680" t="s">
        <v>955</v>
      </c>
      <c r="I11" s="680" t="s">
        <v>1123</v>
      </c>
      <c r="J11" s="680" t="s">
        <v>1154</v>
      </c>
      <c r="K11" s="680" t="s">
        <v>1197</v>
      </c>
      <c r="L11" s="680" t="s">
        <v>1251</v>
      </c>
      <c r="M11" s="680" t="s">
        <v>1261</v>
      </c>
      <c r="N11" s="680" t="s">
        <v>1277</v>
      </c>
    </row>
    <row r="12" spans="1:15" s="47" customFormat="1">
      <c r="A12" s="33" t="s">
        <v>706</v>
      </c>
      <c r="B12" s="78">
        <v>1107960</v>
      </c>
      <c r="C12" s="109">
        <v>1094630</v>
      </c>
      <c r="D12" s="78">
        <v>954940</v>
      </c>
      <c r="E12" s="453">
        <v>865640</v>
      </c>
      <c r="F12" s="453">
        <v>860580</v>
      </c>
      <c r="G12" s="561">
        <v>814180</v>
      </c>
      <c r="H12" s="453">
        <v>876460</v>
      </c>
      <c r="I12" s="453">
        <v>811840</v>
      </c>
      <c r="J12" s="723">
        <v>890060</v>
      </c>
      <c r="K12" s="713">
        <v>771660</v>
      </c>
      <c r="L12" s="713">
        <v>789500</v>
      </c>
      <c r="M12" s="713">
        <v>801000</v>
      </c>
      <c r="N12" s="713">
        <v>682160</v>
      </c>
      <c r="O12" s="605" t="s">
        <v>1282</v>
      </c>
    </row>
    <row r="13" spans="1:15" s="47" customFormat="1">
      <c r="A13" s="33" t="s">
        <v>475</v>
      </c>
      <c r="B13" s="195">
        <v>0.1</v>
      </c>
      <c r="C13" s="86">
        <v>0.17</v>
      </c>
      <c r="D13" s="86">
        <v>0.22</v>
      </c>
      <c r="E13" s="86">
        <v>0.22</v>
      </c>
      <c r="F13" s="86">
        <v>1</v>
      </c>
      <c r="G13" s="86">
        <v>1</v>
      </c>
      <c r="H13" s="86">
        <v>1</v>
      </c>
      <c r="I13" s="86">
        <v>1</v>
      </c>
      <c r="J13" s="86">
        <v>1</v>
      </c>
      <c r="K13" s="86">
        <v>1</v>
      </c>
      <c r="L13" s="86">
        <v>1</v>
      </c>
      <c r="M13" s="86">
        <v>1</v>
      </c>
      <c r="N13" s="86">
        <v>1</v>
      </c>
    </row>
    <row r="14" spans="1:15" s="47" customFormat="1">
      <c r="A14" s="33" t="s">
        <v>757</v>
      </c>
      <c r="B14" s="195">
        <v>0.9</v>
      </c>
      <c r="C14" s="86">
        <v>0.83</v>
      </c>
      <c r="D14" s="86">
        <v>0.78</v>
      </c>
      <c r="E14" s="86">
        <v>0.78</v>
      </c>
      <c r="F14" s="86">
        <v>0</v>
      </c>
      <c r="G14" s="562">
        <v>0</v>
      </c>
      <c r="H14" s="562">
        <v>0</v>
      </c>
      <c r="I14" s="562">
        <v>0</v>
      </c>
      <c r="J14" s="562">
        <v>0</v>
      </c>
      <c r="K14" s="562">
        <v>0</v>
      </c>
      <c r="L14" s="562">
        <v>0</v>
      </c>
      <c r="M14" s="562">
        <v>0</v>
      </c>
      <c r="N14" s="562">
        <v>0</v>
      </c>
    </row>
    <row r="15" spans="1:15" s="29" customFormat="1" ht="14" thickBot="1">
      <c r="A15" s="74" t="s">
        <v>981</v>
      </c>
      <c r="B15" s="64"/>
    </row>
    <row r="16" spans="1:15" s="29" customFormat="1">
      <c r="A16" s="33" t="s">
        <v>741</v>
      </c>
      <c r="B16" s="185">
        <v>0</v>
      </c>
      <c r="C16" s="378">
        <v>0.52</v>
      </c>
      <c r="D16" s="378">
        <v>0.5</v>
      </c>
      <c r="E16" s="378">
        <v>0.43</v>
      </c>
      <c r="F16" s="378">
        <v>0.39</v>
      </c>
      <c r="G16" s="569">
        <v>0.36</v>
      </c>
      <c r="H16" s="569">
        <v>0.24</v>
      </c>
      <c r="I16" s="569">
        <v>0.24</v>
      </c>
      <c r="J16" s="569">
        <v>0.24</v>
      </c>
      <c r="K16" s="569">
        <v>0.24</v>
      </c>
      <c r="L16" s="569">
        <v>0.24</v>
      </c>
      <c r="M16" s="569">
        <v>0.24</v>
      </c>
      <c r="N16" s="569">
        <v>0.24</v>
      </c>
    </row>
    <row r="17" spans="1:14" s="29" customFormat="1" ht="15">
      <c r="A17" s="144" t="s">
        <v>619</v>
      </c>
      <c r="B17" s="187">
        <f>1-B18</f>
        <v>0.20799999999999996</v>
      </c>
      <c r="C17" s="378">
        <v>7.0000000000000007E-2</v>
      </c>
      <c r="D17" s="378">
        <v>7.4999999999999997E-2</v>
      </c>
      <c r="E17" s="378">
        <v>0.01</v>
      </c>
      <c r="F17" s="378">
        <v>0</v>
      </c>
      <c r="G17" s="569">
        <v>0</v>
      </c>
      <c r="H17" s="569">
        <v>0</v>
      </c>
      <c r="I17" s="569">
        <v>0</v>
      </c>
      <c r="J17" s="569">
        <v>0</v>
      </c>
      <c r="K17" s="569">
        <v>0</v>
      </c>
      <c r="L17" s="569">
        <v>0</v>
      </c>
      <c r="M17" s="569">
        <v>0</v>
      </c>
      <c r="N17" s="569">
        <v>0</v>
      </c>
    </row>
    <row r="18" spans="1:14" s="29" customFormat="1" ht="14" thickBot="1">
      <c r="A18" s="144" t="s">
        <v>845</v>
      </c>
      <c r="B18" s="186">
        <v>0.79200000000000004</v>
      </c>
      <c r="C18" s="378">
        <v>0.41</v>
      </c>
      <c r="D18" s="378">
        <v>0.42499999999999999</v>
      </c>
      <c r="E18" s="378">
        <v>0.56000000000000005</v>
      </c>
      <c r="F18" s="378">
        <v>0.61</v>
      </c>
      <c r="G18" s="569">
        <v>0.64</v>
      </c>
      <c r="H18" s="569">
        <v>0.76</v>
      </c>
      <c r="I18" s="569">
        <v>0.76</v>
      </c>
      <c r="J18" s="569">
        <v>0.76</v>
      </c>
      <c r="K18" s="569">
        <v>0.76</v>
      </c>
      <c r="L18" s="569">
        <v>0.76</v>
      </c>
      <c r="M18" s="569">
        <v>0.76</v>
      </c>
      <c r="N18" s="569">
        <v>0.76</v>
      </c>
    </row>
    <row r="19" spans="1:14" s="29" customFormat="1">
      <c r="A19" s="71" t="s">
        <v>895</v>
      </c>
      <c r="B19" s="138">
        <f t="shared" ref="B19:H19" si="0">B$12*B13*$B43</f>
        <v>55.398000000000003</v>
      </c>
      <c r="C19" s="138">
        <f t="shared" si="0"/>
        <v>93.04355000000001</v>
      </c>
      <c r="D19" s="138">
        <f t="shared" si="0"/>
        <v>105.04339999999999</v>
      </c>
      <c r="E19" s="138">
        <f t="shared" si="0"/>
        <v>95.220399999999998</v>
      </c>
      <c r="F19" s="138">
        <f t="shared" si="0"/>
        <v>430.29</v>
      </c>
      <c r="G19" s="138">
        <f t="shared" si="0"/>
        <v>407.09000000000003</v>
      </c>
      <c r="H19" s="138">
        <f t="shared" si="0"/>
        <v>438.23</v>
      </c>
      <c r="I19" s="138">
        <f t="shared" ref="I19:N19" si="1">I$12*I13*$B43</f>
        <v>405.92</v>
      </c>
      <c r="J19" s="138">
        <f t="shared" si="1"/>
        <v>445.03000000000003</v>
      </c>
      <c r="K19" s="138">
        <f t="shared" si="1"/>
        <v>385.83</v>
      </c>
      <c r="L19" s="138">
        <f t="shared" si="1"/>
        <v>394.75</v>
      </c>
      <c r="M19" s="138">
        <f t="shared" si="1"/>
        <v>400.5</v>
      </c>
      <c r="N19" s="138">
        <f t="shared" si="1"/>
        <v>341.08</v>
      </c>
    </row>
    <row r="20" spans="1:14" s="29" customFormat="1" ht="15">
      <c r="A20" s="47" t="s">
        <v>685</v>
      </c>
      <c r="B20" s="97">
        <f t="shared" ref="B20:G20" si="2">B21/B19</f>
        <v>8.0682732891674703E-3</v>
      </c>
      <c r="C20" s="97">
        <f t="shared" si="2"/>
        <v>2.8214528349013411E-2</v>
      </c>
      <c r="D20" s="97">
        <f t="shared" si="2"/>
        <v>2.7438061737058497E-2</v>
      </c>
      <c r="E20" s="97">
        <f t="shared" si="2"/>
        <v>2.428857356946609E-2</v>
      </c>
      <c r="F20" s="97">
        <f t="shared" si="2"/>
        <v>2.263094821810166E-2</v>
      </c>
      <c r="G20" s="97">
        <f t="shared" si="2"/>
        <v>2.142698875237382E-2</v>
      </c>
      <c r="H20" s="97">
        <f t="shared" ref="H20:M20" si="3">H21/H19</f>
        <v>1.6611150889462439E-2</v>
      </c>
      <c r="I20" s="97">
        <f t="shared" si="3"/>
        <v>1.6611150889462439E-2</v>
      </c>
      <c r="J20" s="97">
        <f t="shared" si="3"/>
        <v>1.6611150889462439E-2</v>
      </c>
      <c r="K20" s="97">
        <f t="shared" si="3"/>
        <v>1.6611150889462439E-2</v>
      </c>
      <c r="L20" s="97">
        <f t="shared" si="3"/>
        <v>1.6611150889462439E-2</v>
      </c>
      <c r="M20" s="97">
        <f t="shared" si="3"/>
        <v>1.6611150889462439E-2</v>
      </c>
      <c r="N20" s="97">
        <f>N21/N19</f>
        <v>1.6611150889462439E-2</v>
      </c>
    </row>
    <row r="21" spans="1:14" s="29" customFormat="1" ht="15">
      <c r="A21" s="63" t="s">
        <v>729</v>
      </c>
      <c r="B21" s="65">
        <f t="shared" ref="B21:G21" si="4">B12*B13*(B16*$B48+B17*$B49+B18*$B50)*$B43</f>
        <v>0.44696620367329953</v>
      </c>
      <c r="C21" s="65">
        <f t="shared" si="4"/>
        <v>2.6251798791678471</v>
      </c>
      <c r="D21" s="65">
        <f t="shared" si="4"/>
        <v>2.8821872942705302</v>
      </c>
      <c r="E21" s="65">
        <f t="shared" si="4"/>
        <v>2.3127676907139887</v>
      </c>
      <c r="F21" s="65">
        <f t="shared" si="4"/>
        <v>9.7378707087669643</v>
      </c>
      <c r="G21" s="65">
        <f t="shared" si="4"/>
        <v>8.722712851203859</v>
      </c>
      <c r="H21" s="65">
        <f t="shared" ref="H21:M21" si="5">H12*H13*(H16*$B48+H17*$B49+H18*$B50)*$B43</f>
        <v>7.2795046542891253</v>
      </c>
      <c r="I21" s="65">
        <f t="shared" si="5"/>
        <v>6.7427983690505933</v>
      </c>
      <c r="J21" s="65">
        <f t="shared" si="5"/>
        <v>7.3924604803374701</v>
      </c>
      <c r="K21" s="65">
        <f t="shared" si="5"/>
        <v>6.409080347681293</v>
      </c>
      <c r="L21" s="65">
        <f t="shared" si="5"/>
        <v>6.5572518136152977</v>
      </c>
      <c r="M21" s="65">
        <f t="shared" si="5"/>
        <v>6.6527659312297072</v>
      </c>
      <c r="N21" s="65">
        <f>N12*N13*(N16*$B48+N17*$B49+N18*$B50)*$B43</f>
        <v>5.6657313453778491</v>
      </c>
    </row>
    <row r="22" spans="1:14" s="29" customFormat="1" ht="14" thickBot="1">
      <c r="A22" s="74" t="s">
        <v>865</v>
      </c>
      <c r="B22" s="64"/>
    </row>
    <row r="23" spans="1:14" s="29" customFormat="1">
      <c r="A23" s="33" t="s">
        <v>741</v>
      </c>
      <c r="B23" s="185">
        <v>0</v>
      </c>
      <c r="C23" s="378">
        <v>0.35</v>
      </c>
      <c r="D23" s="378">
        <v>0.23</v>
      </c>
      <c r="E23" s="378">
        <v>0.18</v>
      </c>
      <c r="F23" s="378">
        <v>0</v>
      </c>
      <c r="G23" s="563">
        <v>0</v>
      </c>
      <c r="H23" s="563">
        <v>0</v>
      </c>
      <c r="I23" s="563">
        <v>0</v>
      </c>
      <c r="J23" s="563">
        <v>0</v>
      </c>
      <c r="K23" s="563">
        <v>0</v>
      </c>
      <c r="L23" s="563">
        <v>0</v>
      </c>
      <c r="M23" s="563">
        <v>0</v>
      </c>
      <c r="N23" s="563">
        <v>0</v>
      </c>
    </row>
    <row r="24" spans="1:14" s="29" customFormat="1" ht="15">
      <c r="A24" s="33" t="s">
        <v>619</v>
      </c>
      <c r="B24" s="187">
        <v>1</v>
      </c>
      <c r="C24" s="378">
        <v>0.57999999999999996</v>
      </c>
      <c r="D24" s="378">
        <v>0.28999999999999998</v>
      </c>
      <c r="E24" s="378">
        <v>0</v>
      </c>
      <c r="F24" s="378">
        <v>0</v>
      </c>
      <c r="G24" s="563">
        <v>0</v>
      </c>
      <c r="H24" s="563">
        <v>0</v>
      </c>
      <c r="I24" s="563">
        <v>0</v>
      </c>
      <c r="J24" s="563">
        <v>0</v>
      </c>
      <c r="K24" s="563">
        <v>0</v>
      </c>
      <c r="L24" s="563">
        <v>0</v>
      </c>
      <c r="M24" s="563">
        <v>0</v>
      </c>
      <c r="N24" s="563">
        <v>0</v>
      </c>
    </row>
    <row r="25" spans="1:14" s="29" customFormat="1" ht="14" thickBot="1">
      <c r="A25" s="33" t="s">
        <v>845</v>
      </c>
      <c r="B25" s="186">
        <v>0</v>
      </c>
      <c r="C25" s="378">
        <v>7.0000000000000007E-2</v>
      </c>
      <c r="D25" s="378">
        <v>0.48</v>
      </c>
      <c r="E25" s="378">
        <v>0.82</v>
      </c>
      <c r="F25" s="378">
        <v>0</v>
      </c>
      <c r="G25" s="563">
        <v>0</v>
      </c>
      <c r="H25" s="563">
        <v>0</v>
      </c>
      <c r="I25" s="563">
        <v>0</v>
      </c>
      <c r="J25" s="563">
        <v>0</v>
      </c>
      <c r="K25" s="563">
        <v>0</v>
      </c>
      <c r="L25" s="563">
        <v>0</v>
      </c>
      <c r="M25" s="563">
        <v>0</v>
      </c>
      <c r="N25" s="563">
        <v>0</v>
      </c>
    </row>
    <row r="26" spans="1:14" s="24" customFormat="1">
      <c r="A26" s="71" t="s">
        <v>895</v>
      </c>
      <c r="B26" s="138">
        <f>B$12*B14*$B43</f>
        <v>498.58199999999999</v>
      </c>
      <c r="C26" s="138">
        <f>C$12*C14*$B43</f>
        <v>454.27144999999996</v>
      </c>
      <c r="D26" s="138">
        <f>D$12*D14*$B43</f>
        <v>372.42660000000006</v>
      </c>
      <c r="E26" s="138">
        <f>E$12*E14*$B43</f>
        <v>337.59960000000007</v>
      </c>
      <c r="F26" s="138">
        <f>F$12*F14*$B43</f>
        <v>0</v>
      </c>
      <c r="G26" s="564">
        <v>0</v>
      </c>
      <c r="H26" s="564">
        <v>0</v>
      </c>
      <c r="I26" s="564">
        <v>0</v>
      </c>
      <c r="J26" s="564">
        <v>0</v>
      </c>
      <c r="K26" s="564">
        <v>0</v>
      </c>
      <c r="L26" s="564">
        <v>0</v>
      </c>
      <c r="M26" s="564">
        <v>0</v>
      </c>
      <c r="N26" s="564">
        <v>0</v>
      </c>
    </row>
    <row r="27" spans="1:14" s="24" customFormat="1" ht="15">
      <c r="A27" s="71" t="s">
        <v>685</v>
      </c>
      <c r="B27" s="145">
        <f>B28/B26</f>
        <v>1.221408153636944E-2</v>
      </c>
      <c r="C27" s="145">
        <f>C28/C26</f>
        <v>2.4061740626647798E-2</v>
      </c>
      <c r="D27" s="145">
        <f>D28/D26</f>
        <v>1.7727866915644788E-2</v>
      </c>
      <c r="E27" s="145">
        <f>E28/E26</f>
        <v>1.4203231958006749E-2</v>
      </c>
      <c r="F27" s="145">
        <v>0</v>
      </c>
      <c r="G27" s="564">
        <v>0</v>
      </c>
      <c r="H27" s="564">
        <v>0</v>
      </c>
      <c r="I27" s="564">
        <v>0</v>
      </c>
      <c r="J27" s="564">
        <v>0</v>
      </c>
      <c r="K27" s="564">
        <v>0</v>
      </c>
      <c r="L27" s="564">
        <v>0</v>
      </c>
      <c r="M27" s="564">
        <v>0</v>
      </c>
      <c r="N27" s="564">
        <v>0</v>
      </c>
    </row>
    <row r="28" spans="1:14" s="24" customFormat="1" ht="15">
      <c r="A28" s="90" t="s">
        <v>684</v>
      </c>
      <c r="B28" s="134">
        <f>B12*B14*(B23*$B48+B24*$B49+B25*$B50)*$B43</f>
        <v>6.0897212005661485</v>
      </c>
      <c r="C28" s="134">
        <f>C12*C14*(C23*$B48+C24*$B49+C25*$B50)*$B43</f>
        <v>10.930561803991203</v>
      </c>
      <c r="D28" s="134">
        <f>D12*D14*(D23*$B48+D24*$B49+D25*$B50)*$B43</f>
        <v>6.6023292006460768</v>
      </c>
      <c r="E28" s="134">
        <f>E12*E14*(E23*$B48+E24*$B49+E25*$B50)*$B43</f>
        <v>4.7950054277302963</v>
      </c>
      <c r="F28" s="134">
        <f>F12*F14*(F23*$B48+F24*$B49+F25*$B50)*$B43</f>
        <v>0</v>
      </c>
      <c r="G28" s="564">
        <v>0</v>
      </c>
      <c r="H28" s="564">
        <v>0</v>
      </c>
      <c r="I28" s="564">
        <v>0</v>
      </c>
      <c r="J28" s="564">
        <v>0</v>
      </c>
      <c r="K28" s="564">
        <v>0</v>
      </c>
      <c r="L28" s="564">
        <v>0</v>
      </c>
      <c r="M28" s="564">
        <v>0</v>
      </c>
      <c r="N28" s="564">
        <v>0</v>
      </c>
    </row>
    <row r="29" spans="1:14" s="24" customFormat="1">
      <c r="A29" s="90"/>
      <c r="B29" s="134"/>
    </row>
    <row r="30" spans="1:14" ht="16">
      <c r="A30" s="85" t="s">
        <v>147</v>
      </c>
      <c r="B30" s="24"/>
    </row>
    <row r="31" spans="1:14">
      <c r="A31" s="10"/>
    </row>
    <row r="32" spans="1:14">
      <c r="A32" s="6" t="s">
        <v>628</v>
      </c>
      <c r="B32" s="679" t="s">
        <v>310</v>
      </c>
      <c r="C32" s="679" t="s">
        <v>339</v>
      </c>
      <c r="D32" s="679" t="s">
        <v>731</v>
      </c>
      <c r="E32" s="594" t="s">
        <v>24</v>
      </c>
      <c r="F32" s="594" t="s">
        <v>1005</v>
      </c>
      <c r="G32" s="679" t="s">
        <v>970</v>
      </c>
      <c r="H32" s="679" t="s">
        <v>95</v>
      </c>
      <c r="I32" s="679" t="s">
        <v>1124</v>
      </c>
      <c r="J32" s="679" t="s">
        <v>1135</v>
      </c>
      <c r="K32" s="679" t="s">
        <v>1196</v>
      </c>
      <c r="L32" s="679" t="s">
        <v>1251</v>
      </c>
      <c r="M32" s="679" t="s">
        <v>1261</v>
      </c>
      <c r="N32" s="679" t="s">
        <v>1277</v>
      </c>
    </row>
    <row r="33" spans="1:14" s="126" customFormat="1" ht="15">
      <c r="A33" s="87" t="s">
        <v>851</v>
      </c>
      <c r="B33" s="98">
        <v>0.27</v>
      </c>
      <c r="C33" s="368">
        <v>0.27</v>
      </c>
      <c r="D33" s="368">
        <v>0.27</v>
      </c>
      <c r="E33" s="368">
        <v>0.27</v>
      </c>
      <c r="F33" s="368">
        <v>0.27</v>
      </c>
      <c r="G33" s="368">
        <v>0.27</v>
      </c>
      <c r="H33" s="368">
        <v>0.27</v>
      </c>
      <c r="I33" s="368">
        <v>0.27</v>
      </c>
      <c r="J33" s="368">
        <v>0.27</v>
      </c>
      <c r="K33" s="368">
        <v>0.27</v>
      </c>
      <c r="L33" s="368">
        <v>0.27</v>
      </c>
      <c r="M33" s="368">
        <v>0.27</v>
      </c>
      <c r="N33" s="368">
        <v>0.27</v>
      </c>
    </row>
    <row r="34" spans="1:14" s="126" customFormat="1" ht="15">
      <c r="A34" s="87" t="s">
        <v>631</v>
      </c>
      <c r="B34" s="98">
        <v>7.0000000000000007E-2</v>
      </c>
      <c r="C34" s="368">
        <v>7.0000000000000007E-2</v>
      </c>
      <c r="D34" s="368">
        <v>7.0000000000000007E-2</v>
      </c>
      <c r="E34" s="368">
        <v>7.0000000000000007E-2</v>
      </c>
      <c r="F34" s="368">
        <v>7.0000000000000007E-2</v>
      </c>
      <c r="G34" s="368">
        <v>7.0000000000000007E-2</v>
      </c>
      <c r="H34" s="368">
        <v>7.0000000000000007E-2</v>
      </c>
      <c r="I34" s="368">
        <v>7.0000000000000007E-2</v>
      </c>
      <c r="J34" s="368">
        <v>7.0000000000000007E-2</v>
      </c>
      <c r="K34" s="368">
        <v>7.0000000000000007E-2</v>
      </c>
      <c r="L34" s="368">
        <v>7.0000000000000007E-2</v>
      </c>
      <c r="M34" s="368">
        <v>7.0000000000000007E-2</v>
      </c>
      <c r="N34" s="368">
        <v>7.0000000000000007E-2</v>
      </c>
    </row>
    <row r="35" spans="1:14" s="126" customFormat="1" ht="15">
      <c r="A35" s="87" t="s">
        <v>813</v>
      </c>
      <c r="B35" s="98">
        <v>0.04</v>
      </c>
      <c r="C35" s="368">
        <v>0.04</v>
      </c>
      <c r="D35" s="368">
        <v>0.04</v>
      </c>
      <c r="E35" s="368">
        <v>0.04</v>
      </c>
      <c r="F35" s="368">
        <v>0.04</v>
      </c>
      <c r="G35" s="368">
        <v>0.04</v>
      </c>
      <c r="H35" s="368">
        <v>0.04</v>
      </c>
      <c r="I35" s="368">
        <v>0.04</v>
      </c>
      <c r="J35" s="368">
        <v>0.04</v>
      </c>
      <c r="K35" s="368">
        <v>0.04</v>
      </c>
      <c r="L35" s="368">
        <v>0.04</v>
      </c>
      <c r="M35" s="368">
        <v>0.04</v>
      </c>
      <c r="N35" s="368">
        <v>0.04</v>
      </c>
    </row>
    <row r="36" spans="1:14">
      <c r="A36" s="71" t="s">
        <v>895</v>
      </c>
      <c r="B36" s="146">
        <f t="shared" ref="B36:G36" si="6">B19+B26</f>
        <v>553.98</v>
      </c>
      <c r="C36" s="146">
        <f t="shared" si="6"/>
        <v>547.31499999999994</v>
      </c>
      <c r="D36" s="146">
        <f t="shared" si="6"/>
        <v>477.47</v>
      </c>
      <c r="E36" s="146">
        <f t="shared" si="6"/>
        <v>432.82000000000005</v>
      </c>
      <c r="F36" s="146">
        <f t="shared" si="6"/>
        <v>430.29</v>
      </c>
      <c r="G36" s="146">
        <f t="shared" si="6"/>
        <v>407.09000000000003</v>
      </c>
      <c r="H36" s="146">
        <f t="shared" ref="H36:M36" si="7">H19+H26</f>
        <v>438.23</v>
      </c>
      <c r="I36" s="146">
        <f t="shared" si="7"/>
        <v>405.92</v>
      </c>
      <c r="J36" s="146">
        <f t="shared" si="7"/>
        <v>445.03000000000003</v>
      </c>
      <c r="K36" s="146">
        <f t="shared" si="7"/>
        <v>385.83</v>
      </c>
      <c r="L36" s="146">
        <f t="shared" si="7"/>
        <v>394.75</v>
      </c>
      <c r="M36" s="146">
        <f t="shared" si="7"/>
        <v>400.5</v>
      </c>
      <c r="N36" s="146">
        <f>N19+N26</f>
        <v>341.08</v>
      </c>
    </row>
    <row r="37" spans="1:14" ht="15">
      <c r="A37" s="25" t="s">
        <v>866</v>
      </c>
      <c r="B37" s="146">
        <f t="shared" ref="B37:G37" si="8">B21+B28</f>
        <v>6.5366874042394478</v>
      </c>
      <c r="C37" s="146">
        <f t="shared" si="8"/>
        <v>13.55574168315905</v>
      </c>
      <c r="D37" s="146">
        <f t="shared" si="8"/>
        <v>9.4845164949166065</v>
      </c>
      <c r="E37" s="146">
        <f t="shared" si="8"/>
        <v>7.1077731184442854</v>
      </c>
      <c r="F37" s="146">
        <f t="shared" si="8"/>
        <v>9.7378707087669643</v>
      </c>
      <c r="G37" s="146">
        <f t="shared" si="8"/>
        <v>8.722712851203859</v>
      </c>
      <c r="H37" s="146">
        <f t="shared" ref="H37:M37" si="9">H21+H28</f>
        <v>7.2795046542891253</v>
      </c>
      <c r="I37" s="146">
        <f t="shared" si="9"/>
        <v>6.7427983690505933</v>
      </c>
      <c r="J37" s="146">
        <f t="shared" si="9"/>
        <v>7.3924604803374701</v>
      </c>
      <c r="K37" s="146">
        <f t="shared" si="9"/>
        <v>6.409080347681293</v>
      </c>
      <c r="L37" s="146">
        <f t="shared" si="9"/>
        <v>6.5572518136152977</v>
      </c>
      <c r="M37" s="146">
        <f t="shared" si="9"/>
        <v>6.6527659312297072</v>
      </c>
      <c r="N37" s="146">
        <f>N21+N28</f>
        <v>5.6657313453778491</v>
      </c>
    </row>
    <row r="38" spans="1:14" ht="15">
      <c r="A38" s="483" t="s">
        <v>676</v>
      </c>
      <c r="B38" s="496">
        <f t="shared" ref="B38:G38" si="10">B37*$B44</f>
        <v>137.27043548902842</v>
      </c>
      <c r="C38" s="496">
        <f t="shared" si="10"/>
        <v>284.67057534634006</v>
      </c>
      <c r="D38" s="496">
        <f t="shared" si="10"/>
        <v>199.17484639324874</v>
      </c>
      <c r="E38" s="496">
        <f t="shared" si="10"/>
        <v>149.26323548733001</v>
      </c>
      <c r="F38" s="496">
        <f t="shared" si="10"/>
        <v>204.49528488410624</v>
      </c>
      <c r="G38" s="496">
        <f t="shared" si="10"/>
        <v>183.17696987528103</v>
      </c>
      <c r="H38" s="496">
        <f t="shared" ref="H38:M38" si="11">H37*$B44</f>
        <v>152.86959774007164</v>
      </c>
      <c r="I38" s="496">
        <f t="shared" si="11"/>
        <v>141.59876575006246</v>
      </c>
      <c r="J38" s="496">
        <f t="shared" si="11"/>
        <v>155.24167008708687</v>
      </c>
      <c r="K38" s="496">
        <f t="shared" si="11"/>
        <v>134.59068730130716</v>
      </c>
      <c r="L38" s="496">
        <f t="shared" si="11"/>
        <v>137.70228808592125</v>
      </c>
      <c r="M38" s="496">
        <f t="shared" si="11"/>
        <v>139.70808455582386</v>
      </c>
      <c r="N38" s="496">
        <f>N37*$B44</f>
        <v>118.98035825293483</v>
      </c>
    </row>
    <row r="39" spans="1:14">
      <c r="A39" s="8"/>
    </row>
    <row r="40" spans="1:14" ht="16">
      <c r="A40" s="20" t="s">
        <v>716</v>
      </c>
    </row>
    <row r="41" spans="1:14" ht="16">
      <c r="A41" s="4" t="s">
        <v>764</v>
      </c>
    </row>
    <row r="42" spans="1:14">
      <c r="A42" s="6" t="s">
        <v>511</v>
      </c>
    </row>
    <row r="43" spans="1:14">
      <c r="A43" s="141" t="s">
        <v>718</v>
      </c>
      <c r="B43" s="527">
        <f>1/2000</f>
        <v>5.0000000000000001E-4</v>
      </c>
    </row>
    <row r="44" spans="1:14" ht="15">
      <c r="A44" s="160" t="s">
        <v>876</v>
      </c>
      <c r="B44" s="152">
        <v>21</v>
      </c>
    </row>
    <row r="45" spans="1:14">
      <c r="A45" s="10" t="s">
        <v>312</v>
      </c>
      <c r="B45" s="9">
        <f>((12.011+32)/12.011)</f>
        <v>3.6642244609108316</v>
      </c>
    </row>
    <row r="47" spans="1:14">
      <c r="A47" s="6" t="s">
        <v>712</v>
      </c>
    </row>
    <row r="48" spans="1:14" ht="15">
      <c r="A48" s="160" t="s">
        <v>907</v>
      </c>
      <c r="B48" s="528">
        <f>(B33*B$45)/B$44</f>
        <v>4.7111457354567843E-2</v>
      </c>
    </row>
    <row r="49" spans="1:2" ht="15">
      <c r="A49" s="160" t="s">
        <v>789</v>
      </c>
      <c r="B49" s="528">
        <f>(B34*B$45)/B$44</f>
        <v>1.221408153636944E-2</v>
      </c>
    </row>
    <row r="50" spans="1:2" ht="15">
      <c r="A50" s="160" t="s">
        <v>683</v>
      </c>
      <c r="B50" s="528">
        <f>(B35*B$45)/B$44</f>
        <v>6.9794751636396797E-3</v>
      </c>
    </row>
  </sheetData>
  <mergeCells count="3">
    <mergeCell ref="A1:F1"/>
    <mergeCell ref="A7:F7"/>
    <mergeCell ref="G1:M1"/>
  </mergeCells>
  <phoneticPr fontId="3" type="noConversion"/>
  <pageMargins left="0.5" right="0.5" top="0.5" bottom="0.5" header="0.5" footer="0.5"/>
  <pageSetup orientation="portrait"/>
  <headerFooter alignWithMargins="0"/>
  <drawing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S53"/>
  <sheetViews>
    <sheetView topLeftCell="N1" zoomScaleNormal="100" workbookViewId="0">
      <selection activeCell="L30" sqref="L30"/>
    </sheetView>
  </sheetViews>
  <sheetFormatPr baseColWidth="10" defaultColWidth="8.83203125" defaultRowHeight="13"/>
  <cols>
    <col min="1" max="1" width="31.1640625" customWidth="1"/>
    <col min="3" max="3" width="8.1640625" customWidth="1"/>
    <col min="4" max="4" width="8.33203125" customWidth="1"/>
    <col min="5" max="5" width="7.6640625" customWidth="1"/>
    <col min="6" max="6" width="8" customWidth="1"/>
    <col min="7" max="7" width="8.5" customWidth="1"/>
    <col min="8" max="8" width="9.83203125" customWidth="1"/>
    <col min="10" max="10" width="11" customWidth="1"/>
    <col min="13" max="13" width="10" customWidth="1"/>
  </cols>
  <sheetData>
    <row r="1" spans="1:19" ht="27.75" customHeight="1">
      <c r="A1" s="886" t="s">
        <v>775</v>
      </c>
      <c r="B1" s="886"/>
      <c r="C1" s="886"/>
      <c r="D1" s="886"/>
      <c r="E1" s="886"/>
      <c r="F1" s="886"/>
      <c r="G1" s="886"/>
      <c r="H1" s="886"/>
    </row>
    <row r="2" spans="1:19" s="2" customFormat="1" ht="12.75" customHeight="1">
      <c r="A2" s="856" t="s">
        <v>634</v>
      </c>
      <c r="B2" s="856"/>
      <c r="C2" s="856"/>
      <c r="D2" s="856"/>
      <c r="E2" s="856"/>
      <c r="F2" s="856"/>
      <c r="G2" s="856"/>
      <c r="H2" s="856"/>
    </row>
    <row r="3" spans="1:19">
      <c r="A3" s="203" t="s">
        <v>149</v>
      </c>
      <c r="B3" s="203" t="s">
        <v>362</v>
      </c>
      <c r="C3" s="203"/>
      <c r="D3" s="203"/>
      <c r="E3" s="203"/>
      <c r="F3" s="203"/>
      <c r="G3" s="203"/>
      <c r="H3" s="203"/>
    </row>
    <row r="4" spans="1:19">
      <c r="A4" s="203"/>
      <c r="B4" s="203" t="s">
        <v>363</v>
      </c>
      <c r="C4" s="203"/>
      <c r="D4" s="22"/>
      <c r="E4" s="22"/>
      <c r="F4" s="22"/>
      <c r="G4" s="22"/>
      <c r="H4" s="203"/>
    </row>
    <row r="5" spans="1:19">
      <c r="A5" s="203"/>
      <c r="B5" s="203" t="s">
        <v>662</v>
      </c>
      <c r="C5" s="203"/>
      <c r="D5" s="204"/>
      <c r="E5" s="204"/>
      <c r="F5" s="204"/>
      <c r="G5" s="205"/>
      <c r="H5" s="203"/>
    </row>
    <row r="6" spans="1:19">
      <c r="A6" s="203"/>
      <c r="B6" s="203"/>
      <c r="C6" s="203"/>
      <c r="D6" s="203"/>
      <c r="E6" s="203"/>
      <c r="F6" s="203"/>
      <c r="G6" s="203"/>
      <c r="H6" s="203"/>
    </row>
    <row r="7" spans="1:19" ht="26.25" customHeight="1">
      <c r="A7" s="844" t="s">
        <v>47</v>
      </c>
      <c r="B7" s="844"/>
      <c r="C7" s="844"/>
      <c r="D7" s="844"/>
      <c r="E7" s="844"/>
      <c r="F7" s="844"/>
      <c r="G7" s="844"/>
      <c r="H7" s="844"/>
    </row>
    <row r="8" spans="1:19">
      <c r="A8" s="37"/>
    </row>
    <row r="9" spans="1:19" ht="17">
      <c r="A9" s="147" t="s">
        <v>764</v>
      </c>
    </row>
    <row r="10" spans="1:19">
      <c r="A10" s="206" t="s">
        <v>718</v>
      </c>
      <c r="B10" s="887" t="s">
        <v>620</v>
      </c>
      <c r="C10" s="887"/>
      <c r="D10" s="203"/>
      <c r="E10" s="203"/>
      <c r="F10" s="203"/>
      <c r="G10" s="203"/>
      <c r="H10" s="203"/>
    </row>
    <row r="11" spans="1:19" ht="15">
      <c r="A11" s="203" t="s">
        <v>48</v>
      </c>
      <c r="B11" s="203" t="s">
        <v>916</v>
      </c>
      <c r="C11" s="203"/>
      <c r="D11" s="203"/>
      <c r="E11" s="206"/>
      <c r="F11" s="206"/>
      <c r="G11" s="206"/>
      <c r="H11" s="206"/>
      <c r="I11" s="29"/>
      <c r="J11" s="29"/>
      <c r="K11" s="29"/>
      <c r="L11" s="29"/>
      <c r="M11" s="29"/>
      <c r="N11" s="29"/>
      <c r="O11" s="29"/>
      <c r="P11" s="29"/>
      <c r="Q11" s="29"/>
      <c r="R11" s="29"/>
      <c r="S11" s="29"/>
    </row>
    <row r="12" spans="1:19">
      <c r="B12" s="203" t="s">
        <v>831</v>
      </c>
      <c r="C12" s="203"/>
      <c r="D12" s="203"/>
      <c r="E12" s="206"/>
      <c r="F12" s="206"/>
      <c r="G12" s="206"/>
      <c r="H12" s="206"/>
      <c r="I12" s="29"/>
      <c r="J12" s="29"/>
      <c r="K12" s="29"/>
      <c r="L12" s="29"/>
      <c r="M12" s="29"/>
    </row>
    <row r="13" spans="1:19">
      <c r="B13" s="203" t="s">
        <v>832</v>
      </c>
      <c r="C13" s="203"/>
      <c r="D13" s="203"/>
      <c r="E13" s="203"/>
      <c r="F13" s="203"/>
      <c r="G13" s="203"/>
      <c r="H13" s="203"/>
    </row>
    <row r="14" spans="1:19" ht="15">
      <c r="A14" s="203" t="s">
        <v>249</v>
      </c>
      <c r="B14" s="203" t="s">
        <v>841</v>
      </c>
      <c r="C14" s="203"/>
      <c r="D14" s="203"/>
      <c r="E14" s="203"/>
      <c r="F14" s="203"/>
      <c r="G14" s="203"/>
      <c r="H14" s="203"/>
    </row>
    <row r="15" spans="1:19" ht="15">
      <c r="A15" s="203" t="s">
        <v>246</v>
      </c>
      <c r="B15" s="203" t="s">
        <v>841</v>
      </c>
      <c r="C15" s="203"/>
      <c r="D15" s="203"/>
      <c r="E15" s="203"/>
      <c r="F15" s="203"/>
      <c r="G15" s="203"/>
      <c r="H15" s="203"/>
    </row>
    <row r="16" spans="1:19">
      <c r="A16" s="203" t="s">
        <v>312</v>
      </c>
      <c r="B16" s="885" t="s">
        <v>380</v>
      </c>
      <c r="C16" s="885"/>
      <c r="D16" s="885"/>
      <c r="E16" s="885"/>
      <c r="F16" s="885"/>
      <c r="G16" s="885"/>
      <c r="H16" s="885"/>
    </row>
    <row r="17" spans="1:17">
      <c r="A17" s="203"/>
      <c r="B17" s="885"/>
      <c r="C17" s="885"/>
      <c r="D17" s="885"/>
      <c r="E17" s="885"/>
      <c r="F17" s="885"/>
      <c r="G17" s="885"/>
      <c r="H17" s="885"/>
    </row>
    <row r="18" spans="1:17" ht="15.75" customHeight="1">
      <c r="A18" s="203" t="s">
        <v>137</v>
      </c>
      <c r="B18" s="885" t="s">
        <v>531</v>
      </c>
      <c r="C18" s="885"/>
      <c r="D18" s="885"/>
      <c r="E18" s="885"/>
      <c r="F18" s="885"/>
      <c r="G18" s="885"/>
      <c r="H18" s="885"/>
      <c r="K18" s="842"/>
      <c r="L18" s="842"/>
      <c r="M18" s="842"/>
      <c r="N18" s="842"/>
      <c r="O18" s="842"/>
      <c r="P18" s="842"/>
      <c r="Q18" s="842"/>
    </row>
    <row r="19" spans="1:17">
      <c r="A19" s="207"/>
      <c r="B19" s="885"/>
      <c r="C19" s="885"/>
      <c r="D19" s="885"/>
      <c r="E19" s="885"/>
      <c r="F19" s="885"/>
      <c r="G19" s="885"/>
      <c r="H19" s="885"/>
      <c r="K19" s="842"/>
      <c r="L19" s="842"/>
      <c r="M19" s="842"/>
      <c r="N19" s="842"/>
      <c r="O19" s="842"/>
      <c r="P19" s="842"/>
      <c r="Q19" s="842"/>
    </row>
    <row r="20" spans="1:17">
      <c r="A20" s="207"/>
      <c r="B20" s="885"/>
      <c r="C20" s="885"/>
      <c r="D20" s="885"/>
      <c r="E20" s="885"/>
      <c r="F20" s="885"/>
      <c r="G20" s="885"/>
      <c r="H20" s="885"/>
      <c r="K20" s="842"/>
      <c r="L20" s="842"/>
      <c r="M20" s="842"/>
      <c r="N20" s="842"/>
      <c r="O20" s="842"/>
      <c r="P20" s="842"/>
      <c r="Q20" s="842"/>
    </row>
    <row r="21" spans="1:17">
      <c r="A21" s="37"/>
      <c r="B21" s="116"/>
      <c r="C21" s="116"/>
      <c r="D21" s="116"/>
      <c r="E21" s="116"/>
      <c r="F21" s="116"/>
      <c r="G21" s="116"/>
      <c r="H21" s="116"/>
    </row>
    <row r="22" spans="1:17" ht="16">
      <c r="A22" s="85" t="s">
        <v>762</v>
      </c>
    </row>
    <row r="23" spans="1:17">
      <c r="A23" s="10"/>
    </row>
    <row r="24" spans="1:17">
      <c r="A24" s="6" t="s">
        <v>628</v>
      </c>
      <c r="B24" s="6" t="s">
        <v>411</v>
      </c>
    </row>
    <row r="25" spans="1:17" s="126" customFormat="1">
      <c r="A25" s="91" t="s">
        <v>698</v>
      </c>
      <c r="B25" s="861" t="s">
        <v>316</v>
      </c>
      <c r="C25" s="861"/>
      <c r="D25" s="861"/>
      <c r="E25" s="861"/>
      <c r="F25" s="861"/>
      <c r="G25" s="861"/>
      <c r="H25" s="861"/>
    </row>
    <row r="26" spans="1:17" s="126" customFormat="1">
      <c r="A26" s="91"/>
      <c r="B26" s="861"/>
      <c r="C26" s="861"/>
      <c r="D26" s="861"/>
      <c r="E26" s="861"/>
      <c r="F26" s="861"/>
      <c r="G26" s="861"/>
      <c r="H26" s="861"/>
    </row>
    <row r="27" spans="1:17" s="126" customFormat="1">
      <c r="A27" s="91" t="s">
        <v>418</v>
      </c>
      <c r="B27" s="91" t="s">
        <v>816</v>
      </c>
      <c r="C27" s="91"/>
      <c r="D27" s="91"/>
      <c r="E27" s="91"/>
      <c r="F27" s="91"/>
      <c r="G27" s="91"/>
      <c r="H27" s="91"/>
    </row>
    <row r="28" spans="1:17" s="126" customFormat="1">
      <c r="A28" s="91" t="s">
        <v>980</v>
      </c>
      <c r="B28" s="91" t="s">
        <v>816</v>
      </c>
      <c r="C28" s="91"/>
      <c r="D28" s="91"/>
      <c r="E28" s="91"/>
      <c r="F28" s="91"/>
      <c r="G28" s="91"/>
      <c r="H28" s="91"/>
    </row>
    <row r="29" spans="1:17" s="29" customFormat="1">
      <c r="A29" s="60" t="s">
        <v>981</v>
      </c>
    </row>
    <row r="30" spans="1:17" s="29" customFormat="1" ht="12.75" customHeight="1">
      <c r="A30" s="91" t="s">
        <v>741</v>
      </c>
      <c r="B30" s="841" t="s">
        <v>626</v>
      </c>
      <c r="C30" s="841"/>
      <c r="D30" s="841"/>
      <c r="E30" s="841"/>
      <c r="F30" s="841"/>
      <c r="G30" s="841"/>
      <c r="H30" s="841"/>
    </row>
    <row r="31" spans="1:17" s="29" customFormat="1" ht="12.75" customHeight="1">
      <c r="A31" s="91"/>
      <c r="B31" s="841"/>
      <c r="C31" s="841"/>
      <c r="D31" s="841"/>
      <c r="E31" s="841"/>
      <c r="F31" s="841"/>
      <c r="G31" s="841"/>
      <c r="H31" s="841"/>
      <c r="I31" s="47" t="s">
        <v>1036</v>
      </c>
    </row>
    <row r="32" spans="1:17" s="29" customFormat="1" ht="13.5" customHeight="1">
      <c r="A32" s="91"/>
      <c r="B32" s="841"/>
      <c r="C32" s="841"/>
      <c r="D32" s="841"/>
      <c r="E32" s="841"/>
      <c r="F32" s="841"/>
      <c r="G32" s="841"/>
      <c r="H32" s="841"/>
    </row>
    <row r="33" spans="1:9" s="29" customFormat="1" hidden="1">
      <c r="A33" s="91"/>
      <c r="B33" s="841"/>
      <c r="C33" s="841"/>
      <c r="D33" s="841"/>
      <c r="E33" s="841"/>
      <c r="F33" s="841"/>
      <c r="G33" s="841"/>
      <c r="H33" s="841"/>
    </row>
    <row r="34" spans="1:9" s="29" customFormat="1" ht="16.5" customHeight="1">
      <c r="A34" s="91" t="s">
        <v>360</v>
      </c>
      <c r="B34" s="841" t="s">
        <v>317</v>
      </c>
      <c r="C34" s="841"/>
      <c r="D34" s="838"/>
      <c r="E34" s="838"/>
      <c r="F34" s="838"/>
      <c r="G34" s="838"/>
      <c r="H34" s="838"/>
      <c r="I34" s="47" t="s">
        <v>1037</v>
      </c>
    </row>
    <row r="35" spans="1:9" s="29" customFormat="1" ht="12.75" customHeight="1">
      <c r="A35" s="91" t="s">
        <v>845</v>
      </c>
      <c r="B35" s="841" t="s">
        <v>317</v>
      </c>
      <c r="C35" s="841"/>
      <c r="D35" s="148"/>
      <c r="E35" s="148"/>
      <c r="F35" s="148"/>
      <c r="G35" s="148"/>
      <c r="H35" s="148"/>
      <c r="I35" s="47" t="s">
        <v>1037</v>
      </c>
    </row>
    <row r="36" spans="1:9" s="29" customFormat="1">
      <c r="A36" s="66"/>
    </row>
    <row r="37" spans="1:9" s="29" customFormat="1">
      <c r="A37" s="60" t="s">
        <v>865</v>
      </c>
    </row>
    <row r="38" spans="1:9" s="29" customFormat="1" ht="12.75" customHeight="1">
      <c r="A38" s="91" t="s">
        <v>741</v>
      </c>
      <c r="B38" s="841" t="s">
        <v>784</v>
      </c>
      <c r="C38" s="841"/>
      <c r="D38" s="841"/>
      <c r="E38" s="841"/>
      <c r="F38" s="841"/>
      <c r="G38" s="841"/>
      <c r="H38" s="841"/>
      <c r="I38" s="47" t="s">
        <v>1036</v>
      </c>
    </row>
    <row r="39" spans="1:9" s="29" customFormat="1">
      <c r="A39" s="91"/>
      <c r="B39" s="841"/>
      <c r="C39" s="841"/>
      <c r="D39" s="841"/>
      <c r="E39" s="841"/>
      <c r="F39" s="841"/>
      <c r="G39" s="841"/>
      <c r="H39" s="841"/>
    </row>
    <row r="40" spans="1:9" s="29" customFormat="1">
      <c r="A40" s="91"/>
      <c r="B40" s="841"/>
      <c r="C40" s="841"/>
      <c r="D40" s="841"/>
      <c r="E40" s="841"/>
      <c r="F40" s="841"/>
      <c r="G40" s="841"/>
      <c r="H40" s="841"/>
    </row>
    <row r="41" spans="1:9" s="29" customFormat="1">
      <c r="A41" s="91"/>
      <c r="B41" s="841"/>
      <c r="C41" s="841"/>
      <c r="D41" s="841"/>
      <c r="E41" s="841"/>
      <c r="F41" s="841"/>
      <c r="G41" s="841"/>
      <c r="H41" s="841"/>
    </row>
    <row r="42" spans="1:9" s="29" customFormat="1">
      <c r="A42" s="91"/>
      <c r="B42" s="841"/>
      <c r="C42" s="841"/>
      <c r="D42" s="841"/>
      <c r="E42" s="841"/>
      <c r="F42" s="841"/>
      <c r="G42" s="841"/>
      <c r="H42" s="841"/>
    </row>
    <row r="43" spans="1:9" s="29" customFormat="1">
      <c r="A43" s="91"/>
      <c r="B43" s="841"/>
      <c r="C43" s="841"/>
      <c r="D43" s="841"/>
      <c r="E43" s="841"/>
      <c r="F43" s="841"/>
      <c r="G43" s="841"/>
      <c r="H43" s="841"/>
    </row>
    <row r="44" spans="1:9" s="29" customFormat="1" ht="15.75" customHeight="1">
      <c r="A44" s="91" t="s">
        <v>360</v>
      </c>
      <c r="B44" s="841" t="s">
        <v>317</v>
      </c>
      <c r="C44" s="841"/>
      <c r="D44" s="841"/>
      <c r="E44" s="148"/>
      <c r="F44" s="148"/>
      <c r="G44" s="148"/>
      <c r="H44" s="148"/>
      <c r="I44" s="29" t="s">
        <v>1037</v>
      </c>
    </row>
    <row r="45" spans="1:9" s="29" customFormat="1" ht="12.75" customHeight="1">
      <c r="A45" s="91" t="s">
        <v>845</v>
      </c>
      <c r="B45" s="841" t="s">
        <v>317</v>
      </c>
      <c r="C45" s="841"/>
      <c r="D45" s="841"/>
      <c r="E45" s="143"/>
      <c r="F45" s="143"/>
      <c r="G45" s="143"/>
      <c r="H45" s="143"/>
      <c r="I45" s="29" t="s">
        <v>1037</v>
      </c>
    </row>
    <row r="46" spans="1:9" ht="12" customHeight="1">
      <c r="A46" s="10"/>
    </row>
    <row r="47" spans="1:9">
      <c r="A47" s="50"/>
    </row>
    <row r="48" spans="1:9" ht="16">
      <c r="A48" s="12"/>
    </row>
    <row r="49" spans="1:1" ht="16">
      <c r="A49" s="21"/>
    </row>
    <row r="50" spans="1:1" ht="16">
      <c r="A50" s="12"/>
    </row>
    <row r="51" spans="1:1" ht="16">
      <c r="A51" s="12"/>
    </row>
    <row r="52" spans="1:1" ht="16">
      <c r="A52" s="20"/>
    </row>
    <row r="53" spans="1:1" ht="16">
      <c r="A53" s="21"/>
    </row>
  </sheetData>
  <mergeCells count="14">
    <mergeCell ref="B16:H17"/>
    <mergeCell ref="B18:H20"/>
    <mergeCell ref="A1:H1"/>
    <mergeCell ref="A2:H2"/>
    <mergeCell ref="A7:H7"/>
    <mergeCell ref="B10:C10"/>
    <mergeCell ref="B45:D45"/>
    <mergeCell ref="B38:H43"/>
    <mergeCell ref="B25:H26"/>
    <mergeCell ref="B30:H33"/>
    <mergeCell ref="K18:Q20"/>
    <mergeCell ref="B34:H34"/>
    <mergeCell ref="B44:D44"/>
    <mergeCell ref="B35:C35"/>
  </mergeCells>
  <phoneticPr fontId="3" type="noConversion"/>
  <pageMargins left="0.5" right="0.5" top="0.5" bottom="0.5" header="0.5" footer="0.5"/>
  <pageSetup orientation="portrait" horizontalDpi="4294967293" verticalDpi="4294967293"/>
  <headerFooter alignWithMargins="0"/>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1"/>
  <sheetViews>
    <sheetView view="pageLayout" topLeftCell="A12" zoomScaleNormal="100" workbookViewId="0">
      <selection activeCell="B14" sqref="B14"/>
    </sheetView>
  </sheetViews>
  <sheetFormatPr baseColWidth="10" defaultColWidth="11.5" defaultRowHeight="13"/>
  <cols>
    <col min="1" max="1" width="30.83203125" customWidth="1"/>
    <col min="6" max="6" width="15.6640625" customWidth="1"/>
    <col min="7" max="7" width="10.1640625" customWidth="1"/>
  </cols>
  <sheetData>
    <row r="1" spans="1:6" ht="18">
      <c r="A1" s="854" t="s">
        <v>288</v>
      </c>
      <c r="B1" s="855"/>
      <c r="C1" s="855"/>
      <c r="D1" s="855"/>
      <c r="E1" s="855"/>
      <c r="F1" s="855"/>
    </row>
    <row r="2" spans="1:6">
      <c r="A2" s="856" t="s">
        <v>281</v>
      </c>
      <c r="B2" s="856"/>
      <c r="C2" s="856"/>
      <c r="D2" s="856"/>
      <c r="E2" s="856"/>
      <c r="F2" s="856"/>
    </row>
    <row r="3" spans="1:6">
      <c r="A3" s="76" t="s">
        <v>282</v>
      </c>
      <c r="B3" s="2"/>
      <c r="C3" s="2"/>
      <c r="D3" s="2"/>
      <c r="E3" s="2"/>
      <c r="F3" s="2"/>
    </row>
    <row r="4" spans="1:6">
      <c r="A4" s="76"/>
      <c r="B4" s="2"/>
      <c r="C4" s="2"/>
      <c r="D4" s="2"/>
      <c r="E4" s="2"/>
      <c r="F4" s="2"/>
    </row>
    <row r="5" spans="1:6">
      <c r="B5" s="10"/>
      <c r="C5" s="10"/>
    </row>
    <row r="6" spans="1:6">
      <c r="A6" s="119" t="s">
        <v>236</v>
      </c>
    </row>
    <row r="7" spans="1:6">
      <c r="A7" s="26" t="s">
        <v>237</v>
      </c>
      <c r="B7" s="888" t="s">
        <v>915</v>
      </c>
      <c r="C7" s="888"/>
      <c r="D7" s="888"/>
      <c r="E7" s="888"/>
      <c r="F7" s="888"/>
    </row>
    <row r="8" spans="1:6">
      <c r="A8" s="407"/>
      <c r="B8" s="26" t="s">
        <v>183</v>
      </c>
      <c r="C8" s="26"/>
      <c r="D8" s="26"/>
      <c r="E8" s="26"/>
      <c r="F8" s="26"/>
    </row>
    <row r="9" spans="1:6">
      <c r="A9" s="26"/>
      <c r="B9" s="26" t="s">
        <v>163</v>
      </c>
      <c r="C9" s="26"/>
      <c r="D9" s="26"/>
      <c r="E9" s="26"/>
      <c r="F9" s="26"/>
    </row>
    <row r="10" spans="1:6">
      <c r="A10" s="29"/>
      <c r="B10" s="29"/>
      <c r="C10" s="29"/>
      <c r="D10" s="29"/>
      <c r="E10" s="29"/>
      <c r="F10" s="29"/>
    </row>
    <row r="11" spans="1:6">
      <c r="A11" s="119" t="s">
        <v>287</v>
      </c>
    </row>
    <row r="12" spans="1:6">
      <c r="A12" s="26" t="s">
        <v>235</v>
      </c>
      <c r="B12" s="26" t="s">
        <v>305</v>
      </c>
      <c r="C12" s="26"/>
      <c r="D12" s="26"/>
      <c r="E12" s="26"/>
      <c r="F12" s="26"/>
    </row>
    <row r="13" spans="1:6">
      <c r="A13" s="26" t="s">
        <v>158</v>
      </c>
      <c r="B13" s="26" t="s">
        <v>841</v>
      </c>
      <c r="C13" s="26"/>
      <c r="D13" s="26"/>
      <c r="E13" s="26"/>
      <c r="F13" s="26"/>
    </row>
    <row r="14" spans="1:6">
      <c r="A14" s="26" t="s">
        <v>250</v>
      </c>
      <c r="B14" s="26" t="s">
        <v>181</v>
      </c>
      <c r="C14" s="26"/>
      <c r="D14" s="26"/>
      <c r="E14" s="26"/>
      <c r="F14" s="26"/>
    </row>
    <row r="16" spans="1:6">
      <c r="A16" s="119" t="s">
        <v>238</v>
      </c>
    </row>
    <row r="17" spans="1:6">
      <c r="A17" s="26" t="s">
        <v>239</v>
      </c>
      <c r="B17" s="26" t="s">
        <v>305</v>
      </c>
      <c r="C17" s="26"/>
      <c r="D17" s="26"/>
      <c r="E17" s="26"/>
      <c r="F17" s="26"/>
    </row>
    <row r="18" spans="1:6">
      <c r="A18" s="26" t="s">
        <v>160</v>
      </c>
      <c r="B18" s="26" t="s">
        <v>305</v>
      </c>
      <c r="C18" s="26"/>
      <c r="D18" s="26"/>
      <c r="E18" s="26"/>
      <c r="F18" s="26"/>
    </row>
    <row r="21" spans="1:6">
      <c r="A21" s="119" t="s">
        <v>105</v>
      </c>
    </row>
    <row r="22" spans="1:6">
      <c r="A22" s="26" t="s">
        <v>671</v>
      </c>
      <c r="B22" s="888" t="s">
        <v>915</v>
      </c>
      <c r="C22" s="888"/>
      <c r="D22" s="888"/>
      <c r="E22" s="888"/>
      <c r="F22" s="888"/>
    </row>
    <row r="23" spans="1:6">
      <c r="A23" s="26"/>
      <c r="B23" s="26" t="s">
        <v>162</v>
      </c>
      <c r="C23" s="26"/>
      <c r="D23" s="26"/>
      <c r="E23" s="26"/>
      <c r="F23" s="26"/>
    </row>
    <row r="24" spans="1:6">
      <c r="A24" s="26"/>
      <c r="B24" s="26" t="s">
        <v>163</v>
      </c>
      <c r="C24" s="26"/>
      <c r="D24" s="26"/>
      <c r="E24" s="26"/>
      <c r="F24" s="26"/>
    </row>
    <row r="25" spans="1:6">
      <c r="A25" s="26" t="s">
        <v>320</v>
      </c>
      <c r="B25" s="888" t="s">
        <v>841</v>
      </c>
      <c r="C25" s="888"/>
      <c r="D25" s="888"/>
      <c r="E25" s="888"/>
      <c r="F25" s="888"/>
    </row>
    <row r="26" spans="1:6">
      <c r="A26" s="70"/>
      <c r="B26" s="29"/>
      <c r="C26" s="29"/>
      <c r="D26" s="29"/>
      <c r="E26" s="29"/>
      <c r="F26" s="29"/>
    </row>
    <row r="27" spans="1:6">
      <c r="A27" s="391" t="s">
        <v>873</v>
      </c>
      <c r="B27" s="29"/>
      <c r="C27" s="29"/>
      <c r="D27" s="29"/>
      <c r="E27" s="29"/>
      <c r="F27" s="29"/>
    </row>
    <row r="28" spans="1:6">
      <c r="A28" s="91" t="s">
        <v>854</v>
      </c>
      <c r="B28" s="888" t="s">
        <v>915</v>
      </c>
      <c r="C28" s="888"/>
      <c r="D28" s="888"/>
      <c r="E28" s="888"/>
      <c r="F28" s="888"/>
    </row>
    <row r="29" spans="1:6">
      <c r="A29" s="26"/>
      <c r="B29" s="26" t="s">
        <v>183</v>
      </c>
      <c r="C29" s="26"/>
      <c r="D29" s="26"/>
      <c r="E29" s="26"/>
      <c r="F29" s="26"/>
    </row>
    <row r="30" spans="1:6">
      <c r="A30" s="26"/>
      <c r="B30" s="26" t="s">
        <v>163</v>
      </c>
      <c r="C30" s="26"/>
      <c r="D30" s="26"/>
      <c r="E30" s="26"/>
      <c r="F30" s="26"/>
    </row>
    <row r="31" spans="1:6">
      <c r="A31" s="91" t="s">
        <v>855</v>
      </c>
      <c r="B31" s="26" t="s">
        <v>841</v>
      </c>
      <c r="C31" s="26"/>
      <c r="D31" s="26"/>
      <c r="E31" s="26"/>
      <c r="F31" s="26"/>
    </row>
  </sheetData>
  <mergeCells count="6">
    <mergeCell ref="A1:F1"/>
    <mergeCell ref="A2:F2"/>
    <mergeCell ref="B28:F28"/>
    <mergeCell ref="B25:F25"/>
    <mergeCell ref="B22:F22"/>
    <mergeCell ref="B7:F7"/>
  </mergeCells>
  <phoneticPr fontId="54" type="noConversion"/>
  <pageMargins left="0.75" right="0.75" top="1" bottom="1" header="0.5" footer="0.5"/>
  <pageSetup orientation="landscape" horizontalDpi="4294967292" verticalDpi="4294967292"/>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25"/>
  <sheetViews>
    <sheetView tabSelected="1" topLeftCell="J26" workbookViewId="0">
      <selection activeCell="O53" sqref="O53"/>
    </sheetView>
  </sheetViews>
  <sheetFormatPr baseColWidth="10" defaultRowHeight="13"/>
  <cols>
    <col min="1" max="1" width="49" style="24" customWidth="1"/>
    <col min="2" max="14" width="13.5" style="926" customWidth="1"/>
    <col min="15" max="15" width="35.1640625" style="926" customWidth="1"/>
    <col min="16" max="16" width="105.33203125" customWidth="1"/>
  </cols>
  <sheetData>
    <row r="1" spans="1:16" s="909" customFormat="1">
      <c r="A1" s="920" t="s">
        <v>1307</v>
      </c>
      <c r="B1" s="920"/>
      <c r="C1" s="920"/>
      <c r="D1" s="920"/>
      <c r="E1" s="920"/>
      <c r="F1" s="920"/>
      <c r="G1" s="920"/>
      <c r="H1" s="920"/>
      <c r="I1" s="920"/>
      <c r="J1" s="920"/>
      <c r="K1" s="920"/>
      <c r="L1" s="920"/>
      <c r="M1" s="920"/>
      <c r="N1" s="920"/>
      <c r="O1" s="920"/>
    </row>
    <row r="2" spans="1:16" s="910" customFormat="1" ht="50" customHeight="1">
      <c r="A2" s="937"/>
      <c r="B2" s="937" t="s">
        <v>847</v>
      </c>
      <c r="C2" s="937" t="s">
        <v>848</v>
      </c>
      <c r="D2" s="937" t="s">
        <v>849</v>
      </c>
      <c r="E2" s="937" t="s">
        <v>892</v>
      </c>
      <c r="F2" s="937" t="s">
        <v>953</v>
      </c>
      <c r="G2" s="937" t="s">
        <v>998</v>
      </c>
      <c r="H2" s="937" t="s">
        <v>956</v>
      </c>
      <c r="I2" s="937" t="s">
        <v>1124</v>
      </c>
      <c r="J2" s="937" t="s">
        <v>1135</v>
      </c>
      <c r="K2" s="937" t="s">
        <v>1373</v>
      </c>
      <c r="L2" s="937" t="s">
        <v>1251</v>
      </c>
      <c r="M2" s="937" t="s">
        <v>1261</v>
      </c>
      <c r="N2" s="937" t="s">
        <v>1279</v>
      </c>
      <c r="O2" s="921" t="s">
        <v>1308</v>
      </c>
      <c r="P2" s="910" t="s">
        <v>1375</v>
      </c>
    </row>
    <row r="3" spans="1:16" s="916" customFormat="1">
      <c r="A3" s="937" t="s">
        <v>411</v>
      </c>
      <c r="B3" s="937"/>
      <c r="C3" s="937"/>
      <c r="D3" s="937"/>
      <c r="E3" s="937"/>
      <c r="F3" s="937"/>
      <c r="G3" s="937"/>
      <c r="H3" s="937"/>
      <c r="I3" s="937"/>
      <c r="J3" s="937"/>
      <c r="K3" s="937"/>
      <c r="L3" s="937"/>
      <c r="M3" s="937"/>
      <c r="N3" s="937"/>
      <c r="O3" s="921"/>
    </row>
    <row r="4" spans="1:16" s="928" customFormat="1">
      <c r="A4" s="938"/>
      <c r="B4" s="939"/>
      <c r="C4" s="939"/>
      <c r="D4" s="939"/>
      <c r="E4" s="939"/>
      <c r="F4" s="939"/>
      <c r="G4" s="939"/>
      <c r="H4" s="939"/>
      <c r="I4" s="939"/>
      <c r="J4" s="939"/>
      <c r="K4" s="939"/>
      <c r="L4" s="939"/>
      <c r="M4" s="939"/>
      <c r="N4" s="939"/>
      <c r="O4" s="927"/>
    </row>
    <row r="5" spans="1:16" s="917" customFormat="1">
      <c r="A5" s="940" t="s">
        <v>1309</v>
      </c>
      <c r="B5" s="940">
        <f>B24</f>
        <v>0</v>
      </c>
      <c r="C5" s="940">
        <f>C24</f>
        <v>0</v>
      </c>
      <c r="D5" s="940">
        <f>D24</f>
        <v>5236.6644707468431</v>
      </c>
      <c r="E5" s="940">
        <f>E24</f>
        <v>22425.681814243631</v>
      </c>
      <c r="F5" s="940">
        <f>F24</f>
        <v>30638.19583975483</v>
      </c>
      <c r="G5" s="940">
        <f>G24</f>
        <v>25686.358445037273</v>
      </c>
      <c r="H5" s="940">
        <f>H24</f>
        <v>33891.455098776874</v>
      </c>
      <c r="I5" s="940">
        <f>I24</f>
        <v>41365.132139491157</v>
      </c>
      <c r="J5" s="940">
        <f>J24</f>
        <v>39669.587708850238</v>
      </c>
      <c r="K5" s="940">
        <f>K24</f>
        <v>31676.924582649139</v>
      </c>
      <c r="L5" s="940">
        <f>L24</f>
        <v>35106.181755593272</v>
      </c>
      <c r="M5" s="940">
        <f>M24</f>
        <v>33202.677956066458</v>
      </c>
      <c r="N5" s="940">
        <f>N24</f>
        <v>34437.967050908075</v>
      </c>
      <c r="O5" s="922"/>
    </row>
    <row r="6" spans="1:16" s="911" customFormat="1">
      <c r="A6" s="940" t="s">
        <v>1310</v>
      </c>
      <c r="B6" s="940">
        <f>B43</f>
        <v>0</v>
      </c>
      <c r="C6" s="940">
        <f>C43</f>
        <v>0</v>
      </c>
      <c r="D6" s="940">
        <f>D43</f>
        <v>32.789780113604166</v>
      </c>
      <c r="E6" s="940">
        <f>E43</f>
        <v>140.35251674795057</v>
      </c>
      <c r="F6" s="940">
        <f>F43</f>
        <v>191.8355359917403</v>
      </c>
      <c r="G6" s="940">
        <f>G43</f>
        <v>160.88443513684291</v>
      </c>
      <c r="H6" s="940">
        <f>H43</f>
        <v>212.06100783751481</v>
      </c>
      <c r="I6" s="940">
        <f>I43</f>
        <v>258.94732893453761</v>
      </c>
      <c r="J6" s="940">
        <f>J43</f>
        <v>248.22169992541475</v>
      </c>
      <c r="K6" s="940">
        <f>K43</f>
        <v>198.27091339721397</v>
      </c>
      <c r="L6" s="940">
        <f>L43</f>
        <v>219.72217141545974</v>
      </c>
      <c r="M6" s="940">
        <f>M43</f>
        <v>207.77075623386568</v>
      </c>
      <c r="N6" s="940">
        <f>N43</f>
        <v>209.60413051774</v>
      </c>
      <c r="O6" s="922"/>
    </row>
    <row r="7" spans="1:16" s="911" customFormat="1">
      <c r="A7" s="940" t="s">
        <v>1311</v>
      </c>
      <c r="B7" s="940">
        <f>B56</f>
        <v>0</v>
      </c>
      <c r="C7" s="940">
        <f>C56</f>
        <v>0</v>
      </c>
      <c r="D7" s="940">
        <f>D56</f>
        <v>-8979.0516942476388</v>
      </c>
      <c r="E7" s="940">
        <f>E56</f>
        <v>-38452.216561456524</v>
      </c>
      <c r="F7" s="940">
        <f>F56</f>
        <v>-52533.811513115143</v>
      </c>
      <c r="G7" s="940">
        <f>G56</f>
        <v>-44043.138834531957</v>
      </c>
      <c r="H7" s="940">
        <f>H56</f>
        <v>-58112.015582657652</v>
      </c>
      <c r="I7" s="940">
        <f>I56</f>
        <v>-70926.762998604783</v>
      </c>
      <c r="J7" s="940">
        <f>J56</f>
        <v>-68019.496134809087</v>
      </c>
      <c r="K7" s="940">
        <f>K56</f>
        <v>-54314.868735866461</v>
      </c>
      <c r="L7" s="940">
        <f>L56</f>
        <v>-60194.847795197609</v>
      </c>
      <c r="M7" s="940">
        <f>M56</f>
        <v>-56931.003202589898</v>
      </c>
      <c r="N7" s="940">
        <f>N56</f>
        <v>-59049.092818963836</v>
      </c>
      <c r="O7" s="922"/>
    </row>
    <row r="8" spans="1:16" s="930" customFormat="1">
      <c r="A8" s="941" t="s">
        <v>1312</v>
      </c>
      <c r="B8" s="941">
        <f>B5+B6+B7</f>
        <v>0</v>
      </c>
      <c r="C8" s="941">
        <f>C5+C6+C7</f>
        <v>0</v>
      </c>
      <c r="D8" s="941">
        <f>D5+D6+D7</f>
        <v>-3709.5974433871916</v>
      </c>
      <c r="E8" s="941">
        <f>E5+E6+E7</f>
        <v>-15886.182230464943</v>
      </c>
      <c r="F8" s="941">
        <f>F5+F6+F7</f>
        <v>-21703.780137368572</v>
      </c>
      <c r="G8" s="941">
        <f>G5+G6+G7</f>
        <v>-18195.895954357842</v>
      </c>
      <c r="H8" s="941">
        <f>H5+H6+H7</f>
        <v>-24008.49947604326</v>
      </c>
      <c r="I8" s="941">
        <f>I5+I6+I7</f>
        <v>-29302.683530179085</v>
      </c>
      <c r="J8" s="941">
        <f>J5+J6+J7</f>
        <v>-28101.686726033433</v>
      </c>
      <c r="K8" s="941">
        <f>K5+K6+K7</f>
        <v>-22439.673239820109</v>
      </c>
      <c r="L8" s="941">
        <f>L5+L6+L7</f>
        <v>-24868.943868188879</v>
      </c>
      <c r="M8" s="941">
        <f>M5+M6+M7</f>
        <v>-23520.554490289571</v>
      </c>
      <c r="N8" s="941">
        <f>N5+N6+N7</f>
        <v>-24401.521637538019</v>
      </c>
      <c r="O8" s="929"/>
    </row>
    <row r="9" spans="1:16" s="928" customFormat="1">
      <c r="A9" s="938"/>
      <c r="B9" s="939"/>
      <c r="C9" s="939"/>
      <c r="D9" s="939"/>
      <c r="E9" s="939"/>
      <c r="F9" s="939"/>
      <c r="G9" s="939"/>
      <c r="H9" s="939"/>
      <c r="I9" s="939"/>
      <c r="J9" s="939"/>
      <c r="K9" s="939"/>
      <c r="L9" s="939"/>
      <c r="M9" s="939"/>
      <c r="N9" s="939"/>
      <c r="O9" s="927"/>
    </row>
    <row r="10" spans="1:16" s="932" customFormat="1" ht="16">
      <c r="A10" s="942" t="s">
        <v>1313</v>
      </c>
      <c r="B10" s="943"/>
      <c r="C10" s="943"/>
      <c r="D10" s="943"/>
      <c r="E10" s="943"/>
      <c r="F10" s="943"/>
      <c r="G10" s="943"/>
      <c r="H10" s="943"/>
      <c r="I10" s="943"/>
      <c r="J10" s="943"/>
      <c r="K10" s="943"/>
      <c r="L10" s="943"/>
      <c r="M10" s="943"/>
      <c r="N10" s="943"/>
      <c r="O10" s="931"/>
    </row>
    <row r="11" spans="1:16" s="806" customFormat="1">
      <c r="A11" s="944" t="s">
        <v>1314</v>
      </c>
      <c r="B11" s="945">
        <v>0</v>
      </c>
      <c r="C11" s="945">
        <v>0</v>
      </c>
      <c r="D11" s="945">
        <v>3209.090909090909</v>
      </c>
      <c r="E11" s="945">
        <v>13742.727272727272</v>
      </c>
      <c r="F11" s="945">
        <v>18775.454545454544</v>
      </c>
      <c r="G11" s="946">
        <v>15740.90909090909</v>
      </c>
      <c r="H11" s="946">
        <v>20769.090909090908</v>
      </c>
      <c r="I11" s="947">
        <v>25349.05</v>
      </c>
      <c r="J11" s="947">
        <v>24310</v>
      </c>
      <c r="K11" s="946">
        <v>19412</v>
      </c>
      <c r="L11" s="946">
        <v>21513.49</v>
      </c>
      <c r="M11" s="946">
        <v>20347</v>
      </c>
      <c r="N11" s="946">
        <v>21104</v>
      </c>
      <c r="O11" s="923" t="s">
        <v>1315</v>
      </c>
    </row>
    <row r="12" spans="1:16" s="918" customFormat="1">
      <c r="A12" s="944" t="s">
        <v>1316</v>
      </c>
      <c r="B12" s="944">
        <f>ROUND(B11/30,0)</f>
        <v>0</v>
      </c>
      <c r="C12" s="944">
        <f t="shared" ref="C12:M12" si="0">ROUND(C11/30,0)</f>
        <v>0</v>
      </c>
      <c r="D12" s="944">
        <f t="shared" si="0"/>
        <v>107</v>
      </c>
      <c r="E12" s="944">
        <f t="shared" si="0"/>
        <v>458</v>
      </c>
      <c r="F12" s="944">
        <f t="shared" si="0"/>
        <v>626</v>
      </c>
      <c r="G12" s="944">
        <f t="shared" si="0"/>
        <v>525</v>
      </c>
      <c r="H12" s="944">
        <f t="shared" si="0"/>
        <v>692</v>
      </c>
      <c r="I12" s="944">
        <f t="shared" si="0"/>
        <v>845</v>
      </c>
      <c r="J12" s="944">
        <f t="shared" si="0"/>
        <v>810</v>
      </c>
      <c r="K12" s="944">
        <f t="shared" si="0"/>
        <v>647</v>
      </c>
      <c r="L12" s="944">
        <f t="shared" si="0"/>
        <v>717</v>
      </c>
      <c r="M12" s="944">
        <f t="shared" si="0"/>
        <v>678</v>
      </c>
      <c r="N12" s="944">
        <v>684</v>
      </c>
      <c r="O12" s="923" t="s">
        <v>1315</v>
      </c>
      <c r="P12" s="918" t="s">
        <v>1374</v>
      </c>
    </row>
    <row r="13" spans="1:16" s="928" customFormat="1">
      <c r="A13" s="938"/>
      <c r="B13" s="939"/>
      <c r="C13" s="939"/>
      <c r="D13" s="939"/>
      <c r="E13" s="939"/>
      <c r="F13" s="939"/>
      <c r="G13" s="939"/>
      <c r="H13" s="939"/>
      <c r="I13" s="939"/>
      <c r="J13" s="939"/>
      <c r="K13" s="939"/>
      <c r="L13" s="939"/>
      <c r="M13" s="939"/>
      <c r="N13" s="939"/>
      <c r="O13" s="927"/>
    </row>
    <row r="14" spans="1:16" s="934" customFormat="1" ht="16">
      <c r="A14" s="948" t="s">
        <v>1317</v>
      </c>
      <c r="B14" s="949"/>
      <c r="C14" s="949"/>
      <c r="D14" s="949"/>
      <c r="E14" s="949"/>
      <c r="F14" s="949"/>
      <c r="G14" s="949"/>
      <c r="H14" s="949"/>
      <c r="I14" s="949"/>
      <c r="J14" s="949"/>
      <c r="K14" s="949"/>
      <c r="L14" s="949"/>
      <c r="M14" s="949"/>
      <c r="N14" s="949"/>
      <c r="O14" s="933"/>
    </row>
    <row r="15" spans="1:16" s="912" customFormat="1">
      <c r="A15" s="950" t="s">
        <v>1318</v>
      </c>
      <c r="B15" s="950">
        <f>B11</f>
        <v>0</v>
      </c>
      <c r="C15" s="950">
        <f>C11</f>
        <v>0</v>
      </c>
      <c r="D15" s="950">
        <f>D11</f>
        <v>3209.090909090909</v>
      </c>
      <c r="E15" s="950">
        <f>E11</f>
        <v>13742.727272727272</v>
      </c>
      <c r="F15" s="950">
        <f>F11</f>
        <v>18775.454545454544</v>
      </c>
      <c r="G15" s="950">
        <f>G11</f>
        <v>15740.90909090909</v>
      </c>
      <c r="H15" s="950">
        <f>H11</f>
        <v>20769.090909090908</v>
      </c>
      <c r="I15" s="950">
        <f>I11</f>
        <v>25349.05</v>
      </c>
      <c r="J15" s="950">
        <f>J11</f>
        <v>24310</v>
      </c>
      <c r="K15" s="950">
        <f>K11</f>
        <v>19412</v>
      </c>
      <c r="L15" s="950">
        <f>L11</f>
        <v>21513.49</v>
      </c>
      <c r="M15" s="950">
        <f>M11</f>
        <v>20347</v>
      </c>
      <c r="N15" s="950">
        <f>N11</f>
        <v>21104</v>
      </c>
      <c r="O15" s="924" t="s">
        <v>1319</v>
      </c>
    </row>
    <row r="16" spans="1:16" s="912" customFormat="1" ht="16">
      <c r="A16" s="950" t="s">
        <v>1320</v>
      </c>
      <c r="B16" s="950">
        <v>0.48409999999999997</v>
      </c>
      <c r="C16" s="950">
        <v>0.48409999999999997</v>
      </c>
      <c r="D16" s="950">
        <v>0.48409999999999997</v>
      </c>
      <c r="E16" s="950">
        <v>0.48409999999999997</v>
      </c>
      <c r="F16" s="950">
        <v>0.48409999999999997</v>
      </c>
      <c r="G16" s="950">
        <v>0.48409999999999997</v>
      </c>
      <c r="H16" s="950">
        <v>0.48409999999999997</v>
      </c>
      <c r="I16" s="950">
        <v>0.48409999999999997</v>
      </c>
      <c r="J16" s="950">
        <v>0.48409999999999997</v>
      </c>
      <c r="K16" s="950">
        <v>0.48409999999999997</v>
      </c>
      <c r="L16" s="950">
        <v>0.48409999999999997</v>
      </c>
      <c r="M16" s="950">
        <v>0.48409999999999997</v>
      </c>
      <c r="N16" s="950">
        <v>0.48409999999999997</v>
      </c>
      <c r="O16" s="924" t="s">
        <v>1321</v>
      </c>
      <c r="P16" s="913" t="s">
        <v>1322</v>
      </c>
    </row>
    <row r="17" spans="1:16" s="912" customFormat="1">
      <c r="A17" s="950" t="s">
        <v>1323</v>
      </c>
      <c r="B17" s="950">
        <f>B15*B16</f>
        <v>0</v>
      </c>
      <c r="C17" s="950">
        <f>C15*C16</f>
        <v>0</v>
      </c>
      <c r="D17" s="950">
        <f>D15*D16</f>
        <v>1553.5209090909091</v>
      </c>
      <c r="E17" s="950">
        <f>E15*E16</f>
        <v>6652.8542727272725</v>
      </c>
      <c r="F17" s="950">
        <f>F15*F16</f>
        <v>9089.1975454545445</v>
      </c>
      <c r="G17" s="950">
        <f>G15*G16</f>
        <v>7620.1740909090904</v>
      </c>
      <c r="H17" s="950">
        <f>H15*H16</f>
        <v>10054.316909090909</v>
      </c>
      <c r="I17" s="950">
        <f>I15*I16</f>
        <v>12271.475105</v>
      </c>
      <c r="J17" s="950">
        <f>J15*J16</f>
        <v>11768.471</v>
      </c>
      <c r="K17" s="950">
        <f>K15*K16</f>
        <v>9397.3491999999987</v>
      </c>
      <c r="L17" s="950">
        <f>L15*L16</f>
        <v>10414.680509</v>
      </c>
      <c r="M17" s="950">
        <f>M15*M16</f>
        <v>9849.9826999999987</v>
      </c>
      <c r="N17" s="950">
        <f>N15*N16</f>
        <v>10216.446399999999</v>
      </c>
      <c r="O17" s="924"/>
    </row>
    <row r="18" spans="1:16" s="912" customFormat="1">
      <c r="A18" s="950" t="s">
        <v>1324</v>
      </c>
      <c r="B18" s="950">
        <f>B17*0.907185</f>
        <v>0</v>
      </c>
      <c r="C18" s="950">
        <f>C17*0.907185</f>
        <v>0</v>
      </c>
      <c r="D18" s="950">
        <f>D17*0.907185</f>
        <v>1409.3308659136364</v>
      </c>
      <c r="E18" s="950">
        <f>E17*0.907185</f>
        <v>6035.3696034040904</v>
      </c>
      <c r="F18" s="950">
        <f>F17*0.907185</f>
        <v>8245.5836752731811</v>
      </c>
      <c r="G18" s="950">
        <f>G17*0.907185</f>
        <v>6912.9076326613631</v>
      </c>
      <c r="H18" s="950">
        <f>H17*0.907185</f>
        <v>9121.1254851736358</v>
      </c>
      <c r="I18" s="950">
        <f>I17*0.907185</f>
        <v>11132.498143129425</v>
      </c>
      <c r="J18" s="950">
        <f>J17*0.907185</f>
        <v>10676.180364135</v>
      </c>
      <c r="K18" s="950">
        <f>K17*0.907185</f>
        <v>8525.1342340019983</v>
      </c>
      <c r="L18" s="950">
        <f>L17*0.907185</f>
        <v>9448.0419375571655</v>
      </c>
      <c r="M18" s="950">
        <f>M17*0.907185</f>
        <v>8935.7565556994996</v>
      </c>
      <c r="N18" s="950">
        <f>N17*0.907185</f>
        <v>9268.2069273839988</v>
      </c>
      <c r="O18" s="924" t="s">
        <v>1325</v>
      </c>
    </row>
    <row r="19" spans="1:16" s="912" customFormat="1" ht="16">
      <c r="A19" s="950" t="s">
        <v>1326</v>
      </c>
      <c r="B19" s="950">
        <f>B18*3.6667</f>
        <v>0</v>
      </c>
      <c r="C19" s="950">
        <f>C18*3.6667</f>
        <v>0</v>
      </c>
      <c r="D19" s="950">
        <f>D18*3.6667</f>
        <v>5167.5934860455309</v>
      </c>
      <c r="E19" s="950">
        <f>E18*3.6667</f>
        <v>22129.889724801778</v>
      </c>
      <c r="F19" s="950">
        <f>F18*3.6667</f>
        <v>30234.081662124176</v>
      </c>
      <c r="G19" s="950">
        <f>G18*3.6667</f>
        <v>25347.558416679421</v>
      </c>
      <c r="H19" s="950">
        <f>H18*3.6667</f>
        <v>33444.430816486172</v>
      </c>
      <c r="I19" s="950">
        <f>I18*3.6667</f>
        <v>40819.530941412668</v>
      </c>
      <c r="J19" s="950">
        <f>J18*3.6667</f>
        <v>39146.350541173808</v>
      </c>
      <c r="K19" s="950">
        <f>K18*3.6667</f>
        <v>31259.109695815128</v>
      </c>
      <c r="L19" s="950">
        <f>L18*3.6667</f>
        <v>34643.135372440862</v>
      </c>
      <c r="M19" s="950">
        <f>M18*3.6667</f>
        <v>32764.738562783357</v>
      </c>
      <c r="N19" s="950">
        <f>N18*3.6667</f>
        <v>33983.734340638912</v>
      </c>
      <c r="O19" s="936" t="s">
        <v>1327</v>
      </c>
      <c r="P19" s="913" t="s">
        <v>1328</v>
      </c>
    </row>
    <row r="20" spans="1:16" s="912" customFormat="1" ht="16">
      <c r="A20" s="950" t="s">
        <v>1329</v>
      </c>
      <c r="B20" s="950">
        <f>B19*0.0000768</f>
        <v>0</v>
      </c>
      <c r="C20" s="950">
        <f>C19*0.0000768</f>
        <v>0</v>
      </c>
      <c r="D20" s="950">
        <f>D19*0.0000768</f>
        <v>0.39687117972829677</v>
      </c>
      <c r="E20" s="950">
        <f>E19*0.0000768</f>
        <v>1.6995755308647764</v>
      </c>
      <c r="F20" s="950">
        <f>F19*0.0000768</f>
        <v>2.3219774716511368</v>
      </c>
      <c r="G20" s="950">
        <f>G19*0.0000768</f>
        <v>1.9466924864009796</v>
      </c>
      <c r="H20" s="950">
        <f>H19*0.0000768</f>
        <v>2.5685322867061378</v>
      </c>
      <c r="I20" s="950">
        <f>I19*0.0000768</f>
        <v>3.1349399763004926</v>
      </c>
      <c r="J20" s="950">
        <f>J19*0.0000768</f>
        <v>3.0064397215621481</v>
      </c>
      <c r="K20" s="950">
        <f>K19*0.0000768</f>
        <v>2.4006996246386016</v>
      </c>
      <c r="L20" s="950">
        <f>L19*0.0000768</f>
        <v>2.6605927966034582</v>
      </c>
      <c r="M20" s="950">
        <f>M19*0.0000768</f>
        <v>2.5163319216217617</v>
      </c>
      <c r="N20" s="950">
        <f>N19*0.0000768</f>
        <v>2.6099507973610683</v>
      </c>
      <c r="O20" s="924" t="s">
        <v>1330</v>
      </c>
      <c r="P20" s="913" t="s">
        <v>1331</v>
      </c>
    </row>
    <row r="21" spans="1:16" s="912" customFormat="1" ht="16">
      <c r="A21" s="950" t="s">
        <v>1332</v>
      </c>
      <c r="B21" s="950">
        <f>B20*25</f>
        <v>0</v>
      </c>
      <c r="C21" s="950">
        <f>C20*25</f>
        <v>0</v>
      </c>
      <c r="D21" s="950">
        <f>D20*25</f>
        <v>9.9217794932074188</v>
      </c>
      <c r="E21" s="950">
        <f>E20*25</f>
        <v>42.489388271619411</v>
      </c>
      <c r="F21" s="950">
        <f>F20*25</f>
        <v>58.049436791278417</v>
      </c>
      <c r="G21" s="950">
        <f>G20*25</f>
        <v>48.667312160024487</v>
      </c>
      <c r="H21" s="950">
        <f>H20*25</f>
        <v>64.21330716765344</v>
      </c>
      <c r="I21" s="950">
        <f>I20*25</f>
        <v>78.373499407512313</v>
      </c>
      <c r="J21" s="950">
        <f>J20*25</f>
        <v>75.160993039053707</v>
      </c>
      <c r="K21" s="950">
        <f>K20*25</f>
        <v>60.017490615965045</v>
      </c>
      <c r="L21" s="950">
        <f>L20*25</f>
        <v>66.514819915086449</v>
      </c>
      <c r="M21" s="950">
        <f>M20*25</f>
        <v>62.90829804054404</v>
      </c>
      <c r="N21" s="950">
        <f>N20*25</f>
        <v>65.248769934026711</v>
      </c>
      <c r="O21" s="924" t="s">
        <v>1333</v>
      </c>
      <c r="P21" s="913" t="s">
        <v>1331</v>
      </c>
    </row>
    <row r="22" spans="1:16" s="912" customFormat="1" ht="16">
      <c r="A22" s="950" t="s">
        <v>1334</v>
      </c>
      <c r="B22" s="950">
        <f>B19*0.00003841</f>
        <v>0</v>
      </c>
      <c r="C22" s="950">
        <f>C19*0.00003841</f>
        <v>0</v>
      </c>
      <c r="D22" s="950">
        <f>D19*0.00003841</f>
        <v>0.19848726579900883</v>
      </c>
      <c r="E22" s="950">
        <f>E19*0.00003841</f>
        <v>0.8500090643296363</v>
      </c>
      <c r="F22" s="950">
        <f>F19*0.00003841</f>
        <v>1.1612910766421896</v>
      </c>
      <c r="G22" s="950">
        <f>G19*0.00003841</f>
        <v>0.97359971878465656</v>
      </c>
      <c r="H22" s="950">
        <f>H19*0.00003841</f>
        <v>1.2846005876612339</v>
      </c>
      <c r="I22" s="950">
        <f>I19*0.00003841</f>
        <v>1.5678781834596605</v>
      </c>
      <c r="J22" s="950">
        <f>J19*0.00003841</f>
        <v>1.5036113242864859</v>
      </c>
      <c r="K22" s="950">
        <f>K19*0.00003841</f>
        <v>1.2006624034162592</v>
      </c>
      <c r="L22" s="950">
        <f>L19*0.00003841</f>
        <v>1.3306428296554536</v>
      </c>
      <c r="M22" s="950">
        <f>M19*0.00003841</f>
        <v>1.2584936081965088</v>
      </c>
      <c r="N22" s="950">
        <f>N19*0.00003841</f>
        <v>1.3053152360239406</v>
      </c>
      <c r="O22" s="924" t="s">
        <v>1330</v>
      </c>
      <c r="P22" s="913" t="s">
        <v>1331</v>
      </c>
    </row>
    <row r="23" spans="1:16" s="912" customFormat="1" ht="16">
      <c r="A23" s="950" t="s">
        <v>1335</v>
      </c>
      <c r="B23" s="950">
        <f>B22*298</f>
        <v>0</v>
      </c>
      <c r="C23" s="950">
        <f>C22*298</f>
        <v>0</v>
      </c>
      <c r="D23" s="950">
        <f>D22*298</f>
        <v>59.149205208104632</v>
      </c>
      <c r="E23" s="950">
        <f>E22*298</f>
        <v>253.30270117023161</v>
      </c>
      <c r="F23" s="950">
        <f>F22*298</f>
        <v>346.06474083937246</v>
      </c>
      <c r="G23" s="950">
        <f>G22*298</f>
        <v>290.13271619782768</v>
      </c>
      <c r="H23" s="950">
        <f>H22*298</f>
        <v>382.81097512304768</v>
      </c>
      <c r="I23" s="950">
        <f>I22*298</f>
        <v>467.22769867097884</v>
      </c>
      <c r="J23" s="950">
        <f>J22*298</f>
        <v>448.07617463737279</v>
      </c>
      <c r="K23" s="950">
        <f>K22*298</f>
        <v>357.79739621804526</v>
      </c>
      <c r="L23" s="950">
        <f>L22*298</f>
        <v>396.53156323732514</v>
      </c>
      <c r="M23" s="950">
        <f>M22*298</f>
        <v>375.03109524255962</v>
      </c>
      <c r="N23" s="950">
        <f>N22*298</f>
        <v>388.98394033513432</v>
      </c>
      <c r="O23" s="924" t="s">
        <v>1336</v>
      </c>
      <c r="P23" s="913" t="s">
        <v>1331</v>
      </c>
    </row>
    <row r="24" spans="1:16" s="919" customFormat="1">
      <c r="A24" s="950" t="s">
        <v>1337</v>
      </c>
      <c r="B24" s="950">
        <f>B19+B21+B23</f>
        <v>0</v>
      </c>
      <c r="C24" s="950">
        <f>C19+C21+C23</f>
        <v>0</v>
      </c>
      <c r="D24" s="950">
        <f>D19+D21+D23</f>
        <v>5236.6644707468431</v>
      </c>
      <c r="E24" s="950">
        <f>E19+E21+E23</f>
        <v>22425.681814243631</v>
      </c>
      <c r="F24" s="950">
        <f>F19+F21+F23</f>
        <v>30638.19583975483</v>
      </c>
      <c r="G24" s="950">
        <f>G19+G21+G23</f>
        <v>25686.358445037273</v>
      </c>
      <c r="H24" s="950">
        <f>H19+H21+H23</f>
        <v>33891.455098776874</v>
      </c>
      <c r="I24" s="950">
        <f>I19+I21+I23</f>
        <v>41365.132139491157</v>
      </c>
      <c r="J24" s="950">
        <f>J19+J21+J23</f>
        <v>39669.587708850238</v>
      </c>
      <c r="K24" s="950">
        <f>K19+K21+K23</f>
        <v>31676.924582649139</v>
      </c>
      <c r="L24" s="950">
        <f>L19+L21+L23</f>
        <v>35106.181755593272</v>
      </c>
      <c r="M24" s="950">
        <f>M19+M21+M23</f>
        <v>33202.677956066458</v>
      </c>
      <c r="N24" s="950">
        <f>N19+N21+N23</f>
        <v>34437.967050908075</v>
      </c>
      <c r="O24" s="924" t="s">
        <v>1338</v>
      </c>
    </row>
    <row r="25" spans="1:16" s="928" customFormat="1">
      <c r="A25" s="938"/>
      <c r="B25" s="939"/>
      <c r="C25" s="939"/>
      <c r="D25" s="939"/>
      <c r="E25" s="939"/>
      <c r="F25" s="939"/>
      <c r="G25" s="939"/>
      <c r="H25" s="939"/>
      <c r="I25" s="939"/>
      <c r="J25" s="939"/>
      <c r="K25" s="939"/>
      <c r="L25" s="939"/>
      <c r="M25" s="939"/>
      <c r="N25" s="939"/>
      <c r="O25" s="927"/>
    </row>
    <row r="26" spans="1:16" s="934" customFormat="1" ht="71">
      <c r="A26" s="948" t="s">
        <v>1339</v>
      </c>
      <c r="B26" s="949"/>
      <c r="C26" s="949"/>
      <c r="D26" s="949"/>
      <c r="E26" s="949"/>
      <c r="F26" s="949"/>
      <c r="G26" s="949"/>
      <c r="H26" s="949"/>
      <c r="I26" s="949"/>
      <c r="J26" s="949"/>
      <c r="K26" s="949"/>
      <c r="L26" s="949"/>
      <c r="M26" s="949"/>
      <c r="N26" s="949"/>
      <c r="O26" s="933"/>
      <c r="P26" s="935" t="s">
        <v>1340</v>
      </c>
    </row>
    <row r="27" spans="1:16" s="912" customFormat="1">
      <c r="A27" s="950" t="s">
        <v>1341</v>
      </c>
      <c r="B27" s="950">
        <f>B12</f>
        <v>0</v>
      </c>
      <c r="C27" s="950">
        <f>C12</f>
        <v>0</v>
      </c>
      <c r="D27" s="950">
        <f>D12</f>
        <v>107</v>
      </c>
      <c r="E27" s="950">
        <f>E12</f>
        <v>458</v>
      </c>
      <c r="F27" s="950">
        <f>F12</f>
        <v>626</v>
      </c>
      <c r="G27" s="950">
        <f>G12</f>
        <v>525</v>
      </c>
      <c r="H27" s="950">
        <f>H12</f>
        <v>692</v>
      </c>
      <c r="I27" s="950">
        <f>I12</f>
        <v>845</v>
      </c>
      <c r="J27" s="950">
        <f>J12</f>
        <v>810</v>
      </c>
      <c r="K27" s="950">
        <f>K12</f>
        <v>647</v>
      </c>
      <c r="L27" s="950">
        <f>L12</f>
        <v>717</v>
      </c>
      <c r="M27" s="950">
        <f>M12</f>
        <v>678</v>
      </c>
      <c r="N27" s="950">
        <f>N12</f>
        <v>684</v>
      </c>
      <c r="O27" s="924"/>
    </row>
    <row r="28" spans="1:16" s="912" customFormat="1" ht="16">
      <c r="A28" s="951" t="s">
        <v>1342</v>
      </c>
      <c r="B28" s="950"/>
      <c r="C28" s="950"/>
      <c r="D28" s="950"/>
      <c r="E28" s="950"/>
      <c r="F28" s="950"/>
      <c r="G28" s="950"/>
      <c r="H28" s="950"/>
      <c r="I28" s="950"/>
      <c r="J28" s="950"/>
      <c r="K28" s="950"/>
      <c r="L28" s="950"/>
      <c r="M28" s="950"/>
      <c r="N28" s="950"/>
      <c r="O28" s="924"/>
    </row>
    <row r="29" spans="1:16" s="912" customFormat="1">
      <c r="A29" s="950" t="s">
        <v>1343</v>
      </c>
      <c r="B29" s="950">
        <v>5</v>
      </c>
      <c r="C29" s="950">
        <v>5</v>
      </c>
      <c r="D29" s="950">
        <v>5</v>
      </c>
      <c r="E29" s="950">
        <v>5</v>
      </c>
      <c r="F29" s="950">
        <v>5</v>
      </c>
      <c r="G29" s="950">
        <v>5</v>
      </c>
      <c r="H29" s="950">
        <v>5</v>
      </c>
      <c r="I29" s="950">
        <v>5</v>
      </c>
      <c r="J29" s="950">
        <v>5</v>
      </c>
      <c r="K29" s="950">
        <v>5</v>
      </c>
      <c r="L29" s="950">
        <v>5</v>
      </c>
      <c r="M29" s="950">
        <v>5</v>
      </c>
      <c r="N29" s="950">
        <v>5</v>
      </c>
      <c r="O29" s="924" t="s">
        <v>1344</v>
      </c>
    </row>
    <row r="30" spans="1:16" s="912" customFormat="1">
      <c r="A30" s="950" t="s">
        <v>1345</v>
      </c>
      <c r="B30" s="950">
        <v>5</v>
      </c>
      <c r="C30" s="950">
        <v>5</v>
      </c>
      <c r="D30" s="950">
        <v>5</v>
      </c>
      <c r="E30" s="950">
        <v>5</v>
      </c>
      <c r="F30" s="950">
        <v>5</v>
      </c>
      <c r="G30" s="950">
        <v>5</v>
      </c>
      <c r="H30" s="950">
        <v>5</v>
      </c>
      <c r="I30" s="950">
        <v>5</v>
      </c>
      <c r="J30" s="950">
        <v>5</v>
      </c>
      <c r="K30" s="950">
        <v>5</v>
      </c>
      <c r="L30" s="950">
        <v>5</v>
      </c>
      <c r="M30" s="950">
        <v>5</v>
      </c>
      <c r="N30" s="950">
        <v>5</v>
      </c>
      <c r="O30" s="924" t="s">
        <v>1344</v>
      </c>
    </row>
    <row r="31" spans="1:16" s="912" customFormat="1" ht="16">
      <c r="A31" s="951" t="s">
        <v>1346</v>
      </c>
      <c r="B31" s="950"/>
      <c r="C31" s="950"/>
      <c r="D31" s="950"/>
      <c r="E31" s="950"/>
      <c r="F31" s="950"/>
      <c r="G31" s="950"/>
      <c r="H31" s="950"/>
      <c r="I31" s="950"/>
      <c r="J31" s="950"/>
      <c r="K31" s="950"/>
      <c r="L31" s="950"/>
      <c r="M31" s="950"/>
      <c r="N31" s="950"/>
      <c r="O31" s="924"/>
    </row>
    <row r="32" spans="1:16" s="912" customFormat="1">
      <c r="A32" s="950" t="s">
        <v>1347</v>
      </c>
      <c r="B32" s="950">
        <v>10</v>
      </c>
      <c r="C32" s="950">
        <v>10</v>
      </c>
      <c r="D32" s="950">
        <v>10</v>
      </c>
      <c r="E32" s="950">
        <v>10</v>
      </c>
      <c r="F32" s="950">
        <v>10</v>
      </c>
      <c r="G32" s="950">
        <v>10</v>
      </c>
      <c r="H32" s="950">
        <v>10</v>
      </c>
      <c r="I32" s="950">
        <v>10</v>
      </c>
      <c r="J32" s="950">
        <v>10</v>
      </c>
      <c r="K32" s="950">
        <v>10</v>
      </c>
      <c r="L32" s="950">
        <v>10</v>
      </c>
      <c r="M32" s="950">
        <v>10</v>
      </c>
      <c r="N32" s="950">
        <v>10</v>
      </c>
      <c r="O32" s="924" t="s">
        <v>1344</v>
      </c>
    </row>
    <row r="33" spans="1:16" s="912" customFormat="1">
      <c r="A33" s="950" t="s">
        <v>1348</v>
      </c>
      <c r="B33" s="950">
        <v>5</v>
      </c>
      <c r="C33" s="950">
        <v>5</v>
      </c>
      <c r="D33" s="950">
        <v>5</v>
      </c>
      <c r="E33" s="950">
        <v>5</v>
      </c>
      <c r="F33" s="950">
        <v>5</v>
      </c>
      <c r="G33" s="950">
        <v>5</v>
      </c>
      <c r="H33" s="950">
        <v>5</v>
      </c>
      <c r="I33" s="950">
        <v>5</v>
      </c>
      <c r="J33" s="950">
        <v>5</v>
      </c>
      <c r="K33" s="950">
        <v>5</v>
      </c>
      <c r="L33" s="950">
        <v>5</v>
      </c>
      <c r="M33" s="950">
        <v>5</v>
      </c>
      <c r="N33" s="950">
        <v>5</v>
      </c>
      <c r="O33" s="924" t="s">
        <v>1344</v>
      </c>
    </row>
    <row r="34" spans="1:16" s="912" customFormat="1" ht="16">
      <c r="A34" s="951" t="s">
        <v>1349</v>
      </c>
      <c r="B34" s="950"/>
      <c r="C34" s="950"/>
      <c r="D34" s="950"/>
      <c r="E34" s="950"/>
      <c r="F34" s="950"/>
      <c r="G34" s="950"/>
      <c r="H34" s="950"/>
      <c r="I34" s="950"/>
      <c r="J34" s="950"/>
      <c r="K34" s="950"/>
      <c r="L34" s="950"/>
      <c r="M34" s="950"/>
      <c r="N34" s="950"/>
      <c r="O34" s="924"/>
    </row>
    <row r="35" spans="1:16" s="912" customFormat="1">
      <c r="A35" s="950" t="s">
        <v>1350</v>
      </c>
      <c r="B35" s="950">
        <v>5</v>
      </c>
      <c r="C35" s="950">
        <v>5</v>
      </c>
      <c r="D35" s="950">
        <v>5</v>
      </c>
      <c r="E35" s="950">
        <v>5</v>
      </c>
      <c r="F35" s="950">
        <v>5</v>
      </c>
      <c r="G35" s="950">
        <v>5</v>
      </c>
      <c r="H35" s="950">
        <v>5</v>
      </c>
      <c r="I35" s="950">
        <v>5</v>
      </c>
      <c r="J35" s="950">
        <v>5</v>
      </c>
      <c r="K35" s="950">
        <v>5</v>
      </c>
      <c r="L35" s="950">
        <v>5</v>
      </c>
      <c r="M35" s="950">
        <v>5</v>
      </c>
      <c r="N35" s="950">
        <v>5</v>
      </c>
      <c r="O35" s="924" t="s">
        <v>1344</v>
      </c>
    </row>
    <row r="36" spans="1:16" s="912" customFormat="1">
      <c r="A36" s="950" t="s">
        <v>1351</v>
      </c>
      <c r="B36" s="950">
        <f>B29+B30+B32+B33+B35</f>
        <v>30</v>
      </c>
      <c r="C36" s="950">
        <f>C29+C30+C32+C33+C35</f>
        <v>30</v>
      </c>
      <c r="D36" s="950">
        <f>D29+D30+D32+D33+D35</f>
        <v>30</v>
      </c>
      <c r="E36" s="950">
        <f>E29+E30+E32+E33+E35</f>
        <v>30</v>
      </c>
      <c r="F36" s="950">
        <f>F29+F30+F32+F33+F35</f>
        <v>30</v>
      </c>
      <c r="G36" s="950">
        <f>G29+G30+G32+G33+G35</f>
        <v>30</v>
      </c>
      <c r="H36" s="950">
        <f>H29+H30+H32+H33+H35</f>
        <v>30</v>
      </c>
      <c r="I36" s="950">
        <f>I29+I30+I32+I33+I35</f>
        <v>30</v>
      </c>
      <c r="J36" s="950">
        <f>J29+J30+J32+J33+J35</f>
        <v>30</v>
      </c>
      <c r="K36" s="950">
        <f>K29+K30+K32+K33+K35</f>
        <v>30</v>
      </c>
      <c r="L36" s="950">
        <f>L29+L30+L32+L33+L35</f>
        <v>30</v>
      </c>
      <c r="M36" s="950">
        <f>M29+M30+M32+M33+M35</f>
        <v>30</v>
      </c>
      <c r="N36" s="950">
        <f>N29+N30+N32+N33+N35</f>
        <v>30</v>
      </c>
      <c r="O36" s="924"/>
    </row>
    <row r="37" spans="1:16" s="912" customFormat="1">
      <c r="A37" s="950" t="s">
        <v>1352</v>
      </c>
      <c r="B37" s="950">
        <f>B36*B27</f>
        <v>0</v>
      </c>
      <c r="C37" s="950">
        <f>C36*C27</f>
        <v>0</v>
      </c>
      <c r="D37" s="950">
        <f>D36*D27</f>
        <v>3210</v>
      </c>
      <c r="E37" s="950">
        <f>E36*E27</f>
        <v>13740</v>
      </c>
      <c r="F37" s="950">
        <f>F36*F27</f>
        <v>18780</v>
      </c>
      <c r="G37" s="950">
        <f>G36*G27</f>
        <v>15750</v>
      </c>
      <c r="H37" s="950">
        <f>H36*H27</f>
        <v>20760</v>
      </c>
      <c r="I37" s="950">
        <f>I36*I27</f>
        <v>25350</v>
      </c>
      <c r="J37" s="950">
        <f>J36*J27</f>
        <v>24300</v>
      </c>
      <c r="K37" s="950">
        <f>K36*K27</f>
        <v>19410</v>
      </c>
      <c r="L37" s="950">
        <f>L36*L27</f>
        <v>21510</v>
      </c>
      <c r="M37" s="950">
        <f>M36*M27</f>
        <v>20340</v>
      </c>
      <c r="N37" s="950">
        <f>N36*N27</f>
        <v>20520</v>
      </c>
      <c r="O37" s="924"/>
    </row>
    <row r="38" spans="1:16" s="912" customFormat="1">
      <c r="A38" s="950" t="s">
        <v>1326</v>
      </c>
      <c r="B38" s="950">
        <f>B37*0.01018</f>
        <v>0</v>
      </c>
      <c r="C38" s="950">
        <f>C37*0.01018</f>
        <v>0</v>
      </c>
      <c r="D38" s="950">
        <f>D37*0.01018</f>
        <v>32.677799999999998</v>
      </c>
      <c r="E38" s="950">
        <f>E37*0.01018</f>
        <v>139.8732</v>
      </c>
      <c r="F38" s="950">
        <f>F37*0.01018</f>
        <v>191.18039999999999</v>
      </c>
      <c r="G38" s="950">
        <f>G37*0.01018</f>
        <v>160.33500000000001</v>
      </c>
      <c r="H38" s="950">
        <f>H37*0.01018</f>
        <v>211.33679999999998</v>
      </c>
      <c r="I38" s="950">
        <f>I37*0.01018</f>
        <v>258.06299999999999</v>
      </c>
      <c r="J38" s="950">
        <f>J37*0.01018</f>
        <v>247.374</v>
      </c>
      <c r="K38" s="950">
        <f>K37*0.01018</f>
        <v>197.59379999999999</v>
      </c>
      <c r="L38" s="950">
        <f>L37*0.01018</f>
        <v>218.9718</v>
      </c>
      <c r="M38" s="950">
        <f>M37*0.01018</f>
        <v>207.06119999999999</v>
      </c>
      <c r="N38" s="950">
        <f>N37*0.01018</f>
        <v>208.89359999999999</v>
      </c>
      <c r="O38" s="924"/>
      <c r="P38" s="915" t="s">
        <v>1353</v>
      </c>
    </row>
    <row r="39" spans="1:16" s="912" customFormat="1">
      <c r="A39" s="950" t="s">
        <v>1329</v>
      </c>
      <c r="B39" s="950">
        <f>B37*0.000001385</f>
        <v>0</v>
      </c>
      <c r="C39" s="950">
        <f>C37*0.000001385</f>
        <v>0</v>
      </c>
      <c r="D39" s="950">
        <f>D37*0.000001385</f>
        <v>4.4458500000000003E-3</v>
      </c>
      <c r="E39" s="950">
        <f>E37*0.000001385</f>
        <v>1.9029900000000002E-2</v>
      </c>
      <c r="F39" s="950">
        <f>F37*0.000001385</f>
        <v>2.60103E-2</v>
      </c>
      <c r="G39" s="950">
        <f>G37*0.000001385</f>
        <v>2.181375E-2</v>
      </c>
      <c r="H39" s="950">
        <f>H37*0.000001385</f>
        <v>2.8752600000000003E-2</v>
      </c>
      <c r="I39" s="950">
        <f>I37*0.000001385</f>
        <v>3.5109750000000002E-2</v>
      </c>
      <c r="J39" s="950">
        <f>J37*0.000001385</f>
        <v>3.3655500000000005E-2</v>
      </c>
      <c r="K39" s="950">
        <f>K37*0.000001385</f>
        <v>2.6882850000000003E-2</v>
      </c>
      <c r="L39" s="950">
        <f>L37*0.000001385</f>
        <v>2.9791350000000001E-2</v>
      </c>
      <c r="M39" s="950">
        <f>M37*0.000001385</f>
        <v>2.8170900000000002E-2</v>
      </c>
      <c r="N39" s="950">
        <f>N37*0.000001385</f>
        <v>2.8420200000000003E-2</v>
      </c>
      <c r="O39" s="924"/>
      <c r="P39" s="912" t="s">
        <v>1354</v>
      </c>
    </row>
    <row r="40" spans="1:16" s="912" customFormat="1">
      <c r="A40" s="950" t="s">
        <v>1332</v>
      </c>
      <c r="B40" s="950">
        <f>B39*25</f>
        <v>0</v>
      </c>
      <c r="C40" s="950">
        <f>C39*25</f>
        <v>0</v>
      </c>
      <c r="D40" s="950">
        <f>D39*25</f>
        <v>0.11114625</v>
      </c>
      <c r="E40" s="950">
        <f>E39*25</f>
        <v>0.47574750000000005</v>
      </c>
      <c r="F40" s="950">
        <f>F39*25</f>
        <v>0.65025750000000004</v>
      </c>
      <c r="G40" s="950">
        <f>G39*25</f>
        <v>0.54534375000000002</v>
      </c>
      <c r="H40" s="950">
        <f>H39*25</f>
        <v>0.71881500000000009</v>
      </c>
      <c r="I40" s="950">
        <f>I39*25</f>
        <v>0.87774375000000004</v>
      </c>
      <c r="J40" s="950">
        <f>J39*25</f>
        <v>0.84138750000000018</v>
      </c>
      <c r="K40" s="950">
        <f>K39*25</f>
        <v>0.67207125000000012</v>
      </c>
      <c r="L40" s="950">
        <f>L39*25</f>
        <v>0.74478375000000008</v>
      </c>
      <c r="M40" s="950">
        <f>M39*25</f>
        <v>0.70427250000000008</v>
      </c>
      <c r="N40" s="950">
        <f>N39*25</f>
        <v>0.71050500000000005</v>
      </c>
      <c r="O40" s="924"/>
    </row>
    <row r="41" spans="1:16" s="912" customFormat="1">
      <c r="A41" s="950" t="s">
        <v>1334</v>
      </c>
      <c r="B41" s="950">
        <f>B38*0.00000008563</f>
        <v>0</v>
      </c>
      <c r="C41" s="950">
        <f t="shared" ref="C41:M41" si="1">C38*0.00000008563</f>
        <v>0</v>
      </c>
      <c r="D41" s="950">
        <f t="shared" si="1"/>
        <v>2.798200014E-6</v>
      </c>
      <c r="E41" s="950">
        <f t="shared" si="1"/>
        <v>1.1977342116000001E-5</v>
      </c>
      <c r="F41" s="950">
        <f t="shared" si="1"/>
        <v>1.6370777651999999E-5</v>
      </c>
      <c r="G41" s="950">
        <f t="shared" si="1"/>
        <v>1.3729486050000002E-5</v>
      </c>
      <c r="H41" s="950">
        <f t="shared" si="1"/>
        <v>1.8096770183999999E-5</v>
      </c>
      <c r="I41" s="950">
        <f t="shared" si="1"/>
        <v>2.2097934690000002E-5</v>
      </c>
      <c r="J41" s="950">
        <f t="shared" si="1"/>
        <v>2.1182635620000001E-5</v>
      </c>
      <c r="K41" s="950">
        <f t="shared" si="1"/>
        <v>1.6919957093999999E-5</v>
      </c>
      <c r="L41" s="950">
        <f t="shared" si="1"/>
        <v>1.8750555234000001E-5</v>
      </c>
      <c r="M41" s="950">
        <f t="shared" si="1"/>
        <v>1.7730650555999998E-5</v>
      </c>
      <c r="N41" s="950">
        <v>8.5630000000000006E-8</v>
      </c>
      <c r="O41" s="924"/>
      <c r="P41" s="912" t="s">
        <v>1355</v>
      </c>
    </row>
    <row r="42" spans="1:16" s="912" customFormat="1">
      <c r="A42" s="950" t="s">
        <v>1335</v>
      </c>
      <c r="B42" s="950">
        <f>B41*298</f>
        <v>0</v>
      </c>
      <c r="C42" s="950">
        <f>C41*298</f>
        <v>0</v>
      </c>
      <c r="D42" s="950">
        <f>D41*298</f>
        <v>8.3386360417199998E-4</v>
      </c>
      <c r="E42" s="950">
        <f>E41*298</f>
        <v>3.5692479505680004E-3</v>
      </c>
      <c r="F42" s="950">
        <f>F41*298</f>
        <v>4.8784917402959994E-3</v>
      </c>
      <c r="G42" s="950">
        <f>G41*298</f>
        <v>4.0913868429000005E-3</v>
      </c>
      <c r="H42" s="950">
        <f>H41*298</f>
        <v>5.3928375148319992E-3</v>
      </c>
      <c r="I42" s="950">
        <f>I41*298</f>
        <v>6.5851845376200006E-3</v>
      </c>
      <c r="J42" s="950">
        <f>J41*298</f>
        <v>6.3124254147600006E-3</v>
      </c>
      <c r="K42" s="950">
        <f>K41*298</f>
        <v>5.0421472140119994E-3</v>
      </c>
      <c r="L42" s="950">
        <f>L41*298</f>
        <v>5.5876654597320002E-3</v>
      </c>
      <c r="M42" s="950">
        <f>M41*298</f>
        <v>5.2837338656879992E-3</v>
      </c>
      <c r="N42" s="950">
        <f>N41*298</f>
        <v>2.5517740000000001E-5</v>
      </c>
      <c r="O42" s="924"/>
    </row>
    <row r="43" spans="1:16" s="919" customFormat="1">
      <c r="A43" s="950" t="s">
        <v>1337</v>
      </c>
      <c r="B43" s="950">
        <f>B38+B40+B42</f>
        <v>0</v>
      </c>
      <c r="C43" s="950">
        <f>C38+C40+C42</f>
        <v>0</v>
      </c>
      <c r="D43" s="950">
        <f>D38+D40+D42</f>
        <v>32.789780113604166</v>
      </c>
      <c r="E43" s="950">
        <f>E38+E40+E42</f>
        <v>140.35251674795057</v>
      </c>
      <c r="F43" s="950">
        <f>F38+F40+F42</f>
        <v>191.8355359917403</v>
      </c>
      <c r="G43" s="950">
        <f>G38+G40+G42</f>
        <v>160.88443513684291</v>
      </c>
      <c r="H43" s="950">
        <f>H38+H40+H42</f>
        <v>212.06100783751481</v>
      </c>
      <c r="I43" s="950">
        <f>I38+I40+I42</f>
        <v>258.94732893453761</v>
      </c>
      <c r="J43" s="950">
        <f>J38+J40+J42</f>
        <v>248.22169992541475</v>
      </c>
      <c r="K43" s="950">
        <f>K38+K40+K42</f>
        <v>198.27091339721397</v>
      </c>
      <c r="L43" s="950">
        <f>L38+L40+L42</f>
        <v>219.72217141545974</v>
      </c>
      <c r="M43" s="950">
        <f>M38+M40+M42</f>
        <v>207.77075623386568</v>
      </c>
      <c r="N43" s="950">
        <f>N38+N40+N42</f>
        <v>209.60413051774</v>
      </c>
      <c r="O43" s="924"/>
    </row>
    <row r="44" spans="1:16" s="928" customFormat="1">
      <c r="A44" s="938"/>
      <c r="B44" s="939"/>
      <c r="C44" s="939"/>
      <c r="D44" s="939"/>
      <c r="E44" s="939"/>
      <c r="F44" s="939"/>
      <c r="G44" s="939"/>
      <c r="H44" s="939"/>
      <c r="I44" s="939"/>
      <c r="J44" s="939"/>
      <c r="K44" s="939"/>
      <c r="L44" s="939"/>
      <c r="M44" s="939"/>
      <c r="N44" s="939"/>
      <c r="O44" s="927"/>
    </row>
    <row r="45" spans="1:16" s="934" customFormat="1" ht="16">
      <c r="A45" s="948" t="s">
        <v>1356</v>
      </c>
      <c r="B45" s="949"/>
      <c r="C45" s="949"/>
      <c r="D45" s="949"/>
      <c r="E45" s="949"/>
      <c r="F45" s="949"/>
      <c r="G45" s="949"/>
      <c r="H45" s="949"/>
      <c r="I45" s="949"/>
      <c r="J45" s="949"/>
      <c r="K45" s="949"/>
      <c r="L45" s="949"/>
      <c r="M45" s="949"/>
      <c r="N45" s="949"/>
      <c r="O45" s="933"/>
    </row>
    <row r="46" spans="1:16" s="912" customFormat="1">
      <c r="A46" s="950" t="s">
        <v>1357</v>
      </c>
      <c r="B46" s="950">
        <f>B11</f>
        <v>0</v>
      </c>
      <c r="C46" s="950">
        <f>C11</f>
        <v>0</v>
      </c>
      <c r="D46" s="950">
        <f>D11</f>
        <v>3209.090909090909</v>
      </c>
      <c r="E46" s="950">
        <f>E11</f>
        <v>13742.727272727272</v>
      </c>
      <c r="F46" s="950">
        <f>F11</f>
        <v>18775.454545454544</v>
      </c>
      <c r="G46" s="950">
        <f>G11</f>
        <v>15740.90909090909</v>
      </c>
      <c r="H46" s="950">
        <f>H11</f>
        <v>20769.090909090908</v>
      </c>
      <c r="I46" s="950">
        <f>I11</f>
        <v>25349.05</v>
      </c>
      <c r="J46" s="950">
        <f>J11</f>
        <v>24310</v>
      </c>
      <c r="K46" s="950">
        <f>K11</f>
        <v>19412</v>
      </c>
      <c r="L46" s="950">
        <f>L11</f>
        <v>21513.49</v>
      </c>
      <c r="M46" s="950">
        <f>M11</f>
        <v>20347</v>
      </c>
      <c r="N46" s="950">
        <f>N11</f>
        <v>21104</v>
      </c>
      <c r="O46" s="924"/>
    </row>
    <row r="47" spans="1:16" s="912" customFormat="1">
      <c r="A47" s="950" t="s">
        <v>1358</v>
      </c>
      <c r="B47" s="950">
        <v>1046148</v>
      </c>
      <c r="C47" s="950">
        <v>1046148</v>
      </c>
      <c r="D47" s="950">
        <v>1046148</v>
      </c>
      <c r="E47" s="950">
        <v>1046148</v>
      </c>
      <c r="F47" s="950">
        <v>1046148</v>
      </c>
      <c r="G47" s="950">
        <v>1046148</v>
      </c>
      <c r="H47" s="950">
        <v>1046148</v>
      </c>
      <c r="I47" s="950">
        <v>1046148</v>
      </c>
      <c r="J47" s="950">
        <v>1046148</v>
      </c>
      <c r="K47" s="950">
        <v>1046148</v>
      </c>
      <c r="L47" s="950">
        <v>1046148</v>
      </c>
      <c r="M47" s="950">
        <v>1046148</v>
      </c>
      <c r="N47" s="950">
        <v>1046148</v>
      </c>
      <c r="O47" s="924"/>
      <c r="P47" s="915" t="s">
        <v>1359</v>
      </c>
    </row>
    <row r="48" spans="1:16" s="912" customFormat="1">
      <c r="A48" s="950" t="s">
        <v>1360</v>
      </c>
      <c r="B48" s="950">
        <v>2.5</v>
      </c>
      <c r="C48" s="950">
        <v>2.5</v>
      </c>
      <c r="D48" s="950">
        <v>2.5</v>
      </c>
      <c r="E48" s="950">
        <v>2.5</v>
      </c>
      <c r="F48" s="950">
        <v>2.5</v>
      </c>
      <c r="G48" s="950">
        <v>2.5</v>
      </c>
      <c r="H48" s="950">
        <v>2.5</v>
      </c>
      <c r="I48" s="950">
        <v>2.5</v>
      </c>
      <c r="J48" s="950">
        <v>2.5</v>
      </c>
      <c r="K48" s="950">
        <v>2.5</v>
      </c>
      <c r="L48" s="950">
        <v>2.5</v>
      </c>
      <c r="M48" s="950">
        <v>2.5</v>
      </c>
      <c r="N48" s="950">
        <v>2.5</v>
      </c>
      <c r="O48" s="924"/>
      <c r="P48" s="915" t="s">
        <v>1359</v>
      </c>
    </row>
    <row r="49" spans="1:16" s="912" customFormat="1">
      <c r="A49" s="950" t="s">
        <v>1361</v>
      </c>
      <c r="B49" s="950">
        <f>B47*B48</f>
        <v>2615370</v>
      </c>
      <c r="C49" s="950">
        <f>C47*C48</f>
        <v>2615370</v>
      </c>
      <c r="D49" s="950">
        <f>D47*D48</f>
        <v>2615370</v>
      </c>
      <c r="E49" s="950">
        <f>E47*E48</f>
        <v>2615370</v>
      </c>
      <c r="F49" s="950">
        <f>F47*F48</f>
        <v>2615370</v>
      </c>
      <c r="G49" s="950">
        <f>G47*G48</f>
        <v>2615370</v>
      </c>
      <c r="H49" s="950">
        <f>H47*H48</f>
        <v>2615370</v>
      </c>
      <c r="I49" s="950">
        <f>I47*I48</f>
        <v>2615370</v>
      </c>
      <c r="J49" s="950">
        <f>J47*J48</f>
        <v>2615370</v>
      </c>
      <c r="K49" s="950">
        <f>K47*K48</f>
        <v>2615370</v>
      </c>
      <c r="L49" s="950">
        <f>L47*L48</f>
        <v>2615370</v>
      </c>
      <c r="M49" s="950">
        <f>M47*M48</f>
        <v>2615370</v>
      </c>
      <c r="N49" s="950">
        <f>N47*N48</f>
        <v>2615370</v>
      </c>
      <c r="O49" s="924"/>
      <c r="P49" s="915"/>
    </row>
    <row r="50" spans="1:16" s="912" customFormat="1">
      <c r="A50" s="950" t="s">
        <v>1362</v>
      </c>
      <c r="B50" s="950">
        <f>B46/B49</f>
        <v>0</v>
      </c>
      <c r="C50" s="950">
        <f>C46/C49</f>
        <v>0</v>
      </c>
      <c r="D50" s="950">
        <f>D46/D49</f>
        <v>1.22701220442649E-3</v>
      </c>
      <c r="E50" s="950">
        <f>E46/E49</f>
        <v>5.2546015564632429E-3</v>
      </c>
      <c r="F50" s="950">
        <f>F46/F49</f>
        <v>7.1788903847082993E-3</v>
      </c>
      <c r="G50" s="950">
        <f>G46/G49</f>
        <v>6.0186165211457993E-3</v>
      </c>
      <c r="H50" s="950">
        <f>H46/H49</f>
        <v>7.9411673717641896E-3</v>
      </c>
      <c r="I50" s="950">
        <f>I46/I49</f>
        <v>9.6923379865946312E-3</v>
      </c>
      <c r="J50" s="950">
        <f>J46/J49</f>
        <v>9.2950519429373275E-3</v>
      </c>
      <c r="K50" s="950">
        <f>K46/K49</f>
        <v>7.4222767715466645E-3</v>
      </c>
      <c r="L50" s="950">
        <f>L46/L49</f>
        <v>8.2257921441325713E-3</v>
      </c>
      <c r="M50" s="950">
        <f>M46/M49</f>
        <v>7.7797787693519461E-3</v>
      </c>
      <c r="N50" s="950">
        <f>N46/N49</f>
        <v>8.0692215632969713E-3</v>
      </c>
      <c r="O50" s="924"/>
    </row>
    <row r="51" spans="1:16" s="912" customFormat="1">
      <c r="A51" s="950" t="s">
        <v>1363</v>
      </c>
      <c r="B51" s="950">
        <v>-3050000</v>
      </c>
      <c r="C51" s="950">
        <v>-3050000</v>
      </c>
      <c r="D51" s="950">
        <v>-3050000</v>
      </c>
      <c r="E51" s="950">
        <v>-3050000</v>
      </c>
      <c r="F51" s="950">
        <v>-3050000</v>
      </c>
      <c r="G51" s="950">
        <v>-3050000</v>
      </c>
      <c r="H51" s="950">
        <v>-3050000</v>
      </c>
      <c r="I51" s="950">
        <v>-3050000</v>
      </c>
      <c r="J51" s="950">
        <v>-3050000</v>
      </c>
      <c r="K51" s="950">
        <v>-3050000</v>
      </c>
      <c r="L51" s="950">
        <v>-3050000</v>
      </c>
      <c r="M51" s="950">
        <v>-3050000</v>
      </c>
      <c r="N51" s="950">
        <v>-3050000</v>
      </c>
      <c r="O51" s="924" t="s">
        <v>1364</v>
      </c>
      <c r="P51" s="915" t="s">
        <v>1365</v>
      </c>
    </row>
    <row r="52" spans="1:16" s="912" customFormat="1">
      <c r="A52" s="950" t="s">
        <v>1366</v>
      </c>
      <c r="B52" s="950">
        <f>B51*B50</f>
        <v>0</v>
      </c>
      <c r="C52" s="950">
        <f>C51*C50</f>
        <v>0</v>
      </c>
      <c r="D52" s="950">
        <f>D51*D50</f>
        <v>-3742.3872235007948</v>
      </c>
      <c r="E52" s="950">
        <f>E51*E50</f>
        <v>-16026.534747212891</v>
      </c>
      <c r="F52" s="950">
        <f>F51*F50</f>
        <v>-21895.615673360313</v>
      </c>
      <c r="G52" s="950">
        <f>G51*G50</f>
        <v>-18356.780389494688</v>
      </c>
      <c r="H52" s="950">
        <f>H51*H50</f>
        <v>-24220.560483880778</v>
      </c>
      <c r="I52" s="950">
        <f>I51*I50</f>
        <v>-29561.630859113626</v>
      </c>
      <c r="J52" s="950">
        <f>J51*J50</f>
        <v>-28349.908425958849</v>
      </c>
      <c r="K52" s="950">
        <f>K51*K50</f>
        <v>-22637.944153217326</v>
      </c>
      <c r="L52" s="950">
        <f>L51*L50</f>
        <v>-25088.666039604341</v>
      </c>
      <c r="M52" s="950">
        <f>M51*M50</f>
        <v>-23728.325246523436</v>
      </c>
      <c r="N52" s="950">
        <f>N51*N50</f>
        <v>-24611.125768055761</v>
      </c>
      <c r="O52" s="924"/>
    </row>
    <row r="53" spans="1:16" s="912" customFormat="1">
      <c r="A53" s="950" t="s">
        <v>1367</v>
      </c>
      <c r="B53" s="950">
        <v>1</v>
      </c>
      <c r="C53" s="950">
        <v>1</v>
      </c>
      <c r="D53" s="950">
        <v>1</v>
      </c>
      <c r="E53" s="950">
        <v>1</v>
      </c>
      <c r="F53" s="950">
        <v>1</v>
      </c>
      <c r="G53" s="950">
        <v>1</v>
      </c>
      <c r="H53" s="950">
        <v>1</v>
      </c>
      <c r="I53" s="950">
        <v>1</v>
      </c>
      <c r="J53" s="950">
        <v>1</v>
      </c>
      <c r="K53" s="950">
        <v>1</v>
      </c>
      <c r="L53" s="950">
        <v>1</v>
      </c>
      <c r="M53" s="950">
        <v>1</v>
      </c>
      <c r="N53" s="950">
        <v>1</v>
      </c>
      <c r="O53" s="924" t="s">
        <v>1372</v>
      </c>
    </row>
    <row r="54" spans="1:16" s="912" customFormat="1">
      <c r="A54" s="950" t="s">
        <v>1368</v>
      </c>
      <c r="B54" s="950">
        <f>B52</f>
        <v>0</v>
      </c>
      <c r="C54" s="950">
        <f>C52</f>
        <v>0</v>
      </c>
      <c r="D54" s="950">
        <f>D52</f>
        <v>-3742.3872235007948</v>
      </c>
      <c r="E54" s="950">
        <f>E52</f>
        <v>-16026.534747212891</v>
      </c>
      <c r="F54" s="950">
        <f>F52</f>
        <v>-21895.615673360313</v>
      </c>
      <c r="G54" s="950">
        <f>G52</f>
        <v>-18356.780389494688</v>
      </c>
      <c r="H54" s="950">
        <f>H52</f>
        <v>-24220.560483880778</v>
      </c>
      <c r="I54" s="950">
        <f>I52</f>
        <v>-29561.630859113626</v>
      </c>
      <c r="J54" s="950">
        <f>J52</f>
        <v>-28349.908425958849</v>
      </c>
      <c r="K54" s="950">
        <f>K52</f>
        <v>-22637.944153217326</v>
      </c>
      <c r="L54" s="950">
        <f>L52</f>
        <v>-25088.666039604341</v>
      </c>
      <c r="M54" s="950">
        <f>M52</f>
        <v>-23728.325246523436</v>
      </c>
      <c r="N54" s="950">
        <f>N52</f>
        <v>-24611.125768055761</v>
      </c>
      <c r="O54" s="924"/>
      <c r="P54" s="912" t="s">
        <v>1369</v>
      </c>
    </row>
    <row r="55" spans="1:16" s="912" customFormat="1">
      <c r="A55" s="950" t="s">
        <v>1370</v>
      </c>
      <c r="B55" s="950">
        <f>B24</f>
        <v>0</v>
      </c>
      <c r="C55" s="950">
        <f>C24</f>
        <v>0</v>
      </c>
      <c r="D55" s="950">
        <f>D24</f>
        <v>5236.6644707468431</v>
      </c>
      <c r="E55" s="950">
        <f>E24</f>
        <v>22425.681814243631</v>
      </c>
      <c r="F55" s="950">
        <f>F24</f>
        <v>30638.19583975483</v>
      </c>
      <c r="G55" s="950">
        <f>G24</f>
        <v>25686.358445037273</v>
      </c>
      <c r="H55" s="950">
        <f>H24</f>
        <v>33891.455098776874</v>
      </c>
      <c r="I55" s="950">
        <f>I24</f>
        <v>41365.132139491157</v>
      </c>
      <c r="J55" s="950">
        <f>J24</f>
        <v>39669.587708850238</v>
      </c>
      <c r="K55" s="950">
        <f>K24</f>
        <v>31676.924582649139</v>
      </c>
      <c r="L55" s="950">
        <f>L24</f>
        <v>35106.181755593272</v>
      </c>
      <c r="M55" s="950">
        <f>M24</f>
        <v>33202.677956066458</v>
      </c>
      <c r="N55" s="950">
        <f>N24</f>
        <v>34437.967050908075</v>
      </c>
      <c r="O55" s="924"/>
    </row>
    <row r="56" spans="1:16" s="914" customFormat="1">
      <c r="A56" s="952" t="s">
        <v>1371</v>
      </c>
      <c r="B56" s="952">
        <f>(B54-B55)*B53</f>
        <v>0</v>
      </c>
      <c r="C56" s="952">
        <f>(C54-C55)*C53</f>
        <v>0</v>
      </c>
      <c r="D56" s="952">
        <f>(D54-D55)*D53</f>
        <v>-8979.0516942476388</v>
      </c>
      <c r="E56" s="952">
        <f>(E54-E55)*E53</f>
        <v>-38452.216561456524</v>
      </c>
      <c r="F56" s="952">
        <f>(F54-F55)*F53</f>
        <v>-52533.811513115143</v>
      </c>
      <c r="G56" s="952">
        <f>(G54-G55)*G53</f>
        <v>-44043.138834531957</v>
      </c>
      <c r="H56" s="952">
        <f>(H54-H55)*H53</f>
        <v>-58112.015582657652</v>
      </c>
      <c r="I56" s="952">
        <f>(I54-I55)*I53</f>
        <v>-70926.762998604783</v>
      </c>
      <c r="J56" s="952">
        <f>(J54-J55)*J53</f>
        <v>-68019.496134809087</v>
      </c>
      <c r="K56" s="952">
        <f>(K54-K55)*K53</f>
        <v>-54314.868735866461</v>
      </c>
      <c r="L56" s="952">
        <f>(L54-L55)*L53</f>
        <v>-60194.847795197609</v>
      </c>
      <c r="M56" s="952">
        <f>(M54-M55)*M53</f>
        <v>-56931.003202589898</v>
      </c>
      <c r="N56" s="952">
        <f>(N54-N55)*N53</f>
        <v>-59049.092818963836</v>
      </c>
      <c r="O56" s="925"/>
    </row>
    <row r="57" spans="1:16" s="24" customFormat="1">
      <c r="O57" s="926"/>
    </row>
    <row r="58" spans="1:16" s="24" customFormat="1">
      <c r="O58" s="926"/>
    </row>
    <row r="59" spans="1:16" s="24" customFormat="1">
      <c r="O59" s="926"/>
    </row>
    <row r="60" spans="1:16" s="24" customFormat="1">
      <c r="O60" s="926"/>
    </row>
    <row r="61" spans="1:16" s="24" customFormat="1">
      <c r="O61" s="926"/>
    </row>
    <row r="62" spans="1:16" s="24" customFormat="1">
      <c r="O62" s="926"/>
    </row>
    <row r="63" spans="1:16" s="24" customFormat="1">
      <c r="O63" s="926"/>
    </row>
    <row r="64" spans="1:16" s="24" customFormat="1">
      <c r="O64" s="926"/>
    </row>
    <row r="65" spans="15:15" s="24" customFormat="1">
      <c r="O65" s="926"/>
    </row>
    <row r="66" spans="15:15" s="24" customFormat="1">
      <c r="O66" s="926"/>
    </row>
    <row r="67" spans="15:15" s="24" customFormat="1">
      <c r="O67" s="926"/>
    </row>
    <row r="68" spans="15:15" s="24" customFormat="1">
      <c r="O68" s="926"/>
    </row>
    <row r="69" spans="15:15" s="24" customFormat="1">
      <c r="O69" s="926"/>
    </row>
    <row r="70" spans="15:15" s="24" customFormat="1">
      <c r="O70" s="926"/>
    </row>
    <row r="71" spans="15:15" s="24" customFormat="1">
      <c r="O71" s="926"/>
    </row>
    <row r="72" spans="15:15" s="24" customFormat="1">
      <c r="O72" s="926"/>
    </row>
    <row r="73" spans="15:15" s="24" customFormat="1">
      <c r="O73" s="926"/>
    </row>
    <row r="74" spans="15:15" s="24" customFormat="1">
      <c r="O74" s="926"/>
    </row>
    <row r="75" spans="15:15" s="24" customFormat="1">
      <c r="O75" s="926"/>
    </row>
    <row r="76" spans="15:15" s="24" customFormat="1">
      <c r="O76" s="926"/>
    </row>
    <row r="77" spans="15:15" s="24" customFormat="1">
      <c r="O77" s="926"/>
    </row>
    <row r="78" spans="15:15" s="24" customFormat="1">
      <c r="O78" s="926"/>
    </row>
    <row r="79" spans="15:15" s="24" customFormat="1">
      <c r="O79" s="926"/>
    </row>
    <row r="80" spans="15:15" s="24" customFormat="1">
      <c r="O80" s="926"/>
    </row>
    <row r="81" spans="15:15" s="24" customFormat="1">
      <c r="O81" s="926"/>
    </row>
    <row r="82" spans="15:15" s="24" customFormat="1">
      <c r="O82" s="926"/>
    </row>
    <row r="83" spans="15:15" s="24" customFormat="1">
      <c r="O83" s="926"/>
    </row>
    <row r="84" spans="15:15" s="24" customFormat="1">
      <c r="O84" s="926"/>
    </row>
    <row r="85" spans="15:15" s="24" customFormat="1">
      <c r="O85" s="926"/>
    </row>
    <row r="86" spans="15:15" s="24" customFormat="1">
      <c r="O86" s="926"/>
    </row>
    <row r="87" spans="15:15" s="24" customFormat="1">
      <c r="O87" s="926"/>
    </row>
    <row r="88" spans="15:15" s="24" customFormat="1">
      <c r="O88" s="926"/>
    </row>
    <row r="89" spans="15:15" s="24" customFormat="1">
      <c r="O89" s="926"/>
    </row>
    <row r="90" spans="15:15" s="24" customFormat="1">
      <c r="O90" s="926"/>
    </row>
    <row r="91" spans="15:15" s="24" customFormat="1">
      <c r="O91" s="926"/>
    </row>
    <row r="92" spans="15:15" s="24" customFormat="1">
      <c r="O92" s="926"/>
    </row>
    <row r="93" spans="15:15" s="24" customFormat="1">
      <c r="O93" s="926"/>
    </row>
    <row r="94" spans="15:15" s="24" customFormat="1">
      <c r="O94" s="926"/>
    </row>
    <row r="95" spans="15:15" s="24" customFormat="1">
      <c r="O95" s="926"/>
    </row>
    <row r="96" spans="15:15" s="24" customFormat="1">
      <c r="O96" s="926"/>
    </row>
    <row r="97" spans="15:15" s="24" customFormat="1">
      <c r="O97" s="926"/>
    </row>
    <row r="98" spans="15:15" s="24" customFormat="1">
      <c r="O98" s="926"/>
    </row>
    <row r="99" spans="15:15" s="24" customFormat="1">
      <c r="O99" s="926"/>
    </row>
    <row r="100" spans="15:15" s="24" customFormat="1">
      <c r="O100" s="926"/>
    </row>
    <row r="101" spans="15:15" s="24" customFormat="1">
      <c r="O101" s="926"/>
    </row>
    <row r="102" spans="15:15" s="24" customFormat="1">
      <c r="O102" s="926"/>
    </row>
    <row r="103" spans="15:15" s="24" customFormat="1">
      <c r="O103" s="926"/>
    </row>
    <row r="104" spans="15:15" s="24" customFormat="1">
      <c r="O104" s="926"/>
    </row>
    <row r="105" spans="15:15" s="24" customFormat="1">
      <c r="O105" s="926"/>
    </row>
    <row r="106" spans="15:15" s="24" customFormat="1">
      <c r="O106" s="926"/>
    </row>
    <row r="107" spans="15:15" s="24" customFormat="1">
      <c r="O107" s="926"/>
    </row>
    <row r="108" spans="15:15" s="24" customFormat="1">
      <c r="O108" s="926"/>
    </row>
    <row r="109" spans="15:15" s="24" customFormat="1">
      <c r="O109" s="926"/>
    </row>
    <row r="110" spans="15:15" s="24" customFormat="1">
      <c r="O110" s="926"/>
    </row>
    <row r="111" spans="15:15" s="24" customFormat="1">
      <c r="O111" s="926"/>
    </row>
    <row r="112" spans="15:15" s="24" customFormat="1">
      <c r="O112" s="926"/>
    </row>
    <row r="113" spans="15:15" s="24" customFormat="1">
      <c r="O113" s="926"/>
    </row>
    <row r="114" spans="15:15" s="24" customFormat="1">
      <c r="O114" s="926"/>
    </row>
    <row r="115" spans="15:15" s="24" customFormat="1">
      <c r="O115" s="926"/>
    </row>
    <row r="116" spans="15:15" s="24" customFormat="1">
      <c r="O116" s="926"/>
    </row>
    <row r="117" spans="15:15" s="24" customFormat="1">
      <c r="O117" s="926"/>
    </row>
    <row r="118" spans="15:15" s="24" customFormat="1">
      <c r="O118" s="926"/>
    </row>
    <row r="119" spans="15:15" s="24" customFormat="1">
      <c r="O119" s="926"/>
    </row>
    <row r="120" spans="15:15" s="24" customFormat="1">
      <c r="O120" s="926"/>
    </row>
    <row r="121" spans="15:15" s="24" customFormat="1">
      <c r="O121" s="926"/>
    </row>
    <row r="122" spans="15:15" s="24" customFormat="1">
      <c r="O122" s="926"/>
    </row>
    <row r="123" spans="15:15" s="24" customFormat="1">
      <c r="O123" s="926"/>
    </row>
    <row r="124" spans="15:15" s="24" customFormat="1">
      <c r="O124" s="926"/>
    </row>
    <row r="125" spans="15:15" s="24" customFormat="1">
      <c r="O125" s="926"/>
    </row>
  </sheetData>
  <hyperlinks>
    <hyperlink ref="P16" r:id="rId1"/>
    <hyperlink ref="P19" r:id="rId2" location=":~:text=The%20addition%20of%20two%20oxygen,the%20carbon%2C%20which%20is%2012.&amp;text=subbituminous%20coal%20and%201.87%20times,short%20ton%20of%20subbituminous%20coal." display="https://www.eia.gov/tools/faqs/faq.php?id=82&amp;t=11 - :~:text=The%20addition%20of%20two%20oxygen,the%20carbon%2C%20which%20is%2012.&amp;text=subbituminous%20coal%20and%201.87%20times,short%20ton%20of%20subbituminous%20coal."/>
    <hyperlink ref="P20" r:id="rId3"/>
    <hyperlink ref="P22" r:id="rId4"/>
    <hyperlink ref="P21" r:id="rId5"/>
    <hyperlink ref="P23" r:id="rId6"/>
    <hyperlink ref="P38" r:id="rId7"/>
    <hyperlink ref="P47" r:id="rId8" display="https://fpr.vermont.gov/sites/fpr/files/Forest_and_Forestry/Forest_Based_Business/Library/2018 HARVEST_RPT_FINAL.pdf"/>
    <hyperlink ref="P51" r:id="rId9"/>
    <hyperlink ref="P48" r:id="rId10" display="https://fpr.vermont.gov/sites/fpr/files/Forest_and_Forestry/Forest_Based_Business/Library/2018 HARVEST_RPT_FINAL.pdf"/>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20"/>
  </sheetPr>
  <dimension ref="A1:R104"/>
  <sheetViews>
    <sheetView zoomScale="75" zoomScaleNormal="90" workbookViewId="0">
      <selection activeCell="L16" sqref="L16"/>
    </sheetView>
  </sheetViews>
  <sheetFormatPr baseColWidth="10" defaultColWidth="8.83203125" defaultRowHeight="13"/>
  <cols>
    <col min="1" max="1" width="30.5" customWidth="1"/>
    <col min="2" max="2" width="10.1640625" customWidth="1"/>
    <col min="3" max="3" width="9.6640625" customWidth="1"/>
    <col min="4" max="4" width="10.33203125" customWidth="1"/>
    <col min="5" max="5" width="9.6640625" customWidth="1"/>
    <col min="6" max="7" width="9.5" customWidth="1"/>
    <col min="8" max="8" width="8.1640625" customWidth="1"/>
    <col min="9" max="9" width="11.1640625" customWidth="1"/>
    <col min="10" max="10" width="10.5" customWidth="1"/>
    <col min="11" max="12" width="11.1640625" customWidth="1"/>
    <col min="13" max="13" width="39.83203125" customWidth="1"/>
    <col min="14" max="14" width="11.6640625" customWidth="1"/>
    <col min="15" max="16" width="11.1640625" bestFit="1" customWidth="1"/>
    <col min="18" max="18" width="6.5" customWidth="1"/>
    <col min="19" max="20" width="11.1640625" bestFit="1" customWidth="1"/>
    <col min="22" max="22" width="6.5" customWidth="1"/>
    <col min="23" max="25" width="11.1640625" bestFit="1" customWidth="1"/>
    <col min="26" max="26" width="10.5" bestFit="1" customWidth="1"/>
  </cols>
  <sheetData>
    <row r="1" spans="1:18" ht="27.75" customHeight="1">
      <c r="A1" s="889" t="s">
        <v>682</v>
      </c>
      <c r="B1" s="890"/>
      <c r="C1" s="890"/>
      <c r="D1" s="890"/>
      <c r="E1" s="890"/>
      <c r="F1" s="890"/>
      <c r="G1" s="890"/>
      <c r="H1" s="890"/>
      <c r="I1" s="47"/>
      <c r="J1" s="47"/>
      <c r="K1" s="47"/>
      <c r="L1" s="47"/>
      <c r="M1" s="80"/>
    </row>
    <row r="2" spans="1:18" ht="13.5" customHeight="1">
      <c r="A2" s="890"/>
      <c r="B2" s="890"/>
      <c r="C2" s="890"/>
      <c r="D2" s="890"/>
      <c r="E2" s="890"/>
      <c r="F2" s="890"/>
      <c r="G2" s="890"/>
      <c r="H2" s="890"/>
    </row>
    <row r="3" spans="1:18" ht="12.75" customHeight="1">
      <c r="A3" s="839" t="s">
        <v>864</v>
      </c>
      <c r="B3" s="839"/>
      <c r="C3" s="839"/>
      <c r="D3" s="839"/>
      <c r="E3" s="839"/>
      <c r="F3" s="839"/>
      <c r="G3" s="839"/>
      <c r="H3" s="839"/>
    </row>
    <row r="4" spans="1:18">
      <c r="A4" s="839"/>
      <c r="B4" s="839"/>
      <c r="C4" s="839"/>
      <c r="D4" s="839"/>
      <c r="E4" s="839"/>
      <c r="F4" s="839"/>
      <c r="G4" s="839"/>
      <c r="H4" s="839"/>
    </row>
    <row r="5" spans="1:18">
      <c r="A5" s="37"/>
      <c r="B5" s="37"/>
      <c r="C5" s="37"/>
      <c r="D5" s="37"/>
      <c r="E5" s="37"/>
      <c r="F5" s="37"/>
      <c r="G5" s="37"/>
      <c r="H5" s="37"/>
    </row>
    <row r="6" spans="1:18" ht="17">
      <c r="A6" s="147" t="s">
        <v>912</v>
      </c>
      <c r="B6" s="37"/>
      <c r="C6" s="37"/>
      <c r="D6" s="37"/>
      <c r="E6" s="37"/>
      <c r="F6" s="37"/>
      <c r="G6" s="37"/>
      <c r="H6" s="37"/>
      <c r="O6" s="5"/>
      <c r="P6" s="5"/>
      <c r="Q6" s="5"/>
      <c r="R6" s="5"/>
    </row>
    <row r="7" spans="1:18">
      <c r="B7" s="10" t="s">
        <v>490</v>
      </c>
      <c r="H7" s="37"/>
      <c r="O7" s="5"/>
      <c r="P7" s="5"/>
      <c r="Q7" s="5"/>
      <c r="R7" s="5"/>
    </row>
    <row r="8" spans="1:18" ht="14">
      <c r="B8" s="679" t="s">
        <v>310</v>
      </c>
      <c r="C8" s="682" t="s">
        <v>339</v>
      </c>
      <c r="D8" s="679" t="s">
        <v>731</v>
      </c>
      <c r="E8" s="594" t="s">
        <v>24</v>
      </c>
      <c r="F8" s="594" t="s">
        <v>1005</v>
      </c>
      <c r="G8" s="594" t="s">
        <v>970</v>
      </c>
      <c r="H8" s="594" t="s">
        <v>955</v>
      </c>
      <c r="I8" s="594" t="s">
        <v>1123</v>
      </c>
      <c r="J8" s="594" t="s">
        <v>1154</v>
      </c>
      <c r="K8" s="594" t="s">
        <v>1197</v>
      </c>
      <c r="L8" s="594" t="s">
        <v>1250</v>
      </c>
      <c r="M8" s="5"/>
    </row>
    <row r="9" spans="1:18">
      <c r="A9" t="s">
        <v>821</v>
      </c>
      <c r="B9" s="84">
        <f t="shared" ref="B9:J9" si="0">B17</f>
        <v>10.41</v>
      </c>
      <c r="C9" s="84">
        <f t="shared" si="0"/>
        <v>10.119999999999999</v>
      </c>
      <c r="D9" s="84">
        <f t="shared" si="0"/>
        <v>10.09</v>
      </c>
      <c r="E9" s="84">
        <f t="shared" si="0"/>
        <v>9.6</v>
      </c>
      <c r="F9" s="84">
        <f t="shared" si="0"/>
        <v>10.48</v>
      </c>
      <c r="G9" s="84">
        <f t="shared" si="0"/>
        <v>11.37</v>
      </c>
      <c r="H9" s="84">
        <f t="shared" si="0"/>
        <v>11.2</v>
      </c>
      <c r="I9" s="84">
        <f t="shared" si="0"/>
        <v>10.57</v>
      </c>
      <c r="J9" s="84">
        <f t="shared" si="0"/>
        <v>11.88</v>
      </c>
      <c r="K9" s="84">
        <f>K17+K18</f>
        <v>13011.88</v>
      </c>
      <c r="L9" s="84"/>
      <c r="M9" s="5"/>
    </row>
    <row r="10" spans="1:18">
      <c r="A10" t="s">
        <v>788</v>
      </c>
      <c r="B10" s="84">
        <f>B30</f>
        <v>854.18000000000006</v>
      </c>
      <c r="C10" s="84">
        <f>C30</f>
        <v>585</v>
      </c>
      <c r="D10" s="84">
        <f>D30</f>
        <v>650</v>
      </c>
      <c r="E10" s="84">
        <f>E30</f>
        <v>530</v>
      </c>
      <c r="F10" s="84">
        <f>F30</f>
        <v>541</v>
      </c>
      <c r="G10">
        <v>540</v>
      </c>
      <c r="H10">
        <v>540</v>
      </c>
      <c r="I10">
        <v>634</v>
      </c>
      <c r="J10">
        <v>634</v>
      </c>
      <c r="K10">
        <v>634</v>
      </c>
      <c r="L10">
        <v>633</v>
      </c>
      <c r="M10" s="5"/>
    </row>
    <row r="11" spans="1:18">
      <c r="A11" s="475" t="s">
        <v>271</v>
      </c>
      <c r="B11" s="511">
        <f t="shared" ref="B11:G11" si="1">SUM(B9:B10)</f>
        <v>864.59</v>
      </c>
      <c r="C11" s="511">
        <f t="shared" si="1"/>
        <v>595.12</v>
      </c>
      <c r="D11" s="511">
        <f t="shared" si="1"/>
        <v>660.09</v>
      </c>
      <c r="E11" s="511">
        <f t="shared" si="1"/>
        <v>539.6</v>
      </c>
      <c r="F11" s="511">
        <f t="shared" si="1"/>
        <v>551.48</v>
      </c>
      <c r="G11" s="511">
        <f t="shared" si="1"/>
        <v>551.37</v>
      </c>
      <c r="H11" s="511">
        <f>SUM(H9:H10)</f>
        <v>551.20000000000005</v>
      </c>
      <c r="I11" s="511">
        <f>SUM(I9:I10)</f>
        <v>644.57000000000005</v>
      </c>
      <c r="J11" s="511">
        <f>SUM(J9:J10)</f>
        <v>645.88</v>
      </c>
      <c r="K11" s="511">
        <f>SUM(K9:K10)</f>
        <v>13645.88</v>
      </c>
      <c r="L11" s="511">
        <f>SUM(L9:L10)</f>
        <v>633</v>
      </c>
      <c r="M11" s="5"/>
    </row>
    <row r="12" spans="1:18">
      <c r="A12" s="37"/>
      <c r="B12" s="37"/>
      <c r="C12" s="37"/>
      <c r="D12" s="37"/>
      <c r="E12" s="37"/>
      <c r="F12" s="37"/>
      <c r="G12" s="37"/>
      <c r="H12" s="37"/>
      <c r="I12" s="37"/>
      <c r="J12" s="37"/>
      <c r="K12" s="37"/>
      <c r="L12" s="37"/>
      <c r="N12" s="5"/>
      <c r="O12" s="5"/>
      <c r="P12" s="5"/>
      <c r="Q12" s="5"/>
      <c r="R12" s="5"/>
    </row>
    <row r="13" spans="1:18" ht="15.75" customHeight="1">
      <c r="A13" s="831" t="s">
        <v>821</v>
      </c>
      <c r="B13" s="831"/>
      <c r="C13" s="831"/>
      <c r="D13" s="37"/>
      <c r="E13" s="37"/>
      <c r="F13" s="37"/>
      <c r="G13" s="37"/>
      <c r="H13" s="37"/>
      <c r="I13" s="37"/>
      <c r="J13" s="37"/>
      <c r="K13" s="37"/>
      <c r="L13" s="37"/>
      <c r="N13" s="5"/>
      <c r="O13" s="5"/>
      <c r="P13" s="5"/>
      <c r="Q13" s="5"/>
      <c r="R13" s="5"/>
    </row>
    <row r="14" spans="1:18">
      <c r="A14" s="10"/>
      <c r="B14" s="6" t="s">
        <v>969</v>
      </c>
    </row>
    <row r="15" spans="1:18" ht="14">
      <c r="A15" s="6" t="s">
        <v>628</v>
      </c>
      <c r="B15" s="679" t="s">
        <v>310</v>
      </c>
      <c r="C15" s="682" t="s">
        <v>339</v>
      </c>
      <c r="D15" s="679" t="s">
        <v>731</v>
      </c>
      <c r="E15" s="594" t="s">
        <v>24</v>
      </c>
      <c r="F15" s="594" t="s">
        <v>1005</v>
      </c>
      <c r="G15" s="594" t="s">
        <v>970</v>
      </c>
      <c r="H15" s="594" t="s">
        <v>955</v>
      </c>
      <c r="I15" s="594" t="s">
        <v>1123</v>
      </c>
      <c r="J15" s="594" t="s">
        <v>1154</v>
      </c>
      <c r="K15" s="594" t="s">
        <v>1197</v>
      </c>
      <c r="L15" s="594" t="s">
        <v>1251</v>
      </c>
    </row>
    <row r="16" spans="1:18">
      <c r="A16" s="33" t="s">
        <v>598</v>
      </c>
      <c r="B16" s="27">
        <v>694222</v>
      </c>
      <c r="C16" s="556">
        <v>674400</v>
      </c>
      <c r="D16" s="27">
        <v>672350</v>
      </c>
      <c r="E16" s="27">
        <v>640100</v>
      </c>
      <c r="F16" s="27">
        <v>698460</v>
      </c>
      <c r="G16" s="26">
        <v>757840</v>
      </c>
      <c r="H16" s="27">
        <v>746840</v>
      </c>
      <c r="I16" s="27">
        <v>704848</v>
      </c>
      <c r="J16" s="27">
        <v>792290</v>
      </c>
      <c r="K16" s="27">
        <v>792290</v>
      </c>
      <c r="L16" s="27"/>
      <c r="M16" s="5"/>
    </row>
    <row r="17" spans="1:18" ht="15">
      <c r="A17" s="725" t="s">
        <v>1215</v>
      </c>
      <c r="B17" s="726">
        <f t="shared" ref="B17:K17" si="2">ROUND(B16*$B53*$B52,2)</f>
        <v>10.41</v>
      </c>
      <c r="C17" s="726">
        <f t="shared" si="2"/>
        <v>10.119999999999999</v>
      </c>
      <c r="D17" s="726">
        <f t="shared" si="2"/>
        <v>10.09</v>
      </c>
      <c r="E17" s="726">
        <f t="shared" si="2"/>
        <v>9.6</v>
      </c>
      <c r="F17" s="726">
        <f t="shared" si="2"/>
        <v>10.48</v>
      </c>
      <c r="G17" s="726">
        <f t="shared" si="2"/>
        <v>11.37</v>
      </c>
      <c r="H17" s="726">
        <f t="shared" si="2"/>
        <v>11.2</v>
      </c>
      <c r="I17" s="726">
        <f t="shared" si="2"/>
        <v>10.57</v>
      </c>
      <c r="J17" s="726">
        <f t="shared" si="2"/>
        <v>11.88</v>
      </c>
      <c r="K17" s="726">
        <f t="shared" si="2"/>
        <v>11.88</v>
      </c>
      <c r="L17" s="726">
        <f>ROUND(L16*$B53*$B52,2)</f>
        <v>0</v>
      </c>
      <c r="M17" s="5"/>
    </row>
    <row r="18" spans="1:18">
      <c r="A18" s="729" t="s">
        <v>1210</v>
      </c>
      <c r="B18" s="730"/>
      <c r="C18" s="731"/>
      <c r="D18" s="730"/>
      <c r="E18" s="730"/>
      <c r="F18" s="730"/>
      <c r="G18" s="732"/>
      <c r="H18" s="730"/>
      <c r="I18" s="730"/>
      <c r="J18" s="730"/>
      <c r="K18" s="733">
        <v>13000</v>
      </c>
      <c r="L18" s="733"/>
      <c r="M18" s="5" t="s">
        <v>1225</v>
      </c>
    </row>
    <row r="19" spans="1:18">
      <c r="A19" s="727" t="s">
        <v>1216</v>
      </c>
      <c r="B19" s="727"/>
      <c r="C19" s="727"/>
      <c r="D19" s="727"/>
      <c r="E19" s="727"/>
      <c r="F19" s="727"/>
      <c r="G19" s="727"/>
      <c r="H19" s="727"/>
      <c r="I19" s="727"/>
      <c r="J19" s="727"/>
      <c r="K19" s="728">
        <f>K18+K17</f>
        <v>13011.88</v>
      </c>
      <c r="L19" s="728">
        <f>L18+L17</f>
        <v>0</v>
      </c>
    </row>
    <row r="20" spans="1:18">
      <c r="A20" s="37"/>
      <c r="B20" s="37"/>
      <c r="C20" s="37"/>
      <c r="D20" s="37"/>
      <c r="E20" s="37"/>
      <c r="F20" s="37"/>
      <c r="G20" s="37"/>
      <c r="H20" s="37"/>
      <c r="I20" s="37"/>
      <c r="J20" s="37"/>
      <c r="K20" s="37"/>
      <c r="L20" s="37"/>
      <c r="N20" s="5"/>
      <c r="O20" s="5"/>
      <c r="P20" s="5"/>
      <c r="Q20" s="5"/>
      <c r="R20" s="5"/>
    </row>
    <row r="21" spans="1:18" ht="16">
      <c r="A21" s="835" t="s">
        <v>788</v>
      </c>
      <c r="B21" s="835"/>
      <c r="C21" s="835"/>
      <c r="D21" s="2"/>
      <c r="E21" s="2"/>
      <c r="F21" s="2"/>
      <c r="G21" s="2"/>
      <c r="H21" s="2"/>
      <c r="I21" s="2"/>
      <c r="J21" s="2"/>
      <c r="K21" s="2"/>
      <c r="L21" s="2"/>
    </row>
    <row r="22" spans="1:18" ht="12.75" customHeight="1">
      <c r="A22" s="10"/>
      <c r="B22" s="6" t="s">
        <v>602</v>
      </c>
    </row>
    <row r="23" spans="1:18" ht="14">
      <c r="B23" s="679" t="s">
        <v>310</v>
      </c>
      <c r="C23" s="682" t="s">
        <v>339</v>
      </c>
      <c r="D23" s="679" t="s">
        <v>731</v>
      </c>
      <c r="E23" s="594" t="s">
        <v>24</v>
      </c>
      <c r="F23" s="594" t="s">
        <v>1005</v>
      </c>
      <c r="G23" s="594" t="s">
        <v>970</v>
      </c>
      <c r="H23" s="594" t="s">
        <v>955</v>
      </c>
      <c r="I23" s="594" t="s">
        <v>1123</v>
      </c>
      <c r="J23" s="594" t="s">
        <v>1154</v>
      </c>
      <c r="K23" s="594" t="s">
        <v>1154</v>
      </c>
      <c r="L23" s="594"/>
    </row>
    <row r="24" spans="1:18" s="29" customFormat="1">
      <c r="A24" s="6" t="s">
        <v>771</v>
      </c>
    </row>
    <row r="25" spans="1:18" s="24" customFormat="1">
      <c r="A25" s="100" t="s">
        <v>43</v>
      </c>
      <c r="B25" s="26"/>
      <c r="C25" s="26"/>
      <c r="D25" s="100"/>
      <c r="E25" s="100"/>
      <c r="F25" s="100"/>
      <c r="G25" s="100"/>
      <c r="H25" s="100"/>
      <c r="I25" s="100"/>
      <c r="J25" s="100"/>
      <c r="K25" s="100"/>
      <c r="L25" s="100"/>
    </row>
    <row r="26" spans="1:18" s="24" customFormat="1">
      <c r="A26" s="100" t="s">
        <v>179</v>
      </c>
      <c r="B26" s="100"/>
      <c r="C26" s="100"/>
      <c r="D26" s="100"/>
      <c r="E26" s="100"/>
      <c r="F26" s="100"/>
      <c r="G26" s="100"/>
      <c r="H26" s="100"/>
      <c r="I26" s="100"/>
      <c r="J26" s="100"/>
      <c r="K26" s="100"/>
      <c r="L26" s="100"/>
    </row>
    <row r="27" spans="1:18" s="24" customFormat="1">
      <c r="A27" s="100" t="s">
        <v>180</v>
      </c>
      <c r="B27" s="182">
        <v>680</v>
      </c>
      <c r="C27" s="100">
        <v>585</v>
      </c>
      <c r="D27" s="100">
        <v>650</v>
      </c>
      <c r="E27" s="100">
        <v>530</v>
      </c>
      <c r="F27" s="100">
        <v>541</v>
      </c>
      <c r="G27" s="100">
        <v>540</v>
      </c>
      <c r="H27" s="100"/>
      <c r="I27" s="100"/>
      <c r="J27" s="100"/>
      <c r="K27" s="100"/>
      <c r="L27" s="100"/>
    </row>
    <row r="28" spans="1:18" s="24" customFormat="1">
      <c r="A28" s="100" t="s">
        <v>182</v>
      </c>
      <c r="B28" s="100"/>
      <c r="C28" s="100"/>
      <c r="D28" s="100"/>
      <c r="E28" s="100"/>
      <c r="F28" s="100"/>
      <c r="G28" s="100"/>
      <c r="H28" s="100"/>
      <c r="I28" s="100"/>
      <c r="J28" s="100"/>
      <c r="K28" s="100"/>
      <c r="L28" s="100"/>
    </row>
    <row r="29" spans="1:18" s="24" customFormat="1">
      <c r="A29" s="100" t="s">
        <v>806</v>
      </c>
      <c r="B29" s="174">
        <v>174.18</v>
      </c>
      <c r="C29" s="100"/>
      <c r="D29" s="100"/>
      <c r="E29" s="100"/>
      <c r="F29" s="100"/>
      <c r="G29" s="100"/>
      <c r="H29" s="100"/>
      <c r="I29" s="100"/>
      <c r="J29" s="100"/>
      <c r="K29" s="100"/>
      <c r="L29" s="100"/>
    </row>
    <row r="30" spans="1:18" s="24" customFormat="1">
      <c r="A30" s="483" t="s">
        <v>296</v>
      </c>
      <c r="B30" s="512">
        <f t="shared" ref="B30:G30" si="3">SUM(B25:B29)</f>
        <v>854.18000000000006</v>
      </c>
      <c r="C30" s="512">
        <f t="shared" si="3"/>
        <v>585</v>
      </c>
      <c r="D30" s="512">
        <f t="shared" si="3"/>
        <v>650</v>
      </c>
      <c r="E30" s="512">
        <f t="shared" si="3"/>
        <v>530</v>
      </c>
      <c r="F30" s="512">
        <f t="shared" si="3"/>
        <v>541</v>
      </c>
      <c r="G30" s="512">
        <f t="shared" si="3"/>
        <v>540</v>
      </c>
      <c r="H30" s="512">
        <f>SUM(H25:H29)</f>
        <v>0</v>
      </c>
      <c r="I30" s="512">
        <f>SUM(I25:I29)</f>
        <v>0</v>
      </c>
      <c r="J30" s="512">
        <f>SUM(J25:J29)</f>
        <v>0</v>
      </c>
      <c r="K30" s="512">
        <f>SUM(K25:K29)</f>
        <v>0</v>
      </c>
      <c r="L30" s="512"/>
    </row>
    <row r="31" spans="1:18" s="24" customFormat="1">
      <c r="A31" s="70"/>
      <c r="B31" s="70"/>
      <c r="C31" s="70"/>
      <c r="D31" s="70"/>
      <c r="E31" s="70"/>
      <c r="F31" s="70"/>
      <c r="G31" s="70"/>
      <c r="H31" s="70"/>
      <c r="I31" s="70"/>
      <c r="J31" s="70"/>
      <c r="K31" s="70"/>
      <c r="L31" s="70"/>
    </row>
    <row r="32" spans="1:18" s="24" customFormat="1">
      <c r="A32" s="107" t="s">
        <v>825</v>
      </c>
    </row>
    <row r="33" spans="1:12" s="24" customFormat="1">
      <c r="A33" s="100" t="s">
        <v>43</v>
      </c>
      <c r="B33" s="100"/>
      <c r="C33" s="100"/>
      <c r="D33" s="100"/>
      <c r="E33" s="100"/>
      <c r="F33" s="100"/>
      <c r="G33" s="100"/>
      <c r="H33" s="100"/>
      <c r="I33" s="100"/>
      <c r="J33" s="100"/>
      <c r="K33" s="100"/>
      <c r="L33" s="100"/>
    </row>
    <row r="34" spans="1:12" s="24" customFormat="1">
      <c r="A34" s="100" t="s">
        <v>179</v>
      </c>
      <c r="B34" s="100"/>
      <c r="C34" s="100"/>
      <c r="D34" s="100"/>
      <c r="E34" s="100"/>
      <c r="F34" s="100"/>
      <c r="G34" s="100"/>
      <c r="H34" s="100"/>
      <c r="I34" s="100"/>
      <c r="J34" s="100"/>
      <c r="K34" s="100"/>
      <c r="L34" s="100"/>
    </row>
    <row r="35" spans="1:12" s="24" customFormat="1">
      <c r="A35" s="100" t="s">
        <v>180</v>
      </c>
      <c r="B35" s="100"/>
      <c r="C35" s="100"/>
      <c r="D35" s="100"/>
      <c r="E35" s="100"/>
      <c r="F35" s="100"/>
      <c r="G35" s="100"/>
      <c r="H35" s="100"/>
      <c r="I35" s="100"/>
      <c r="J35" s="100"/>
      <c r="K35" s="100"/>
      <c r="L35" s="100"/>
    </row>
    <row r="36" spans="1:12" s="24" customFormat="1">
      <c r="A36" s="100" t="s">
        <v>182</v>
      </c>
      <c r="B36" s="173"/>
      <c r="C36" s="173"/>
      <c r="D36" s="100"/>
      <c r="E36" s="100"/>
      <c r="F36" s="100"/>
      <c r="G36" s="100"/>
      <c r="H36" s="100"/>
      <c r="I36" s="100"/>
      <c r="J36" s="100"/>
      <c r="K36" s="100"/>
      <c r="L36" s="100"/>
    </row>
    <row r="37" spans="1:12" s="24" customFormat="1">
      <c r="A37" s="100" t="s">
        <v>910</v>
      </c>
      <c r="B37" s="173"/>
      <c r="C37" s="173"/>
      <c r="D37" s="100"/>
      <c r="E37" s="100"/>
      <c r="F37" s="100"/>
      <c r="G37" s="100"/>
      <c r="H37" s="100"/>
      <c r="I37" s="100"/>
      <c r="J37" s="100"/>
      <c r="K37" s="100"/>
      <c r="L37" s="100"/>
    </row>
    <row r="38" spans="1:12" s="24" customFormat="1">
      <c r="A38" s="483" t="s">
        <v>296</v>
      </c>
      <c r="B38" s="483">
        <f t="shared" ref="B38:H38" si="4">SUM(B33:B36)</f>
        <v>0</v>
      </c>
      <c r="C38" s="483">
        <f t="shared" si="4"/>
        <v>0</v>
      </c>
      <c r="D38" s="483">
        <f t="shared" si="4"/>
        <v>0</v>
      </c>
      <c r="E38" s="483">
        <f t="shared" si="4"/>
        <v>0</v>
      </c>
      <c r="F38" s="483">
        <f t="shared" si="4"/>
        <v>0</v>
      </c>
      <c r="G38" s="483">
        <f t="shared" si="4"/>
        <v>0</v>
      </c>
      <c r="H38" s="483">
        <f t="shared" si="4"/>
        <v>0</v>
      </c>
      <c r="I38" s="483">
        <f>SUM(I33:I36)</f>
        <v>0</v>
      </c>
      <c r="J38" s="483">
        <f>SUM(J33:J36)</f>
        <v>0</v>
      </c>
      <c r="K38" s="483">
        <f>SUM(K33:K36)</f>
        <v>0</v>
      </c>
      <c r="L38" s="483"/>
    </row>
    <row r="39" spans="1:12" s="24" customFormat="1">
      <c r="B39" s="71"/>
      <c r="C39" s="139"/>
      <c r="D39" s="139"/>
      <c r="E39" s="139"/>
      <c r="F39" s="139"/>
      <c r="G39" s="139"/>
      <c r="H39" s="139"/>
      <c r="I39" s="139"/>
      <c r="J39" s="139"/>
      <c r="K39" s="139"/>
      <c r="L39" s="139"/>
    </row>
    <row r="40" spans="1:12" s="24" customFormat="1" ht="16">
      <c r="A40" s="175" t="s">
        <v>600</v>
      </c>
      <c r="B40" s="175"/>
      <c r="C40" s="175"/>
      <c r="D40" s="139"/>
      <c r="E40" s="139"/>
      <c r="F40" s="139"/>
      <c r="G40" s="139"/>
      <c r="H40" s="139"/>
      <c r="I40" s="139"/>
      <c r="J40" s="139"/>
      <c r="K40" s="139"/>
      <c r="L40" s="139"/>
    </row>
    <row r="41" spans="1:12" s="24" customFormat="1">
      <c r="A41" s="10"/>
      <c r="B41" s="6" t="s">
        <v>602</v>
      </c>
      <c r="C41"/>
      <c r="D41"/>
      <c r="E41"/>
      <c r="F41"/>
      <c r="G41"/>
      <c r="H41" s="139"/>
      <c r="I41" s="139"/>
      <c r="J41" s="139"/>
      <c r="K41" s="139"/>
      <c r="L41" s="139"/>
    </row>
    <row r="42" spans="1:12" s="24" customFormat="1">
      <c r="B42" s="77" t="s">
        <v>310</v>
      </c>
      <c r="C42" s="139"/>
      <c r="E42" s="452" t="s">
        <v>24</v>
      </c>
      <c r="F42" s="452" t="s">
        <v>103</v>
      </c>
    </row>
    <row r="43" spans="1:12" s="24" customFormat="1">
      <c r="A43" s="6" t="s">
        <v>771</v>
      </c>
      <c r="C43" s="139"/>
    </row>
    <row r="44" spans="1:12" s="24" customFormat="1">
      <c r="A44" s="100" t="s">
        <v>43</v>
      </c>
      <c r="B44" s="183"/>
      <c r="C44" s="173"/>
      <c r="D44" s="100"/>
      <c r="E44" s="100"/>
      <c r="F44" s="100"/>
      <c r="G44" s="100"/>
      <c r="H44" s="100"/>
      <c r="I44" s="100"/>
      <c r="J44" s="100"/>
      <c r="K44" s="100"/>
      <c r="L44" s="100"/>
    </row>
    <row r="45" spans="1:12" s="24" customFormat="1">
      <c r="A45" s="100" t="s">
        <v>179</v>
      </c>
      <c r="B45" s="183"/>
      <c r="C45" s="173"/>
      <c r="D45" s="100"/>
      <c r="E45" s="100"/>
      <c r="F45" s="100"/>
      <c r="G45" s="100"/>
      <c r="H45" s="100"/>
      <c r="I45" s="100"/>
      <c r="J45" s="100"/>
      <c r="K45" s="100"/>
      <c r="L45" s="100"/>
    </row>
    <row r="46" spans="1:12" s="24" customFormat="1">
      <c r="A46" s="100" t="s">
        <v>180</v>
      </c>
      <c r="B46" s="183"/>
      <c r="C46" s="173"/>
      <c r="D46" s="100"/>
      <c r="E46" s="100"/>
      <c r="F46" s="100"/>
      <c r="G46" s="100"/>
      <c r="H46" s="100"/>
      <c r="I46" s="100"/>
      <c r="J46" s="100"/>
      <c r="K46" s="100"/>
      <c r="L46" s="100"/>
    </row>
    <row r="47" spans="1:12" s="24" customFormat="1">
      <c r="A47" s="100" t="s">
        <v>182</v>
      </c>
      <c r="B47" s="183"/>
      <c r="C47" s="173"/>
      <c r="D47" s="100"/>
      <c r="E47" s="100"/>
      <c r="F47" s="100"/>
      <c r="G47" s="100"/>
      <c r="H47" s="100"/>
      <c r="I47" s="100"/>
      <c r="J47" s="100"/>
      <c r="K47" s="100"/>
      <c r="L47" s="100"/>
    </row>
    <row r="48" spans="1:12" s="24" customFormat="1">
      <c r="A48" s="100" t="s">
        <v>910</v>
      </c>
      <c r="B48" s="184"/>
      <c r="C48" s="173"/>
      <c r="D48" s="100"/>
      <c r="E48" s="100"/>
      <c r="F48" s="100"/>
      <c r="G48" s="100"/>
      <c r="H48" s="100"/>
      <c r="I48" s="100"/>
      <c r="J48" s="100"/>
      <c r="K48" s="100"/>
      <c r="L48" s="100"/>
    </row>
    <row r="49" spans="1:12" s="24" customFormat="1">
      <c r="A49" s="483" t="s">
        <v>296</v>
      </c>
      <c r="B49" s="513">
        <f t="shared" ref="B49:H49" si="5">SUM(B44:B48)</f>
        <v>0</v>
      </c>
      <c r="C49" s="513">
        <f t="shared" si="5"/>
        <v>0</v>
      </c>
      <c r="D49" s="513">
        <f t="shared" si="5"/>
        <v>0</v>
      </c>
      <c r="E49" s="513">
        <f t="shared" si="5"/>
        <v>0</v>
      </c>
      <c r="F49" s="513">
        <f t="shared" si="5"/>
        <v>0</v>
      </c>
      <c r="G49" s="513">
        <f t="shared" si="5"/>
        <v>0</v>
      </c>
      <c r="H49" s="513">
        <f t="shared" si="5"/>
        <v>0</v>
      </c>
      <c r="I49" s="513">
        <f>SUM(I44:I48)</f>
        <v>0</v>
      </c>
      <c r="J49" s="513">
        <f>SUM(J44:J48)</f>
        <v>0</v>
      </c>
      <c r="K49" s="513">
        <f>SUM(K44:K48)</f>
        <v>0</v>
      </c>
      <c r="L49" s="513"/>
    </row>
    <row r="50" spans="1:12" s="24" customFormat="1">
      <c r="A50" s="172"/>
      <c r="B50" s="71"/>
      <c r="C50" s="139"/>
      <c r="D50" s="139"/>
      <c r="E50" s="139"/>
      <c r="F50" s="139"/>
      <c r="G50" s="139"/>
      <c r="H50" s="139"/>
    </row>
    <row r="51" spans="1:12" s="24" customFormat="1" ht="16">
      <c r="A51" s="105" t="s">
        <v>764</v>
      </c>
      <c r="C51" s="139"/>
      <c r="D51" s="139"/>
      <c r="E51" s="139"/>
      <c r="F51" s="139"/>
      <c r="G51" s="139"/>
      <c r="H51" s="139"/>
    </row>
    <row r="52" spans="1:12" s="24" customFormat="1">
      <c r="A52" s="90" t="s">
        <v>484</v>
      </c>
      <c r="B52" s="151">
        <v>0.03</v>
      </c>
      <c r="C52" s="139"/>
      <c r="D52" s="139"/>
      <c r="E52" s="139"/>
      <c r="F52" s="139"/>
      <c r="G52" s="139"/>
      <c r="H52" s="139"/>
    </row>
    <row r="53" spans="1:12" s="24" customFormat="1">
      <c r="A53" s="140" t="s">
        <v>333</v>
      </c>
      <c r="B53" s="79">
        <f>1/2000</f>
        <v>5.0000000000000001E-4</v>
      </c>
      <c r="C53" s="139"/>
      <c r="D53" s="139"/>
      <c r="E53" s="139"/>
      <c r="F53" s="139"/>
      <c r="G53" s="139"/>
      <c r="H53" s="139"/>
    </row>
    <row r="54" spans="1:12" s="24" customFormat="1">
      <c r="A54" s="172"/>
      <c r="B54" s="71"/>
      <c r="C54" s="139"/>
      <c r="D54" s="139"/>
      <c r="E54" s="139"/>
      <c r="F54" s="139"/>
      <c r="G54" s="139"/>
      <c r="H54" s="139"/>
    </row>
    <row r="55" spans="1:12" s="24" customFormat="1">
      <c r="A55" s="172"/>
      <c r="B55" s="71"/>
      <c r="C55" s="139"/>
      <c r="D55" s="139"/>
      <c r="E55" s="139"/>
      <c r="F55" s="139"/>
      <c r="G55" s="139"/>
      <c r="H55" s="139"/>
    </row>
    <row r="63" spans="1:12" ht="13.5" customHeight="1"/>
    <row r="64" spans="1:12" ht="14.25" customHeight="1"/>
    <row r="65" spans="1:8" ht="13.5" customHeight="1"/>
    <row r="66" spans="1:8" s="29" customFormat="1">
      <c r="A66"/>
      <c r="B66"/>
      <c r="C66"/>
    </row>
    <row r="74" spans="1:8">
      <c r="A74" s="9"/>
      <c r="B74" s="9"/>
      <c r="C74" s="9"/>
      <c r="D74" s="9"/>
    </row>
    <row r="75" spans="1:8">
      <c r="A75" s="24"/>
      <c r="B75" s="24"/>
      <c r="C75" s="24"/>
      <c r="D75" s="24"/>
    </row>
    <row r="80" spans="1:8">
      <c r="C80" s="9"/>
      <c r="D80" s="9"/>
      <c r="E80" s="9"/>
      <c r="F80" s="9"/>
      <c r="G80" s="9"/>
      <c r="H80" s="9"/>
    </row>
    <row r="81" spans="1:8">
      <c r="C81" s="24"/>
      <c r="D81" s="24"/>
      <c r="E81" s="24"/>
      <c r="F81" s="24"/>
      <c r="G81" s="24"/>
      <c r="H81" s="24"/>
    </row>
    <row r="83" spans="1:8">
      <c r="C83" s="9"/>
      <c r="D83" s="9"/>
      <c r="E83" s="9"/>
      <c r="F83" s="9"/>
      <c r="G83" s="9"/>
      <c r="H83" s="9"/>
    </row>
    <row r="84" spans="1:8">
      <c r="A84" s="1"/>
      <c r="C84" s="13"/>
      <c r="D84" s="13"/>
      <c r="E84" s="13"/>
      <c r="F84" s="13"/>
      <c r="G84" s="13"/>
      <c r="H84" s="13"/>
    </row>
    <row r="85" spans="1:8">
      <c r="A85" s="8"/>
    </row>
    <row r="86" spans="1:8">
      <c r="A86" s="8"/>
      <c r="C86" s="9"/>
      <c r="D86" s="9"/>
      <c r="E86" s="9"/>
      <c r="F86" s="9"/>
      <c r="G86" s="9"/>
      <c r="H86" s="9"/>
    </row>
    <row r="87" spans="1:8">
      <c r="A87" s="23"/>
      <c r="B87" s="24"/>
      <c r="C87" s="24"/>
      <c r="D87" s="24"/>
      <c r="E87" s="24"/>
      <c r="F87" s="24"/>
      <c r="G87" s="24"/>
      <c r="H87" s="24"/>
    </row>
    <row r="89" spans="1:8">
      <c r="A89" s="10"/>
      <c r="C89" s="11"/>
      <c r="D89" s="11"/>
      <c r="E89" s="11"/>
      <c r="F89" s="11"/>
      <c r="G89" s="11"/>
      <c r="H89" s="11"/>
    </row>
    <row r="93" spans="1:8" ht="16">
      <c r="A93" s="19"/>
    </row>
    <row r="94" spans="1:8" ht="16">
      <c r="A94" s="20"/>
    </row>
    <row r="95" spans="1:8" ht="16">
      <c r="A95" s="21"/>
    </row>
    <row r="96" spans="1:8" ht="16">
      <c r="A96" s="12"/>
    </row>
    <row r="97" spans="1:1" ht="16">
      <c r="A97" s="21"/>
    </row>
    <row r="98" spans="1:1" ht="16">
      <c r="A98" s="12"/>
    </row>
    <row r="99" spans="1:1" ht="16">
      <c r="A99" s="12"/>
    </row>
    <row r="100" spans="1:1" ht="16">
      <c r="A100" s="20"/>
    </row>
    <row r="101" spans="1:1" ht="16">
      <c r="A101" s="21"/>
    </row>
    <row r="102" spans="1:1" ht="16">
      <c r="A102" s="12"/>
    </row>
    <row r="103" spans="1:1" ht="16">
      <c r="A103" s="21"/>
    </row>
    <row r="104" spans="1:1" ht="16">
      <c r="A104" s="12"/>
    </row>
  </sheetData>
  <mergeCells count="4">
    <mergeCell ref="A1:H2"/>
    <mergeCell ref="A13:C13"/>
    <mergeCell ref="A21:C21"/>
    <mergeCell ref="A3:H4"/>
  </mergeCells>
  <phoneticPr fontId="3" type="noConversion"/>
  <pageMargins left="0.5" right="0.5" top="0.5" bottom="0.5" header="0.5" footer="0.5"/>
  <pageSetup orientation="portrait"/>
  <headerFooter alignWithMargins="0"/>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65"/>
  <sheetViews>
    <sheetView zoomScaleNormal="100" workbookViewId="0">
      <selection activeCell="A11" sqref="A11"/>
    </sheetView>
  </sheetViews>
  <sheetFormatPr baseColWidth="10" defaultColWidth="8.83203125" defaultRowHeight="13"/>
  <cols>
    <col min="1" max="1" width="25.5" customWidth="1"/>
    <col min="2" max="2" width="13" customWidth="1"/>
    <col min="3" max="3" width="11.1640625" bestFit="1" customWidth="1"/>
    <col min="4" max="4" width="11.1640625" customWidth="1"/>
    <col min="5" max="5" width="10.5" customWidth="1"/>
    <col min="6" max="6" width="11.1640625" customWidth="1"/>
    <col min="7" max="8" width="6.5" customWidth="1"/>
    <col min="9" max="10" width="11.1640625" bestFit="1" customWidth="1"/>
    <col min="12" max="12" width="6.5" customWidth="1"/>
    <col min="13" max="14" width="11.1640625" bestFit="1" customWidth="1"/>
    <col min="16" max="16" width="6.5" customWidth="1"/>
    <col min="17" max="19" width="11.1640625" bestFit="1" customWidth="1"/>
    <col min="20" max="20" width="10.5" bestFit="1" customWidth="1"/>
  </cols>
  <sheetData>
    <row r="1" spans="1:13" ht="27.75" customHeight="1">
      <c r="A1" s="891" t="s">
        <v>682</v>
      </c>
      <c r="B1" s="891"/>
      <c r="C1" s="891"/>
      <c r="D1" s="891"/>
      <c r="E1" s="891"/>
      <c r="F1" s="891"/>
      <c r="G1" s="891"/>
      <c r="H1" s="149"/>
    </row>
    <row r="2" spans="1:13" ht="13.5" customHeight="1">
      <c r="A2" s="891"/>
      <c r="B2" s="891"/>
      <c r="C2" s="891"/>
      <c r="D2" s="891"/>
      <c r="E2" s="891"/>
      <c r="F2" s="891"/>
      <c r="G2" s="891"/>
      <c r="H2" s="149"/>
    </row>
    <row r="3" spans="1:13" ht="12.75" customHeight="1">
      <c r="A3" s="839" t="s">
        <v>713</v>
      </c>
      <c r="B3" s="839"/>
      <c r="C3" s="839"/>
      <c r="D3" s="839"/>
      <c r="E3" s="839"/>
      <c r="F3" s="839"/>
      <c r="G3" s="839"/>
      <c r="H3" s="142"/>
      <c r="I3" s="22"/>
      <c r="J3" s="22"/>
      <c r="K3" s="22"/>
      <c r="L3" s="22"/>
    </row>
    <row r="4" spans="1:13">
      <c r="A4" s="839"/>
      <c r="B4" s="839"/>
      <c r="C4" s="839"/>
      <c r="D4" s="839"/>
      <c r="E4" s="839"/>
      <c r="F4" s="839"/>
      <c r="G4" s="839"/>
      <c r="H4" s="142"/>
      <c r="I4" s="17"/>
      <c r="J4" s="17"/>
      <c r="K4" s="17"/>
      <c r="L4" s="17"/>
    </row>
    <row r="5" spans="1:13">
      <c r="A5" s="37"/>
      <c r="B5" s="37"/>
      <c r="C5" s="37"/>
      <c r="H5" s="5"/>
      <c r="I5" s="5"/>
      <c r="J5" s="5"/>
      <c r="K5" s="5"/>
      <c r="L5" s="5"/>
    </row>
    <row r="6" spans="1:13" ht="17">
      <c r="A6" s="147" t="s">
        <v>764</v>
      </c>
      <c r="B6" s="147"/>
      <c r="C6" s="37"/>
      <c r="H6" s="5"/>
      <c r="I6" s="5"/>
      <c r="J6" s="5"/>
      <c r="K6" s="5"/>
      <c r="L6" s="5"/>
    </row>
    <row r="7" spans="1:13">
      <c r="A7" s="90" t="s">
        <v>728</v>
      </c>
      <c r="B7" s="840" t="s">
        <v>620</v>
      </c>
      <c r="C7" s="840"/>
      <c r="G7" s="5"/>
      <c r="H7" s="5"/>
      <c r="I7" s="5"/>
      <c r="J7" s="5"/>
      <c r="K7" s="5"/>
    </row>
    <row r="8" spans="1:13">
      <c r="A8" s="37"/>
      <c r="B8" s="37"/>
      <c r="C8" s="37"/>
      <c r="H8" s="5"/>
      <c r="I8" s="5"/>
      <c r="J8" s="5"/>
      <c r="K8" s="5"/>
      <c r="L8" s="5"/>
    </row>
    <row r="9" spans="1:13" ht="16">
      <c r="A9" s="4" t="s">
        <v>821</v>
      </c>
      <c r="B9" s="4"/>
      <c r="F9" s="24"/>
      <c r="G9" s="83"/>
      <c r="H9" s="110"/>
      <c r="I9" s="110"/>
      <c r="J9" s="110"/>
      <c r="K9" s="110"/>
      <c r="L9" s="115"/>
      <c r="M9" s="24"/>
    </row>
    <row r="10" spans="1:13">
      <c r="A10" s="6" t="s">
        <v>628</v>
      </c>
      <c r="B10" s="6" t="s">
        <v>411</v>
      </c>
    </row>
    <row r="11" spans="1:13" s="29" customFormat="1">
      <c r="A11" s="91" t="s">
        <v>598</v>
      </c>
      <c r="B11" s="841" t="s">
        <v>739</v>
      </c>
      <c r="C11" s="841"/>
      <c r="D11" s="841"/>
      <c r="E11" s="841"/>
      <c r="F11" s="841"/>
      <c r="G11" s="841"/>
    </row>
    <row r="12" spans="1:13" s="29" customFormat="1">
      <c r="A12" s="26"/>
      <c r="B12" s="841"/>
      <c r="C12" s="841"/>
      <c r="D12" s="841"/>
      <c r="E12" s="841"/>
      <c r="F12" s="841"/>
      <c r="G12" s="841"/>
    </row>
    <row r="13" spans="1:13">
      <c r="A13" s="126"/>
      <c r="B13" s="126"/>
      <c r="C13" s="29"/>
    </row>
    <row r="14" spans="1:13" ht="16">
      <c r="A14" s="4" t="s">
        <v>788</v>
      </c>
    </row>
    <row r="15" spans="1:13">
      <c r="A15" s="26" t="s">
        <v>43</v>
      </c>
      <c r="B15" s="841" t="s">
        <v>680</v>
      </c>
      <c r="C15" s="841"/>
      <c r="D15" s="841"/>
      <c r="E15" s="841"/>
      <c r="F15" s="841"/>
      <c r="G15" s="841"/>
    </row>
    <row r="16" spans="1:13">
      <c r="A16" s="26"/>
      <c r="B16" s="841"/>
      <c r="C16" s="841"/>
      <c r="D16" s="841"/>
      <c r="E16" s="841"/>
      <c r="F16" s="841"/>
      <c r="G16" s="841"/>
    </row>
    <row r="17" spans="1:7" s="29" customFormat="1" ht="12.75" customHeight="1">
      <c r="A17" s="26" t="s">
        <v>179</v>
      </c>
      <c r="B17" s="841" t="s">
        <v>680</v>
      </c>
      <c r="C17" s="841"/>
      <c r="D17" s="841"/>
      <c r="E17" s="841"/>
      <c r="F17" s="841"/>
      <c r="G17" s="841"/>
    </row>
    <row r="18" spans="1:7" s="29" customFormat="1" ht="12.75" customHeight="1">
      <c r="A18" s="26"/>
      <c r="B18" s="841"/>
      <c r="C18" s="841"/>
      <c r="D18" s="841"/>
      <c r="E18" s="841"/>
      <c r="F18" s="841"/>
      <c r="G18" s="841"/>
    </row>
    <row r="19" spans="1:7" s="29" customFormat="1">
      <c r="A19" s="26" t="s">
        <v>180</v>
      </c>
      <c r="B19" s="841" t="s">
        <v>680</v>
      </c>
      <c r="C19" s="841"/>
      <c r="D19" s="841"/>
      <c r="E19" s="841"/>
      <c r="F19" s="841"/>
      <c r="G19" s="841"/>
    </row>
    <row r="20" spans="1:7" s="29" customFormat="1">
      <c r="A20" s="26"/>
      <c r="B20" s="841"/>
      <c r="C20" s="841"/>
      <c r="D20" s="841"/>
      <c r="E20" s="841"/>
      <c r="F20" s="841"/>
      <c r="G20" s="841"/>
    </row>
    <row r="21" spans="1:7" s="29" customFormat="1">
      <c r="A21" s="26" t="s">
        <v>182</v>
      </c>
      <c r="B21" s="841" t="s">
        <v>680</v>
      </c>
      <c r="C21" s="841"/>
      <c r="D21" s="841"/>
      <c r="E21" s="841"/>
      <c r="F21" s="841"/>
      <c r="G21" s="841"/>
    </row>
    <row r="22" spans="1:7" s="29" customFormat="1">
      <c r="A22" s="26"/>
      <c r="B22" s="841"/>
      <c r="C22" s="841"/>
      <c r="D22" s="841"/>
      <c r="E22" s="841"/>
      <c r="F22" s="841"/>
      <c r="G22" s="841"/>
    </row>
    <row r="23" spans="1:7" s="29" customFormat="1" ht="12.75" customHeight="1">
      <c r="A23" s="26" t="s">
        <v>910</v>
      </c>
      <c r="B23" s="841" t="s">
        <v>680</v>
      </c>
      <c r="C23" s="841"/>
      <c r="D23" s="841"/>
      <c r="E23" s="841"/>
      <c r="F23" s="841"/>
      <c r="G23" s="841"/>
    </row>
    <row r="24" spans="1:7" s="29" customFormat="1" ht="12.75" customHeight="1">
      <c r="A24" s="26"/>
      <c r="B24" s="841"/>
      <c r="C24" s="841"/>
      <c r="D24" s="841"/>
      <c r="E24" s="841"/>
      <c r="F24" s="841"/>
      <c r="G24" s="841"/>
    </row>
    <row r="25" spans="1:7" s="29" customFormat="1" ht="12.75" customHeight="1">
      <c r="B25" s="194"/>
      <c r="C25" s="194"/>
      <c r="D25" s="194"/>
      <c r="E25" s="194"/>
      <c r="F25" s="194"/>
      <c r="G25" s="194"/>
    </row>
    <row r="26" spans="1:7" s="29" customFormat="1" ht="12.75" customHeight="1">
      <c r="A26" s="55" t="s">
        <v>600</v>
      </c>
    </row>
    <row r="27" spans="1:7" s="29" customFormat="1" ht="12.75" customHeight="1">
      <c r="A27" s="26" t="s">
        <v>43</v>
      </c>
      <c r="B27" s="841" t="s">
        <v>680</v>
      </c>
      <c r="C27" s="841"/>
      <c r="D27" s="841"/>
      <c r="E27" s="841"/>
      <c r="F27" s="841"/>
      <c r="G27" s="841"/>
    </row>
    <row r="28" spans="1:7" s="29" customFormat="1" ht="12.75" customHeight="1">
      <c r="A28" s="26"/>
      <c r="B28" s="841"/>
      <c r="C28" s="841"/>
      <c r="D28" s="841"/>
      <c r="E28" s="841"/>
      <c r="F28" s="841"/>
      <c r="G28" s="841"/>
    </row>
    <row r="29" spans="1:7" s="29" customFormat="1" ht="12.75" customHeight="1">
      <c r="A29" s="26" t="s">
        <v>179</v>
      </c>
      <c r="B29" s="841" t="s">
        <v>680</v>
      </c>
      <c r="C29" s="841"/>
      <c r="D29" s="841"/>
      <c r="E29" s="841"/>
      <c r="F29" s="841"/>
      <c r="G29" s="841"/>
    </row>
    <row r="30" spans="1:7" s="29" customFormat="1" ht="12.75" customHeight="1">
      <c r="A30" s="26"/>
      <c r="B30" s="841"/>
      <c r="C30" s="841"/>
      <c r="D30" s="841"/>
      <c r="E30" s="841"/>
      <c r="F30" s="841"/>
      <c r="G30" s="841"/>
    </row>
    <row r="31" spans="1:7" s="29" customFormat="1" ht="12.75" customHeight="1">
      <c r="A31" s="26" t="s">
        <v>180</v>
      </c>
      <c r="B31" s="841" t="s">
        <v>680</v>
      </c>
      <c r="C31" s="841"/>
      <c r="D31" s="841"/>
      <c r="E31" s="841"/>
      <c r="F31" s="841"/>
      <c r="G31" s="841"/>
    </row>
    <row r="32" spans="1:7" s="29" customFormat="1" ht="12.75" customHeight="1">
      <c r="A32" s="26"/>
      <c r="B32" s="841"/>
      <c r="C32" s="841"/>
      <c r="D32" s="841"/>
      <c r="E32" s="841"/>
      <c r="F32" s="841"/>
      <c r="G32" s="841"/>
    </row>
    <row r="33" spans="1:7" s="29" customFormat="1" ht="12.75" customHeight="1">
      <c r="A33" s="26" t="s">
        <v>182</v>
      </c>
      <c r="B33" s="841" t="s">
        <v>680</v>
      </c>
      <c r="C33" s="841"/>
      <c r="D33" s="841"/>
      <c r="E33" s="841"/>
      <c r="F33" s="841"/>
      <c r="G33" s="841"/>
    </row>
    <row r="34" spans="1:7" s="29" customFormat="1" ht="12.75" customHeight="1">
      <c r="A34" s="26"/>
      <c r="B34" s="841"/>
      <c r="C34" s="841"/>
      <c r="D34" s="841"/>
      <c r="E34" s="841"/>
      <c r="F34" s="841"/>
      <c r="G34" s="841"/>
    </row>
    <row r="35" spans="1:7" s="29" customFormat="1" ht="12.75" customHeight="1">
      <c r="A35" s="26" t="s">
        <v>910</v>
      </c>
      <c r="B35" s="841" t="s">
        <v>680</v>
      </c>
      <c r="C35" s="841"/>
      <c r="D35" s="841"/>
      <c r="E35" s="841"/>
      <c r="F35" s="841"/>
      <c r="G35" s="841"/>
    </row>
    <row r="36" spans="1:7" s="29" customFormat="1">
      <c r="A36" s="26"/>
      <c r="B36" s="841"/>
      <c r="C36" s="841"/>
      <c r="D36" s="841"/>
      <c r="E36" s="841"/>
      <c r="F36" s="841"/>
      <c r="G36" s="841"/>
    </row>
    <row r="37" spans="1:7" s="29" customFormat="1" ht="12.75" customHeight="1"/>
    <row r="38" spans="1:7" s="29" customFormat="1"/>
    <row r="39" spans="1:7" s="29" customFormat="1" ht="12.75" customHeight="1"/>
    <row r="40" spans="1:7" s="29" customFormat="1"/>
    <row r="41" spans="1:7" s="29" customFormat="1" ht="12.75" customHeight="1"/>
    <row r="42" spans="1:7" s="29" customFormat="1"/>
    <row r="43" spans="1:7" s="29" customFormat="1" ht="12.75" customHeight="1"/>
    <row r="44" spans="1:7" s="29" customFormat="1"/>
    <row r="45" spans="1:7" s="29" customFormat="1" ht="12.75" customHeight="1"/>
    <row r="46" spans="1:7" s="29" customFormat="1"/>
    <row r="47" spans="1:7" s="29" customFormat="1"/>
    <row r="48" spans="1:7" s="29" customFormat="1"/>
    <row r="49" spans="1:2" s="29" customFormat="1"/>
    <row r="50" spans="1:2" s="29" customFormat="1"/>
    <row r="51" spans="1:2" s="29" customFormat="1"/>
    <row r="52" spans="1:2" s="29" customFormat="1"/>
    <row r="53" spans="1:2" s="29" customFormat="1"/>
    <row r="54" spans="1:2" ht="16">
      <c r="A54" s="19"/>
      <c r="B54" s="20"/>
    </row>
    <row r="55" spans="1:2" ht="16">
      <c r="A55" s="20"/>
      <c r="B55" s="21"/>
    </row>
    <row r="56" spans="1:2" ht="16">
      <c r="A56" s="21"/>
      <c r="B56" s="12"/>
    </row>
    <row r="57" spans="1:2" ht="16">
      <c r="A57" s="12"/>
      <c r="B57" s="21"/>
    </row>
    <row r="58" spans="1:2" ht="16">
      <c r="A58" s="21"/>
      <c r="B58" s="12"/>
    </row>
    <row r="59" spans="1:2" ht="16">
      <c r="A59" s="12"/>
      <c r="B59" s="12"/>
    </row>
    <row r="60" spans="1:2" ht="16">
      <c r="A60" s="12"/>
      <c r="B60" s="20"/>
    </row>
    <row r="61" spans="1:2" ht="16">
      <c r="A61" s="20"/>
      <c r="B61" s="21"/>
    </row>
    <row r="62" spans="1:2" ht="16">
      <c r="A62" s="21"/>
      <c r="B62" s="12"/>
    </row>
    <row r="63" spans="1:2" ht="16">
      <c r="A63" s="12"/>
      <c r="B63" s="21"/>
    </row>
    <row r="64" spans="1:2" ht="16">
      <c r="A64" s="21"/>
      <c r="B64" s="12"/>
    </row>
    <row r="65" spans="1:1" ht="16">
      <c r="A65" s="12"/>
    </row>
  </sheetData>
  <mergeCells count="14">
    <mergeCell ref="A1:G2"/>
    <mergeCell ref="B7:C7"/>
    <mergeCell ref="B11:G12"/>
    <mergeCell ref="A3:G4"/>
    <mergeCell ref="B33:G34"/>
    <mergeCell ref="B35:G36"/>
    <mergeCell ref="B15:G16"/>
    <mergeCell ref="B17:G18"/>
    <mergeCell ref="B19:G20"/>
    <mergeCell ref="B21:G22"/>
    <mergeCell ref="B23:G24"/>
    <mergeCell ref="B27:G28"/>
    <mergeCell ref="B29:G30"/>
    <mergeCell ref="B31:G32"/>
  </mergeCells>
  <phoneticPr fontId="3" type="noConversion"/>
  <pageMargins left="0.5" right="0.5" top="0.5" bottom="0.5" header="0.5" footer="0.5"/>
  <pageSetup orientation="portrait" horizontalDpi="4294967293" verticalDpi="4294967293"/>
  <headerFooter alignWithMargins="0"/>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indexed="59"/>
  </sheetPr>
  <dimension ref="A1:Y282"/>
  <sheetViews>
    <sheetView zoomScale="133" zoomScaleNormal="133" workbookViewId="0">
      <selection activeCell="G28" sqref="G28"/>
    </sheetView>
  </sheetViews>
  <sheetFormatPr baseColWidth="10" defaultColWidth="8.83203125" defaultRowHeight="13"/>
  <cols>
    <col min="1" max="1" width="22.83203125" customWidth="1"/>
    <col min="2" max="2" width="10.5" customWidth="1"/>
    <col min="3" max="3" width="8.5" customWidth="1"/>
    <col min="4" max="4" width="9.5" customWidth="1"/>
    <col min="6" max="6" width="12.1640625" customWidth="1"/>
    <col min="7" max="7" width="12.83203125" customWidth="1"/>
    <col min="8" max="8" width="11.6640625" customWidth="1"/>
    <col min="9" max="9" width="12.6640625" customWidth="1"/>
    <col min="10" max="10" width="11.83203125" customWidth="1"/>
    <col min="11" max="11" width="13.6640625" customWidth="1"/>
    <col min="12" max="12" width="12" customWidth="1"/>
    <col min="13" max="13" width="12.83203125" customWidth="1"/>
    <col min="14" max="14" width="13.33203125" customWidth="1"/>
    <col min="15" max="15" width="12.6640625" customWidth="1"/>
    <col min="16" max="16" width="23.6640625" customWidth="1"/>
  </cols>
  <sheetData>
    <row r="1" spans="1:15" ht="27.75" customHeight="1">
      <c r="A1" s="393" t="s">
        <v>978</v>
      </c>
      <c r="B1" s="393"/>
      <c r="C1" s="393"/>
      <c r="D1" s="393"/>
      <c r="E1" s="393"/>
      <c r="F1" s="393"/>
      <c r="G1" s="393"/>
      <c r="H1" s="393"/>
      <c r="I1" s="393"/>
      <c r="J1" s="393"/>
      <c r="K1" s="393"/>
      <c r="L1" s="191"/>
      <c r="M1" s="191"/>
      <c r="N1" s="191"/>
      <c r="O1" s="191"/>
    </row>
    <row r="2" spans="1:15" ht="36" customHeight="1">
      <c r="A2" s="893" t="s">
        <v>1010</v>
      </c>
      <c r="B2" s="893"/>
      <c r="C2" s="893"/>
      <c r="D2" s="893"/>
      <c r="E2" s="893"/>
      <c r="F2" s="893"/>
      <c r="G2" s="893"/>
      <c r="H2" s="893"/>
      <c r="I2" s="893"/>
      <c r="J2" s="893"/>
      <c r="K2" s="199"/>
      <c r="L2" s="199"/>
      <c r="M2" s="199"/>
      <c r="N2" s="199"/>
    </row>
    <row r="3" spans="1:15">
      <c r="A3" s="199"/>
      <c r="B3" s="199"/>
      <c r="C3" s="199"/>
      <c r="D3" s="199"/>
      <c r="E3" s="199"/>
      <c r="F3" s="199"/>
      <c r="G3" s="199"/>
      <c r="H3" s="199"/>
      <c r="I3" s="199"/>
      <c r="J3" s="199"/>
      <c r="K3" s="199"/>
      <c r="L3" s="199"/>
      <c r="M3" s="199"/>
      <c r="N3" s="199"/>
    </row>
    <row r="4" spans="1:15" ht="16">
      <c r="A4" s="4" t="s">
        <v>882</v>
      </c>
    </row>
    <row r="5" spans="1:15">
      <c r="B5" s="10" t="s">
        <v>490</v>
      </c>
    </row>
    <row r="6" spans="1:15">
      <c r="A6" s="10" t="s">
        <v>411</v>
      </c>
      <c r="B6" s="22" t="s">
        <v>310</v>
      </c>
      <c r="C6" s="11" t="s">
        <v>339</v>
      </c>
      <c r="D6" s="11" t="s">
        <v>731</v>
      </c>
      <c r="E6" s="22"/>
      <c r="G6" s="11"/>
      <c r="I6" s="5"/>
    </row>
    <row r="7" spans="1:15">
      <c r="A7" s="483" t="s">
        <v>783</v>
      </c>
      <c r="B7" s="484">
        <f>C204</f>
        <v>4050.3</v>
      </c>
      <c r="C7" s="484">
        <f>E204</f>
        <v>2331.8000000000002</v>
      </c>
      <c r="D7" s="484">
        <f>H204</f>
        <v>3374.4</v>
      </c>
      <c r="E7" s="435"/>
      <c r="F7" s="29"/>
      <c r="G7" s="435"/>
      <c r="I7" s="5"/>
    </row>
    <row r="9" spans="1:15" ht="16">
      <c r="A9" s="4" t="s">
        <v>542</v>
      </c>
      <c r="B9" s="2"/>
      <c r="C9" s="2"/>
      <c r="D9" s="2"/>
      <c r="E9" s="2"/>
      <c r="F9" s="2"/>
      <c r="G9" s="2"/>
    </row>
    <row r="10" spans="1:15">
      <c r="A10" s="862" t="s">
        <v>740</v>
      </c>
      <c r="B10" s="862"/>
      <c r="C10" s="862"/>
      <c r="D10" s="862"/>
      <c r="E10" s="862"/>
      <c r="F10" s="862"/>
      <c r="G10" s="410"/>
    </row>
    <row r="11" spans="1:15">
      <c r="A11" s="410"/>
      <c r="B11" s="410"/>
      <c r="C11" s="410"/>
      <c r="D11" s="410"/>
      <c r="E11" s="410"/>
      <c r="F11" s="410"/>
      <c r="G11" s="410"/>
    </row>
    <row r="12" spans="1:15">
      <c r="A12" s="10"/>
      <c r="B12" s="119" t="s">
        <v>629</v>
      </c>
      <c r="C12" s="411" t="s">
        <v>37</v>
      </c>
      <c r="D12" s="412"/>
      <c r="E12" s="427" t="s">
        <v>252</v>
      </c>
      <c r="F12" s="423"/>
      <c r="G12" s="416" t="s">
        <v>253</v>
      </c>
      <c r="H12" s="191"/>
    </row>
    <row r="13" spans="1:15" ht="15.75" customHeight="1">
      <c r="A13" s="6" t="s">
        <v>628</v>
      </c>
      <c r="B13" s="3"/>
      <c r="C13" s="413" t="s">
        <v>38</v>
      </c>
      <c r="D13" s="413" t="s">
        <v>39</v>
      </c>
      <c r="E13" s="423" t="s">
        <v>33</v>
      </c>
      <c r="F13" s="423" t="s">
        <v>34</v>
      </c>
      <c r="G13" s="191" t="s">
        <v>33</v>
      </c>
      <c r="H13" s="191" t="s">
        <v>34</v>
      </c>
    </row>
    <row r="14" spans="1:15" s="47" customFormat="1">
      <c r="A14" s="431" t="s">
        <v>613</v>
      </c>
      <c r="B14" s="432"/>
      <c r="C14" s="29"/>
      <c r="D14" s="29"/>
    </row>
    <row r="15" spans="1:15" s="47" customFormat="1">
      <c r="A15" s="441" t="s">
        <v>754</v>
      </c>
      <c r="B15" s="433">
        <v>10.42</v>
      </c>
      <c r="C15" s="413">
        <v>2.8</v>
      </c>
      <c r="D15" s="413">
        <f>B15*C15*2</f>
        <v>58.351999999999997</v>
      </c>
      <c r="E15" s="424">
        <v>6.4</v>
      </c>
      <c r="F15" s="424">
        <f t="shared" ref="F15:F46" si="0">B15*E15*2</f>
        <v>133.376</v>
      </c>
      <c r="G15" s="417">
        <v>8.33</v>
      </c>
      <c r="H15" s="418">
        <f t="shared" ref="H15:H46" si="1">B15*G15*2</f>
        <v>173.59719999999999</v>
      </c>
    </row>
    <row r="16" spans="1:15" s="47" customFormat="1">
      <c r="A16" s="441" t="s">
        <v>248</v>
      </c>
      <c r="B16" s="433">
        <v>202.4</v>
      </c>
      <c r="C16" s="414">
        <v>0</v>
      </c>
      <c r="D16" s="413">
        <f t="shared" ref="D16:D46" si="2">B16*C16*2</f>
        <v>0</v>
      </c>
      <c r="E16" s="425">
        <v>0</v>
      </c>
      <c r="F16" s="424">
        <f t="shared" si="0"/>
        <v>0</v>
      </c>
      <c r="G16" s="418">
        <v>0</v>
      </c>
      <c r="H16" s="418">
        <f t="shared" si="1"/>
        <v>0</v>
      </c>
    </row>
    <row r="17" spans="1:8" s="47" customFormat="1">
      <c r="A17" s="441" t="s">
        <v>57</v>
      </c>
      <c r="B17" s="433">
        <v>145.61000000000001</v>
      </c>
      <c r="C17" s="414">
        <v>0</v>
      </c>
      <c r="D17" s="413">
        <f t="shared" si="2"/>
        <v>0</v>
      </c>
      <c r="E17" s="425">
        <v>0</v>
      </c>
      <c r="F17" s="424">
        <f t="shared" si="0"/>
        <v>0</v>
      </c>
      <c r="G17" s="417">
        <v>0</v>
      </c>
      <c r="H17" s="418">
        <f t="shared" si="1"/>
        <v>0</v>
      </c>
    </row>
    <row r="18" spans="1:8" s="47" customFormat="1">
      <c r="A18" s="441" t="s">
        <v>471</v>
      </c>
      <c r="B18" s="433">
        <v>453.5</v>
      </c>
      <c r="C18" s="414">
        <v>0</v>
      </c>
      <c r="D18" s="413">
        <f t="shared" si="2"/>
        <v>0</v>
      </c>
      <c r="E18" s="425">
        <v>1</v>
      </c>
      <c r="F18" s="424">
        <f t="shared" si="0"/>
        <v>907</v>
      </c>
      <c r="G18" s="418">
        <v>0</v>
      </c>
      <c r="H18" s="418">
        <f t="shared" si="1"/>
        <v>0</v>
      </c>
    </row>
    <row r="19" spans="1:8" s="47" customFormat="1">
      <c r="A19" s="441" t="s">
        <v>755</v>
      </c>
      <c r="B19" s="433">
        <v>76.88</v>
      </c>
      <c r="C19" s="414">
        <v>0</v>
      </c>
      <c r="D19" s="413">
        <f t="shared" si="2"/>
        <v>0</v>
      </c>
      <c r="E19" s="425">
        <v>1</v>
      </c>
      <c r="F19" s="424">
        <f t="shared" si="0"/>
        <v>153.76</v>
      </c>
      <c r="G19" s="418">
        <v>1</v>
      </c>
      <c r="H19" s="418">
        <f t="shared" si="1"/>
        <v>153.76</v>
      </c>
    </row>
    <row r="20" spans="1:8" s="47" customFormat="1">
      <c r="A20" s="441" t="s">
        <v>756</v>
      </c>
      <c r="B20" s="433">
        <v>50.74</v>
      </c>
      <c r="C20" s="414">
        <v>0</v>
      </c>
      <c r="D20" s="413">
        <f t="shared" si="2"/>
        <v>0</v>
      </c>
      <c r="E20" s="425">
        <v>0</v>
      </c>
      <c r="F20" s="424">
        <f t="shared" si="0"/>
        <v>0</v>
      </c>
      <c r="G20" s="418">
        <v>0</v>
      </c>
      <c r="H20" s="418">
        <f t="shared" si="1"/>
        <v>0</v>
      </c>
    </row>
    <row r="21" spans="1:8" s="47" customFormat="1">
      <c r="A21" s="441" t="s">
        <v>720</v>
      </c>
      <c r="B21" s="433">
        <v>26.2</v>
      </c>
      <c r="C21" s="413">
        <v>1.8</v>
      </c>
      <c r="D21" s="413">
        <f t="shared" si="2"/>
        <v>94.32</v>
      </c>
      <c r="E21" s="425">
        <v>1.32</v>
      </c>
      <c r="F21" s="424">
        <f t="shared" si="0"/>
        <v>69.168000000000006</v>
      </c>
      <c r="G21" s="417">
        <v>2</v>
      </c>
      <c r="H21" s="418">
        <f t="shared" si="1"/>
        <v>104.8</v>
      </c>
    </row>
    <row r="22" spans="1:8" s="47" customFormat="1">
      <c r="A22" s="441" t="s">
        <v>58</v>
      </c>
      <c r="B22" s="433">
        <v>355.47</v>
      </c>
      <c r="C22" s="413">
        <v>0.8</v>
      </c>
      <c r="D22" s="413">
        <f t="shared" si="2"/>
        <v>568.75200000000007</v>
      </c>
      <c r="E22" s="425">
        <v>0</v>
      </c>
      <c r="F22" s="424">
        <f t="shared" si="0"/>
        <v>0</v>
      </c>
      <c r="G22" s="418">
        <v>0</v>
      </c>
      <c r="H22" s="418">
        <f t="shared" si="1"/>
        <v>0</v>
      </c>
    </row>
    <row r="23" spans="1:8" s="47" customFormat="1">
      <c r="A23" s="441" t="s">
        <v>573</v>
      </c>
      <c r="B23" s="433">
        <v>28.16</v>
      </c>
      <c r="C23" s="414">
        <v>0</v>
      </c>
      <c r="D23" s="413">
        <f t="shared" si="2"/>
        <v>0</v>
      </c>
      <c r="E23" s="425">
        <v>1</v>
      </c>
      <c r="F23" s="424">
        <f t="shared" si="0"/>
        <v>56.32</v>
      </c>
      <c r="G23" s="418">
        <v>1</v>
      </c>
      <c r="H23" s="418">
        <f t="shared" si="1"/>
        <v>56.32</v>
      </c>
    </row>
    <row r="24" spans="1:8" s="47" customFormat="1">
      <c r="A24" s="441" t="s">
        <v>300</v>
      </c>
      <c r="B24" s="433">
        <v>194.69</v>
      </c>
      <c r="C24" s="413">
        <v>2.8</v>
      </c>
      <c r="D24" s="413">
        <f t="shared" si="2"/>
        <v>1090.2639999999999</v>
      </c>
      <c r="E24" s="425">
        <v>0</v>
      </c>
      <c r="F24" s="424">
        <f t="shared" si="0"/>
        <v>0</v>
      </c>
      <c r="G24" s="417">
        <v>1</v>
      </c>
      <c r="H24" s="418">
        <f t="shared" si="1"/>
        <v>389.38</v>
      </c>
    </row>
    <row r="25" spans="1:8" s="47" customFormat="1">
      <c r="A25" s="441" t="s">
        <v>591</v>
      </c>
      <c r="B25" s="433">
        <v>17.2</v>
      </c>
      <c r="C25" s="413">
        <v>15.8</v>
      </c>
      <c r="D25" s="413">
        <f t="shared" si="2"/>
        <v>543.52</v>
      </c>
      <c r="E25" s="425">
        <v>46.3</v>
      </c>
      <c r="F25" s="424">
        <f t="shared" si="0"/>
        <v>1592.7199999999998</v>
      </c>
      <c r="G25" s="417">
        <v>51.04</v>
      </c>
      <c r="H25" s="418">
        <f t="shared" si="1"/>
        <v>1755.7759999999998</v>
      </c>
    </row>
    <row r="26" spans="1:8" s="47" customFormat="1">
      <c r="A26" s="441" t="s">
        <v>232</v>
      </c>
      <c r="B26" s="433">
        <v>8.02</v>
      </c>
      <c r="C26" s="413">
        <v>13</v>
      </c>
      <c r="D26" s="413">
        <f t="shared" si="2"/>
        <v>208.51999999999998</v>
      </c>
      <c r="E26" s="425">
        <v>21.2</v>
      </c>
      <c r="F26" s="424">
        <f t="shared" si="0"/>
        <v>340.04799999999994</v>
      </c>
      <c r="G26" s="417">
        <v>23.87</v>
      </c>
      <c r="H26" s="418">
        <f t="shared" si="1"/>
        <v>382.87479999999999</v>
      </c>
    </row>
    <row r="27" spans="1:8" s="47" customFormat="1">
      <c r="A27" s="441" t="s">
        <v>59</v>
      </c>
      <c r="B27" s="433">
        <v>199.37</v>
      </c>
      <c r="C27" s="414">
        <v>0</v>
      </c>
      <c r="D27" s="413">
        <f t="shared" si="2"/>
        <v>0</v>
      </c>
      <c r="E27" s="425">
        <v>0</v>
      </c>
      <c r="F27" s="424">
        <f t="shared" si="0"/>
        <v>0</v>
      </c>
      <c r="G27" s="417">
        <v>0</v>
      </c>
      <c r="H27" s="418">
        <f t="shared" si="1"/>
        <v>0</v>
      </c>
    </row>
    <row r="28" spans="1:8" s="47" customFormat="1">
      <c r="A28" s="441" t="s">
        <v>273</v>
      </c>
      <c r="B28" s="433">
        <v>11.92</v>
      </c>
      <c r="C28" s="413">
        <v>13</v>
      </c>
      <c r="D28" s="413">
        <f t="shared" si="2"/>
        <v>309.92</v>
      </c>
      <c r="E28" s="425">
        <v>49.07</v>
      </c>
      <c r="F28" s="424">
        <f t="shared" si="0"/>
        <v>1169.8288</v>
      </c>
      <c r="G28" s="417">
        <v>63.4</v>
      </c>
      <c r="H28" s="418">
        <f t="shared" si="1"/>
        <v>1511.4559999999999</v>
      </c>
    </row>
    <row r="29" spans="1:8" s="47" customFormat="1">
      <c r="A29" s="441" t="s">
        <v>301</v>
      </c>
      <c r="B29" s="433">
        <v>261.43</v>
      </c>
      <c r="C29" s="413">
        <v>0.93</v>
      </c>
      <c r="D29" s="413">
        <f t="shared" si="2"/>
        <v>486.25980000000004</v>
      </c>
      <c r="E29" s="425">
        <v>0</v>
      </c>
      <c r="F29" s="424">
        <f t="shared" si="0"/>
        <v>0</v>
      </c>
      <c r="G29" s="417">
        <v>0</v>
      </c>
      <c r="H29" s="418">
        <f t="shared" si="1"/>
        <v>0</v>
      </c>
    </row>
    <row r="30" spans="1:8" s="47" customFormat="1">
      <c r="A30" s="441" t="s">
        <v>302</v>
      </c>
      <c r="B30" s="433">
        <v>197.81</v>
      </c>
      <c r="C30" s="413">
        <v>0.93</v>
      </c>
      <c r="D30" s="413">
        <f t="shared" si="2"/>
        <v>367.92660000000001</v>
      </c>
      <c r="E30" s="425">
        <v>0</v>
      </c>
      <c r="F30" s="424">
        <f t="shared" si="0"/>
        <v>0</v>
      </c>
      <c r="G30" s="417">
        <v>1</v>
      </c>
      <c r="H30" s="418">
        <f t="shared" si="1"/>
        <v>395.62</v>
      </c>
    </row>
    <row r="31" spans="1:8" s="47" customFormat="1">
      <c r="A31" s="441" t="s">
        <v>391</v>
      </c>
      <c r="B31" s="433">
        <v>275.75</v>
      </c>
      <c r="C31" s="413">
        <v>3.7</v>
      </c>
      <c r="D31" s="413">
        <f t="shared" si="2"/>
        <v>2040.5500000000002</v>
      </c>
      <c r="E31" s="425">
        <v>0</v>
      </c>
      <c r="F31" s="424">
        <f t="shared" si="0"/>
        <v>0</v>
      </c>
      <c r="G31" s="417">
        <v>1</v>
      </c>
      <c r="H31" s="418">
        <f t="shared" si="1"/>
        <v>551.5</v>
      </c>
    </row>
    <row r="32" spans="1:8" s="47" customFormat="1">
      <c r="A32" s="441" t="s">
        <v>274</v>
      </c>
      <c r="B32" s="433">
        <v>35.299999999999997</v>
      </c>
      <c r="C32" s="413">
        <v>3.7</v>
      </c>
      <c r="D32" s="413">
        <f t="shared" si="2"/>
        <v>261.21999999999997</v>
      </c>
      <c r="E32" s="425">
        <v>10.08</v>
      </c>
      <c r="F32" s="424">
        <f t="shared" si="0"/>
        <v>711.64799999999991</v>
      </c>
      <c r="G32" s="417">
        <v>14</v>
      </c>
      <c r="H32" s="418">
        <f t="shared" si="1"/>
        <v>988.39999999999986</v>
      </c>
    </row>
    <row r="33" spans="1:8" s="47" customFormat="1">
      <c r="A33" s="441" t="s">
        <v>60</v>
      </c>
      <c r="B33" s="433">
        <v>193.42</v>
      </c>
      <c r="C33" s="414">
        <v>0</v>
      </c>
      <c r="D33" s="413">
        <f t="shared" si="2"/>
        <v>0</v>
      </c>
      <c r="E33" s="425">
        <v>0</v>
      </c>
      <c r="F33" s="424">
        <f t="shared" si="0"/>
        <v>0</v>
      </c>
      <c r="G33" s="417">
        <v>0</v>
      </c>
      <c r="H33" s="418">
        <f t="shared" si="1"/>
        <v>0</v>
      </c>
    </row>
    <row r="34" spans="1:8" s="47" customFormat="1">
      <c r="A34" s="441" t="s">
        <v>88</v>
      </c>
      <c r="B34" s="433">
        <v>429.45</v>
      </c>
      <c r="C34" s="414">
        <v>0</v>
      </c>
      <c r="D34" s="413">
        <f t="shared" si="2"/>
        <v>0</v>
      </c>
      <c r="E34" s="425">
        <v>0</v>
      </c>
      <c r="F34" s="424">
        <f t="shared" si="0"/>
        <v>0</v>
      </c>
      <c r="G34" s="417">
        <v>0</v>
      </c>
      <c r="H34" s="418">
        <f t="shared" si="1"/>
        <v>0</v>
      </c>
    </row>
    <row r="35" spans="1:8" s="47" customFormat="1">
      <c r="A35" s="441" t="s">
        <v>452</v>
      </c>
      <c r="B35" s="433">
        <v>30.84</v>
      </c>
      <c r="C35" s="413">
        <v>0.93</v>
      </c>
      <c r="D35" s="413">
        <f t="shared" si="2"/>
        <v>57.362400000000001</v>
      </c>
      <c r="E35" s="425">
        <v>0.5</v>
      </c>
      <c r="F35" s="424">
        <f t="shared" si="0"/>
        <v>30.84</v>
      </c>
      <c r="G35" s="417">
        <v>1</v>
      </c>
      <c r="H35" s="418">
        <f t="shared" si="1"/>
        <v>61.68</v>
      </c>
    </row>
    <row r="36" spans="1:8" s="47" customFormat="1">
      <c r="A36" s="441" t="s">
        <v>453</v>
      </c>
      <c r="B36" s="433">
        <v>35.04</v>
      </c>
      <c r="C36" s="414">
        <v>0</v>
      </c>
      <c r="D36" s="413">
        <f t="shared" si="2"/>
        <v>0</v>
      </c>
      <c r="E36" s="425">
        <v>0</v>
      </c>
      <c r="F36" s="424">
        <f t="shared" si="0"/>
        <v>0</v>
      </c>
      <c r="G36" s="417">
        <v>1</v>
      </c>
      <c r="H36" s="418">
        <f t="shared" si="1"/>
        <v>70.08</v>
      </c>
    </row>
    <row r="37" spans="1:8" s="47" customFormat="1">
      <c r="A37" s="441" t="s">
        <v>569</v>
      </c>
      <c r="B37" s="433">
        <v>312.39999999999998</v>
      </c>
      <c r="C37" s="413">
        <v>0.93</v>
      </c>
      <c r="D37" s="413">
        <f t="shared" si="2"/>
        <v>581.06399999999996</v>
      </c>
      <c r="E37" s="425">
        <v>0</v>
      </c>
      <c r="F37" s="424">
        <f t="shared" si="0"/>
        <v>0</v>
      </c>
      <c r="G37" s="417">
        <v>0</v>
      </c>
      <c r="H37" s="418">
        <f t="shared" si="1"/>
        <v>0</v>
      </c>
    </row>
    <row r="38" spans="1:8" s="47" customFormat="1">
      <c r="A38" s="441" t="s">
        <v>277</v>
      </c>
      <c r="B38" s="433">
        <v>192.99</v>
      </c>
      <c r="C38" s="414">
        <v>0</v>
      </c>
      <c r="D38" s="413">
        <f t="shared" si="2"/>
        <v>0</v>
      </c>
      <c r="E38" s="425">
        <v>0</v>
      </c>
      <c r="F38" s="424">
        <f t="shared" si="0"/>
        <v>0</v>
      </c>
      <c r="G38" s="417">
        <v>0</v>
      </c>
      <c r="H38" s="418">
        <f t="shared" si="1"/>
        <v>0</v>
      </c>
    </row>
    <row r="39" spans="1:8" s="47" customFormat="1">
      <c r="A39" s="441" t="s">
        <v>454</v>
      </c>
      <c r="B39" s="433">
        <v>23.83</v>
      </c>
      <c r="C39" s="413">
        <v>2.8</v>
      </c>
      <c r="D39" s="413">
        <f t="shared" si="2"/>
        <v>133.44799999999998</v>
      </c>
      <c r="E39" s="425">
        <v>0</v>
      </c>
      <c r="F39" s="424">
        <f t="shared" si="0"/>
        <v>0</v>
      </c>
      <c r="G39" s="417">
        <v>5</v>
      </c>
      <c r="H39" s="418">
        <f t="shared" si="1"/>
        <v>238.29999999999998</v>
      </c>
    </row>
    <row r="40" spans="1:8" s="47" customFormat="1">
      <c r="A40" s="441" t="s">
        <v>540</v>
      </c>
      <c r="B40" s="433">
        <v>45.1</v>
      </c>
      <c r="C40" s="414">
        <v>0</v>
      </c>
      <c r="D40" s="413">
        <f t="shared" si="2"/>
        <v>0</v>
      </c>
      <c r="E40" s="425">
        <v>0</v>
      </c>
      <c r="F40" s="424">
        <f t="shared" si="0"/>
        <v>0</v>
      </c>
      <c r="G40" s="417">
        <v>0.63</v>
      </c>
      <c r="H40" s="418">
        <f t="shared" si="1"/>
        <v>56.826000000000001</v>
      </c>
    </row>
    <row r="41" spans="1:8" s="47" customFormat="1">
      <c r="A41" s="441" t="s">
        <v>197</v>
      </c>
      <c r="B41" s="433">
        <v>458.82</v>
      </c>
      <c r="C41" s="414">
        <v>0</v>
      </c>
      <c r="D41" s="413">
        <f t="shared" si="2"/>
        <v>0</v>
      </c>
      <c r="E41" s="425">
        <v>0</v>
      </c>
      <c r="F41" s="424">
        <f t="shared" si="0"/>
        <v>0</v>
      </c>
      <c r="G41" s="417">
        <v>0</v>
      </c>
      <c r="H41" s="418">
        <f t="shared" si="1"/>
        <v>0</v>
      </c>
    </row>
    <row r="42" spans="1:8" s="47" customFormat="1">
      <c r="A42" s="441" t="s">
        <v>313</v>
      </c>
      <c r="B42" s="433">
        <v>42.4</v>
      </c>
      <c r="C42" s="413">
        <v>0.93</v>
      </c>
      <c r="D42" s="413">
        <f t="shared" si="2"/>
        <v>78.864000000000004</v>
      </c>
      <c r="E42" s="425">
        <v>1</v>
      </c>
      <c r="F42" s="424">
        <f t="shared" si="0"/>
        <v>84.8</v>
      </c>
      <c r="G42" s="417">
        <v>1</v>
      </c>
      <c r="H42" s="418">
        <f t="shared" si="1"/>
        <v>84.8</v>
      </c>
    </row>
    <row r="43" spans="1:8" s="47" customFormat="1">
      <c r="A43" s="441" t="s">
        <v>192</v>
      </c>
      <c r="B43" s="433">
        <v>133.91</v>
      </c>
      <c r="C43" s="414">
        <v>0</v>
      </c>
      <c r="D43" s="413">
        <f t="shared" si="2"/>
        <v>0</v>
      </c>
      <c r="E43" s="425">
        <v>0</v>
      </c>
      <c r="F43" s="424">
        <f t="shared" si="0"/>
        <v>0</v>
      </c>
      <c r="G43" s="417">
        <v>0</v>
      </c>
      <c r="H43" s="418">
        <f t="shared" si="1"/>
        <v>0</v>
      </c>
    </row>
    <row r="44" spans="1:8" s="47" customFormat="1">
      <c r="A44" s="441" t="s">
        <v>574</v>
      </c>
      <c r="B44" s="433">
        <v>162.71</v>
      </c>
      <c r="C44" s="413">
        <v>1</v>
      </c>
      <c r="D44" s="413">
        <f t="shared" si="2"/>
        <v>325.42</v>
      </c>
      <c r="E44" s="425">
        <v>1</v>
      </c>
      <c r="F44" s="424">
        <f t="shared" si="0"/>
        <v>325.42</v>
      </c>
      <c r="G44" s="417">
        <v>0</v>
      </c>
      <c r="H44" s="418">
        <f t="shared" si="1"/>
        <v>0</v>
      </c>
    </row>
    <row r="45" spans="1:8" s="47" customFormat="1">
      <c r="A45" s="441" t="s">
        <v>219</v>
      </c>
      <c r="B45" s="433">
        <v>98.53</v>
      </c>
      <c r="C45" s="414">
        <v>0</v>
      </c>
      <c r="D45" s="413">
        <f t="shared" si="2"/>
        <v>0</v>
      </c>
      <c r="E45" s="425">
        <v>0</v>
      </c>
      <c r="F45" s="424">
        <f t="shared" si="0"/>
        <v>0</v>
      </c>
      <c r="G45" s="417">
        <v>0.83</v>
      </c>
      <c r="H45" s="418">
        <f t="shared" si="1"/>
        <v>163.5598</v>
      </c>
    </row>
    <row r="46" spans="1:8" s="47" customFormat="1">
      <c r="A46" s="441" t="s">
        <v>503</v>
      </c>
      <c r="B46" s="433">
        <v>4.1100000000000003</v>
      </c>
      <c r="C46" s="413">
        <v>9.3000000000000007</v>
      </c>
      <c r="D46" s="413">
        <f t="shared" si="2"/>
        <v>76.446000000000012</v>
      </c>
      <c r="E46" s="425">
        <v>34.799999999999997</v>
      </c>
      <c r="F46" s="424">
        <f t="shared" si="0"/>
        <v>286.05599999999998</v>
      </c>
      <c r="G46" s="419">
        <v>68.944999999999993</v>
      </c>
      <c r="H46" s="418">
        <f t="shared" si="1"/>
        <v>566.72789999999998</v>
      </c>
    </row>
    <row r="47" spans="1:8" s="47" customFormat="1">
      <c r="A47" s="441" t="s">
        <v>575</v>
      </c>
      <c r="B47" s="433">
        <v>17.62</v>
      </c>
      <c r="C47" s="414">
        <v>0</v>
      </c>
      <c r="D47" s="413">
        <f t="shared" ref="D47:D78" si="3">B47*C47*2</f>
        <v>0</v>
      </c>
      <c r="E47" s="425">
        <v>1.32</v>
      </c>
      <c r="F47" s="424">
        <f t="shared" ref="F47:F78" si="4">B47*E47*2</f>
        <v>46.516800000000003</v>
      </c>
      <c r="G47" s="417">
        <v>3</v>
      </c>
      <c r="H47" s="418">
        <f t="shared" ref="H47:H78" si="5">B47*G47*2</f>
        <v>105.72</v>
      </c>
    </row>
    <row r="48" spans="1:8" s="47" customFormat="1">
      <c r="A48" s="441" t="s">
        <v>614</v>
      </c>
      <c r="B48" s="433">
        <v>320.93</v>
      </c>
      <c r="C48" s="414">
        <v>0</v>
      </c>
      <c r="D48" s="413">
        <f t="shared" si="3"/>
        <v>0</v>
      </c>
      <c r="E48" s="425">
        <v>0</v>
      </c>
      <c r="F48" s="424">
        <f t="shared" si="4"/>
        <v>0</v>
      </c>
      <c r="G48" s="417">
        <v>0</v>
      </c>
      <c r="H48" s="418">
        <f t="shared" si="5"/>
        <v>0</v>
      </c>
    </row>
    <row r="49" spans="1:8" s="47" customFormat="1">
      <c r="A49" s="441" t="s">
        <v>89</v>
      </c>
      <c r="B49" s="433">
        <v>87.03</v>
      </c>
      <c r="C49" s="414">
        <v>0</v>
      </c>
      <c r="D49" s="413">
        <f t="shared" si="3"/>
        <v>0</v>
      </c>
      <c r="E49" s="425">
        <v>0</v>
      </c>
      <c r="F49" s="424">
        <f t="shared" si="4"/>
        <v>0</v>
      </c>
      <c r="G49" s="417">
        <v>0</v>
      </c>
      <c r="H49" s="418">
        <f t="shared" si="5"/>
        <v>0</v>
      </c>
    </row>
    <row r="50" spans="1:8" s="47" customFormat="1">
      <c r="A50" s="441" t="s">
        <v>193</v>
      </c>
      <c r="B50" s="433">
        <v>258.27</v>
      </c>
      <c r="C50" s="414">
        <v>0</v>
      </c>
      <c r="D50" s="413">
        <f t="shared" si="3"/>
        <v>0</v>
      </c>
      <c r="E50" s="425">
        <v>0</v>
      </c>
      <c r="F50" s="424">
        <f t="shared" si="4"/>
        <v>0</v>
      </c>
      <c r="G50" s="417">
        <v>0</v>
      </c>
      <c r="H50" s="418">
        <f t="shared" si="5"/>
        <v>0</v>
      </c>
    </row>
    <row r="51" spans="1:8" s="47" customFormat="1">
      <c r="A51" s="441" t="s">
        <v>518</v>
      </c>
      <c r="B51" s="433">
        <v>4.99</v>
      </c>
      <c r="C51" s="413">
        <v>11.1</v>
      </c>
      <c r="D51" s="413">
        <f t="shared" si="3"/>
        <v>110.77800000000001</v>
      </c>
      <c r="E51" s="425">
        <v>18.600000000000001</v>
      </c>
      <c r="F51" s="424">
        <f t="shared" si="4"/>
        <v>185.62800000000001</v>
      </c>
      <c r="G51" s="417">
        <v>37.47</v>
      </c>
      <c r="H51" s="418">
        <f t="shared" si="5"/>
        <v>373.95060000000001</v>
      </c>
    </row>
    <row r="52" spans="1:8" s="47" customFormat="1">
      <c r="A52" s="441" t="s">
        <v>785</v>
      </c>
      <c r="B52" s="433">
        <v>35.85</v>
      </c>
      <c r="C52" s="413">
        <v>0</v>
      </c>
      <c r="D52" s="413">
        <f t="shared" si="3"/>
        <v>0</v>
      </c>
      <c r="E52" s="424">
        <v>0</v>
      </c>
      <c r="F52" s="424">
        <f t="shared" si="4"/>
        <v>0</v>
      </c>
      <c r="G52" s="417">
        <v>0.5</v>
      </c>
      <c r="H52" s="418">
        <f t="shared" si="5"/>
        <v>35.85</v>
      </c>
    </row>
    <row r="53" spans="1:8" s="47" customFormat="1">
      <c r="A53" s="441" t="s">
        <v>52</v>
      </c>
      <c r="B53" s="433">
        <v>150.75</v>
      </c>
      <c r="C53" s="414">
        <v>0</v>
      </c>
      <c r="D53" s="413">
        <f t="shared" si="3"/>
        <v>0</v>
      </c>
      <c r="E53" s="425">
        <v>0</v>
      </c>
      <c r="F53" s="424">
        <f t="shared" si="4"/>
        <v>0</v>
      </c>
      <c r="G53" s="417">
        <v>0</v>
      </c>
      <c r="H53" s="418">
        <f t="shared" si="5"/>
        <v>0</v>
      </c>
    </row>
    <row r="54" spans="1:8" s="47" customFormat="1">
      <c r="A54" s="441" t="s">
        <v>194</v>
      </c>
      <c r="B54" s="433">
        <v>268.5</v>
      </c>
      <c r="C54" s="414">
        <v>0</v>
      </c>
      <c r="D54" s="413">
        <f t="shared" si="3"/>
        <v>0</v>
      </c>
      <c r="E54" s="425">
        <v>0</v>
      </c>
      <c r="F54" s="424">
        <f t="shared" si="4"/>
        <v>0</v>
      </c>
      <c r="G54" s="417">
        <v>0</v>
      </c>
      <c r="H54" s="418">
        <f t="shared" si="5"/>
        <v>0</v>
      </c>
    </row>
    <row r="55" spans="1:8" s="47" customFormat="1">
      <c r="A55" s="441" t="s">
        <v>456</v>
      </c>
      <c r="B55" s="433">
        <v>80.31</v>
      </c>
      <c r="C55" s="414">
        <v>0</v>
      </c>
      <c r="D55" s="413">
        <f t="shared" si="3"/>
        <v>0</v>
      </c>
      <c r="E55" s="425">
        <v>1</v>
      </c>
      <c r="F55" s="424">
        <f t="shared" si="4"/>
        <v>160.62</v>
      </c>
      <c r="G55" s="417">
        <v>0</v>
      </c>
      <c r="H55" s="418">
        <f t="shared" si="5"/>
        <v>0</v>
      </c>
    </row>
    <row r="56" spans="1:8" s="47" customFormat="1">
      <c r="A56" s="441" t="s">
        <v>519</v>
      </c>
      <c r="B56" s="433">
        <v>40.93</v>
      </c>
      <c r="C56" s="414">
        <v>0</v>
      </c>
      <c r="D56" s="413">
        <f t="shared" si="3"/>
        <v>0</v>
      </c>
      <c r="E56" s="425">
        <v>1</v>
      </c>
      <c r="F56" s="424">
        <f t="shared" si="4"/>
        <v>81.86</v>
      </c>
      <c r="G56" s="417">
        <v>1</v>
      </c>
      <c r="H56" s="418">
        <f t="shared" si="5"/>
        <v>81.86</v>
      </c>
    </row>
    <row r="57" spans="1:8" s="47" customFormat="1">
      <c r="A57" s="441" t="s">
        <v>375</v>
      </c>
      <c r="B57" s="433">
        <v>44.82</v>
      </c>
      <c r="C57" s="414">
        <v>0</v>
      </c>
      <c r="D57" s="413">
        <f t="shared" si="3"/>
        <v>0</v>
      </c>
      <c r="E57" s="425">
        <v>1</v>
      </c>
      <c r="F57" s="424">
        <f t="shared" si="4"/>
        <v>89.64</v>
      </c>
      <c r="G57" s="417">
        <v>1</v>
      </c>
      <c r="H57" s="418">
        <f t="shared" si="5"/>
        <v>89.64</v>
      </c>
    </row>
    <row r="58" spans="1:8" s="47" customFormat="1">
      <c r="A58" s="441" t="s">
        <v>462</v>
      </c>
      <c r="B58" s="433">
        <v>170.67</v>
      </c>
      <c r="C58" s="413">
        <v>0.93</v>
      </c>
      <c r="D58" s="413">
        <f t="shared" si="3"/>
        <v>317.44619999999998</v>
      </c>
      <c r="E58" s="425">
        <v>0</v>
      </c>
      <c r="F58" s="424">
        <f t="shared" si="4"/>
        <v>0</v>
      </c>
      <c r="G58" s="417">
        <v>0</v>
      </c>
      <c r="H58" s="418">
        <f t="shared" si="5"/>
        <v>0</v>
      </c>
    </row>
    <row r="59" spans="1:8" s="47" customFormat="1">
      <c r="A59" s="441" t="s">
        <v>344</v>
      </c>
      <c r="B59" s="433">
        <v>32.5</v>
      </c>
      <c r="C59" s="413">
        <v>0.93</v>
      </c>
      <c r="D59" s="413">
        <f t="shared" si="3"/>
        <v>60.45</v>
      </c>
      <c r="E59" s="425">
        <v>32.5</v>
      </c>
      <c r="F59" s="424">
        <f t="shared" si="4"/>
        <v>2112.5</v>
      </c>
      <c r="G59" s="417">
        <v>3</v>
      </c>
      <c r="H59" s="418">
        <f t="shared" si="5"/>
        <v>195</v>
      </c>
    </row>
    <row r="60" spans="1:8" s="47" customFormat="1">
      <c r="A60" s="441" t="s">
        <v>53</v>
      </c>
      <c r="B60" s="433">
        <v>269.22000000000003</v>
      </c>
      <c r="C60" s="414">
        <v>0</v>
      </c>
      <c r="D60" s="413">
        <f t="shared" si="3"/>
        <v>0</v>
      </c>
      <c r="E60" s="425">
        <v>0</v>
      </c>
      <c r="F60" s="424">
        <f t="shared" si="4"/>
        <v>0</v>
      </c>
      <c r="G60" s="417">
        <v>0</v>
      </c>
      <c r="H60" s="418">
        <f t="shared" si="5"/>
        <v>0</v>
      </c>
    </row>
    <row r="61" spans="1:8" s="47" customFormat="1">
      <c r="A61" s="441" t="s">
        <v>417</v>
      </c>
      <c r="B61" s="433">
        <v>15.51</v>
      </c>
      <c r="C61" s="414">
        <v>0</v>
      </c>
      <c r="D61" s="413">
        <f t="shared" si="3"/>
        <v>0</v>
      </c>
      <c r="E61" s="425">
        <v>6</v>
      </c>
      <c r="F61" s="424">
        <f t="shared" si="4"/>
        <v>186.12</v>
      </c>
      <c r="G61" s="417">
        <v>9.4</v>
      </c>
      <c r="H61" s="418">
        <f t="shared" si="5"/>
        <v>291.58800000000002</v>
      </c>
    </row>
    <row r="62" spans="1:8" s="47" customFormat="1">
      <c r="A62" s="441" t="s">
        <v>376</v>
      </c>
      <c r="B62" s="433">
        <v>16.71</v>
      </c>
      <c r="C62" s="414">
        <v>0</v>
      </c>
      <c r="D62" s="413">
        <f t="shared" si="3"/>
        <v>0</v>
      </c>
      <c r="E62" s="425">
        <v>0.5</v>
      </c>
      <c r="F62" s="424">
        <f t="shared" si="4"/>
        <v>16.71</v>
      </c>
      <c r="G62" s="417">
        <v>1.5</v>
      </c>
      <c r="H62" s="418">
        <f t="shared" si="5"/>
        <v>50.13</v>
      </c>
    </row>
    <row r="63" spans="1:8" s="47" customFormat="1">
      <c r="A63" s="441" t="s">
        <v>558</v>
      </c>
      <c r="B63" s="433">
        <v>210.62</v>
      </c>
      <c r="C63" s="414">
        <v>0</v>
      </c>
      <c r="D63" s="413">
        <f t="shared" si="3"/>
        <v>0</v>
      </c>
      <c r="E63" s="425">
        <v>1</v>
      </c>
      <c r="F63" s="424">
        <f t="shared" si="4"/>
        <v>421.24</v>
      </c>
      <c r="G63" s="417">
        <v>0</v>
      </c>
      <c r="H63" s="418">
        <f t="shared" si="5"/>
        <v>0</v>
      </c>
    </row>
    <row r="64" spans="1:8" s="47" customFormat="1">
      <c r="A64" s="441" t="s">
        <v>346</v>
      </c>
      <c r="B64" s="433">
        <v>19.11</v>
      </c>
      <c r="C64" s="413">
        <v>0.93</v>
      </c>
      <c r="D64" s="413">
        <f t="shared" si="3"/>
        <v>35.544600000000003</v>
      </c>
      <c r="E64" s="425">
        <v>0</v>
      </c>
      <c r="F64" s="424">
        <f t="shared" si="4"/>
        <v>0</v>
      </c>
      <c r="G64" s="417">
        <v>0.71</v>
      </c>
      <c r="H64" s="418">
        <f t="shared" si="5"/>
        <v>27.136199999999999</v>
      </c>
    </row>
    <row r="65" spans="1:8" s="47" customFormat="1">
      <c r="A65" s="441" t="s">
        <v>347</v>
      </c>
      <c r="B65" s="433">
        <v>24.74</v>
      </c>
      <c r="C65" s="414">
        <v>0</v>
      </c>
      <c r="D65" s="413">
        <f t="shared" si="3"/>
        <v>0</v>
      </c>
      <c r="E65" s="425">
        <v>0</v>
      </c>
      <c r="F65" s="424">
        <f t="shared" si="4"/>
        <v>0</v>
      </c>
      <c r="G65" s="417">
        <v>0</v>
      </c>
      <c r="H65" s="418">
        <f t="shared" si="5"/>
        <v>0</v>
      </c>
    </row>
    <row r="66" spans="1:8" s="47" customFormat="1">
      <c r="A66" s="441" t="s">
        <v>195</v>
      </c>
      <c r="B66" s="433">
        <v>475.67</v>
      </c>
      <c r="C66" s="414">
        <v>0</v>
      </c>
      <c r="D66" s="413">
        <f t="shared" si="3"/>
        <v>0</v>
      </c>
      <c r="E66" s="425">
        <v>0</v>
      </c>
      <c r="F66" s="424">
        <f t="shared" si="4"/>
        <v>0</v>
      </c>
      <c r="G66" s="417">
        <v>0</v>
      </c>
      <c r="H66" s="418">
        <f t="shared" si="5"/>
        <v>0</v>
      </c>
    </row>
    <row r="67" spans="1:8" s="47" customFormat="1">
      <c r="A67" s="441" t="s">
        <v>348</v>
      </c>
      <c r="B67" s="433">
        <v>20.5</v>
      </c>
      <c r="C67" s="414">
        <v>0</v>
      </c>
      <c r="D67" s="413">
        <f t="shared" si="3"/>
        <v>0</v>
      </c>
      <c r="E67" s="425">
        <v>2</v>
      </c>
      <c r="F67" s="424">
        <f t="shared" si="4"/>
        <v>82</v>
      </c>
      <c r="G67" s="417">
        <v>2</v>
      </c>
      <c r="H67" s="418">
        <f t="shared" si="5"/>
        <v>82</v>
      </c>
    </row>
    <row r="68" spans="1:8" s="47" customFormat="1">
      <c r="A68" s="441" t="s">
        <v>463</v>
      </c>
      <c r="B68" s="433">
        <v>70.03</v>
      </c>
      <c r="C68" s="413">
        <v>0.93</v>
      </c>
      <c r="D68" s="413">
        <f t="shared" si="3"/>
        <v>130.25580000000002</v>
      </c>
      <c r="E68" s="425">
        <v>0</v>
      </c>
      <c r="F68" s="424">
        <f t="shared" si="4"/>
        <v>0</v>
      </c>
      <c r="G68" s="417">
        <v>0</v>
      </c>
      <c r="H68" s="418">
        <f t="shared" si="5"/>
        <v>0</v>
      </c>
    </row>
    <row r="69" spans="1:8" s="47" customFormat="1">
      <c r="A69" s="441" t="s">
        <v>464</v>
      </c>
      <c r="B69" s="433">
        <v>255.99</v>
      </c>
      <c r="C69" s="413">
        <v>0.93</v>
      </c>
      <c r="D69" s="413">
        <f t="shared" si="3"/>
        <v>476.14140000000003</v>
      </c>
      <c r="E69" s="425">
        <v>0</v>
      </c>
      <c r="F69" s="424">
        <f t="shared" si="4"/>
        <v>0</v>
      </c>
      <c r="G69" s="417">
        <v>0</v>
      </c>
      <c r="H69" s="418">
        <f t="shared" si="5"/>
        <v>0</v>
      </c>
    </row>
    <row r="70" spans="1:8" s="47" customFormat="1">
      <c r="A70" s="441" t="s">
        <v>793</v>
      </c>
      <c r="B70" s="433">
        <v>201.34</v>
      </c>
      <c r="C70" s="413">
        <v>0</v>
      </c>
      <c r="D70" s="413">
        <f t="shared" si="3"/>
        <v>0</v>
      </c>
      <c r="E70" s="428">
        <v>0</v>
      </c>
      <c r="F70" s="424">
        <f t="shared" si="4"/>
        <v>0</v>
      </c>
      <c r="G70" s="417">
        <v>1</v>
      </c>
      <c r="H70" s="418">
        <f t="shared" si="5"/>
        <v>402.68</v>
      </c>
    </row>
    <row r="71" spans="1:8" s="47" customFormat="1">
      <c r="A71" s="441" t="s">
        <v>349</v>
      </c>
      <c r="B71" s="433">
        <v>30.36</v>
      </c>
      <c r="C71" s="414">
        <v>0</v>
      </c>
      <c r="D71" s="413">
        <f t="shared" si="3"/>
        <v>0</v>
      </c>
      <c r="E71" s="425">
        <v>3</v>
      </c>
      <c r="F71" s="424">
        <f t="shared" si="4"/>
        <v>182.16</v>
      </c>
      <c r="G71" s="417">
        <v>4</v>
      </c>
      <c r="H71" s="418">
        <f t="shared" si="5"/>
        <v>242.88</v>
      </c>
    </row>
    <row r="72" spans="1:8" s="47" customFormat="1">
      <c r="A72" s="441" t="s">
        <v>681</v>
      </c>
      <c r="B72" s="433">
        <v>22.27</v>
      </c>
      <c r="C72" s="414">
        <v>0</v>
      </c>
      <c r="D72" s="413">
        <f t="shared" si="3"/>
        <v>0</v>
      </c>
      <c r="E72" s="425">
        <v>1</v>
      </c>
      <c r="F72" s="424">
        <f t="shared" si="4"/>
        <v>44.54</v>
      </c>
      <c r="G72" s="417">
        <v>1</v>
      </c>
      <c r="H72" s="418">
        <f t="shared" si="5"/>
        <v>44.54</v>
      </c>
    </row>
    <row r="73" spans="1:8" s="47" customFormat="1">
      <c r="A73" s="441" t="s">
        <v>350</v>
      </c>
      <c r="B73" s="433">
        <v>31.07</v>
      </c>
      <c r="C73" s="413">
        <v>0.93</v>
      </c>
      <c r="D73" s="413">
        <f t="shared" si="3"/>
        <v>57.790200000000006</v>
      </c>
      <c r="E73" s="425">
        <v>2</v>
      </c>
      <c r="F73" s="424">
        <f t="shared" si="4"/>
        <v>124.28</v>
      </c>
      <c r="G73" s="417">
        <v>3</v>
      </c>
      <c r="H73" s="418">
        <f t="shared" si="5"/>
        <v>186.42000000000002</v>
      </c>
    </row>
    <row r="74" spans="1:8" s="47" customFormat="1">
      <c r="A74" s="441" t="s">
        <v>196</v>
      </c>
      <c r="B74" s="433">
        <v>201.78</v>
      </c>
      <c r="C74" s="414">
        <v>0</v>
      </c>
      <c r="D74" s="413">
        <f t="shared" si="3"/>
        <v>0</v>
      </c>
      <c r="E74" s="425">
        <v>0</v>
      </c>
      <c r="F74" s="424">
        <f t="shared" si="4"/>
        <v>0</v>
      </c>
      <c r="G74" s="417">
        <v>0</v>
      </c>
      <c r="H74" s="418">
        <f t="shared" si="5"/>
        <v>0</v>
      </c>
    </row>
    <row r="75" spans="1:8" s="47" customFormat="1">
      <c r="A75" s="441" t="s">
        <v>642</v>
      </c>
      <c r="B75" s="433">
        <v>272.97000000000003</v>
      </c>
      <c r="C75" s="413">
        <v>0.93</v>
      </c>
      <c r="D75" s="413">
        <f t="shared" si="3"/>
        <v>507.72420000000005</v>
      </c>
      <c r="E75" s="425">
        <v>0</v>
      </c>
      <c r="F75" s="424">
        <f t="shared" si="4"/>
        <v>0</v>
      </c>
      <c r="G75" s="417">
        <v>0</v>
      </c>
      <c r="H75" s="418">
        <f t="shared" si="5"/>
        <v>0</v>
      </c>
    </row>
    <row r="76" spans="1:8" s="47" customFormat="1">
      <c r="A76" s="441" t="s">
        <v>459</v>
      </c>
      <c r="B76" s="433">
        <v>199.76</v>
      </c>
      <c r="C76" s="413">
        <v>0.93</v>
      </c>
      <c r="D76" s="413">
        <f t="shared" si="3"/>
        <v>371.55360000000002</v>
      </c>
      <c r="E76" s="425">
        <v>0</v>
      </c>
      <c r="F76" s="424">
        <f t="shared" si="4"/>
        <v>0</v>
      </c>
      <c r="G76" s="417">
        <v>0</v>
      </c>
      <c r="H76" s="418">
        <f t="shared" si="5"/>
        <v>0</v>
      </c>
    </row>
    <row r="77" spans="1:8" s="47" customFormat="1">
      <c r="A77" s="441" t="s">
        <v>615</v>
      </c>
      <c r="B77" s="433">
        <v>227.38</v>
      </c>
      <c r="C77" s="413">
        <v>0.93</v>
      </c>
      <c r="D77" s="413">
        <f t="shared" si="3"/>
        <v>422.92680000000001</v>
      </c>
      <c r="E77" s="425">
        <v>0</v>
      </c>
      <c r="F77" s="424">
        <f t="shared" si="4"/>
        <v>0</v>
      </c>
      <c r="G77" s="417">
        <v>0</v>
      </c>
      <c r="H77" s="418">
        <f t="shared" si="5"/>
        <v>0</v>
      </c>
    </row>
    <row r="78" spans="1:8" s="47" customFormat="1">
      <c r="A78" s="441" t="s">
        <v>794</v>
      </c>
      <c r="B78" s="433">
        <v>65.66</v>
      </c>
      <c r="C78" s="413">
        <v>0</v>
      </c>
      <c r="D78" s="413">
        <f t="shared" si="3"/>
        <v>0</v>
      </c>
      <c r="E78" s="424">
        <v>0</v>
      </c>
      <c r="F78" s="424">
        <f t="shared" si="4"/>
        <v>0</v>
      </c>
      <c r="G78" s="417">
        <v>1</v>
      </c>
      <c r="H78" s="418">
        <f t="shared" si="5"/>
        <v>131.32</v>
      </c>
    </row>
    <row r="79" spans="1:8" s="47" customFormat="1">
      <c r="A79" s="441" t="s">
        <v>650</v>
      </c>
      <c r="B79" s="433">
        <v>52.57</v>
      </c>
      <c r="C79" s="413">
        <v>0.93</v>
      </c>
      <c r="D79" s="413">
        <f t="shared" ref="D79:D110" si="6">B79*C79*2</f>
        <v>97.780200000000008</v>
      </c>
      <c r="E79" s="425">
        <v>0</v>
      </c>
      <c r="F79" s="424">
        <f t="shared" ref="F79:F110" si="7">B79*E79*2</f>
        <v>0</v>
      </c>
      <c r="G79" s="417">
        <v>0</v>
      </c>
      <c r="H79" s="418">
        <f t="shared" ref="H79:H110" si="8">B79*G79*2</f>
        <v>0</v>
      </c>
    </row>
    <row r="80" spans="1:8" s="47" customFormat="1">
      <c r="A80" s="441" t="s">
        <v>255</v>
      </c>
      <c r="B80" s="433">
        <v>396.75</v>
      </c>
      <c r="C80" s="414">
        <v>0</v>
      </c>
      <c r="D80" s="413">
        <f t="shared" si="6"/>
        <v>0</v>
      </c>
      <c r="E80" s="425">
        <v>0</v>
      </c>
      <c r="F80" s="424">
        <f t="shared" si="7"/>
        <v>0</v>
      </c>
      <c r="G80" s="417">
        <v>0</v>
      </c>
      <c r="H80" s="418">
        <f t="shared" si="8"/>
        <v>0</v>
      </c>
    </row>
    <row r="81" spans="1:8" s="47" customFormat="1">
      <c r="A81" s="441" t="s">
        <v>795</v>
      </c>
      <c r="B81" s="433">
        <v>357.4</v>
      </c>
      <c r="C81" s="414">
        <v>0</v>
      </c>
      <c r="D81" s="413">
        <f t="shared" si="6"/>
        <v>0</v>
      </c>
      <c r="E81" s="424">
        <v>0</v>
      </c>
      <c r="F81" s="424">
        <f t="shared" si="7"/>
        <v>0</v>
      </c>
      <c r="G81" s="417">
        <v>1</v>
      </c>
      <c r="H81" s="418">
        <f t="shared" si="8"/>
        <v>714.8</v>
      </c>
    </row>
    <row r="82" spans="1:8" s="47" customFormat="1">
      <c r="A82" s="441" t="s">
        <v>643</v>
      </c>
      <c r="B82" s="433">
        <v>467.84</v>
      </c>
      <c r="C82" s="413">
        <v>0.93</v>
      </c>
      <c r="D82" s="413">
        <f t="shared" si="6"/>
        <v>870.18240000000003</v>
      </c>
      <c r="E82" s="425">
        <v>0</v>
      </c>
      <c r="F82" s="424">
        <f t="shared" si="7"/>
        <v>0</v>
      </c>
      <c r="G82" s="417">
        <v>0</v>
      </c>
      <c r="H82" s="418">
        <f t="shared" si="8"/>
        <v>0</v>
      </c>
    </row>
    <row r="83" spans="1:8" s="47" customFormat="1">
      <c r="A83" s="441" t="s">
        <v>644</v>
      </c>
      <c r="B83" s="433">
        <v>148.19999999999999</v>
      </c>
      <c r="C83" s="413">
        <v>0.93</v>
      </c>
      <c r="D83" s="413">
        <f t="shared" si="6"/>
        <v>275.65199999999999</v>
      </c>
      <c r="E83" s="425">
        <v>0</v>
      </c>
      <c r="F83" s="424">
        <f t="shared" si="7"/>
        <v>0</v>
      </c>
      <c r="G83" s="417">
        <v>0</v>
      </c>
      <c r="H83" s="418">
        <f t="shared" si="8"/>
        <v>0</v>
      </c>
    </row>
    <row r="84" spans="1:8" s="47" customFormat="1">
      <c r="A84" s="441" t="s">
        <v>494</v>
      </c>
      <c r="B84" s="433">
        <v>12.3</v>
      </c>
      <c r="C84" s="413">
        <v>0.93</v>
      </c>
      <c r="D84" s="413">
        <f t="shared" si="6"/>
        <v>22.878000000000004</v>
      </c>
      <c r="E84" s="425">
        <v>6.4</v>
      </c>
      <c r="F84" s="424">
        <f t="shared" si="7"/>
        <v>157.44000000000003</v>
      </c>
      <c r="G84" s="419">
        <v>8.7370000000000001</v>
      </c>
      <c r="H84" s="418">
        <f t="shared" si="8"/>
        <v>214.93020000000001</v>
      </c>
    </row>
    <row r="85" spans="1:8" s="47" customFormat="1">
      <c r="A85" s="441" t="s">
        <v>645</v>
      </c>
      <c r="B85" s="433">
        <v>190.94</v>
      </c>
      <c r="C85" s="413">
        <v>0.93</v>
      </c>
      <c r="D85" s="413">
        <f t="shared" si="6"/>
        <v>355.14840000000004</v>
      </c>
      <c r="E85" s="425">
        <v>0</v>
      </c>
      <c r="F85" s="424">
        <f t="shared" si="7"/>
        <v>0</v>
      </c>
      <c r="G85" s="417">
        <v>0</v>
      </c>
      <c r="H85" s="418">
        <f t="shared" si="8"/>
        <v>0</v>
      </c>
    </row>
    <row r="86" spans="1:8" s="47" customFormat="1">
      <c r="A86" s="441" t="s">
        <v>386</v>
      </c>
      <c r="B86" s="433">
        <v>16.829999999999998</v>
      </c>
      <c r="C86" s="413">
        <v>2.78</v>
      </c>
      <c r="D86" s="413">
        <f t="shared" si="6"/>
        <v>93.574799999999982</v>
      </c>
      <c r="E86" s="425">
        <v>4.2</v>
      </c>
      <c r="F86" s="424">
        <f t="shared" si="7"/>
        <v>141.37199999999999</v>
      </c>
      <c r="G86" s="417">
        <v>7.5</v>
      </c>
      <c r="H86" s="418">
        <f t="shared" si="8"/>
        <v>252.45</v>
      </c>
    </row>
    <row r="87" spans="1:8" s="47" customFormat="1">
      <c r="A87" s="441" t="s">
        <v>646</v>
      </c>
      <c r="B87" s="433">
        <v>451.45</v>
      </c>
      <c r="C87" s="413">
        <v>0.93</v>
      </c>
      <c r="D87" s="413">
        <f t="shared" si="6"/>
        <v>839.697</v>
      </c>
      <c r="E87" s="425">
        <v>0</v>
      </c>
      <c r="F87" s="424">
        <f t="shared" si="7"/>
        <v>0</v>
      </c>
      <c r="G87" s="417">
        <v>0</v>
      </c>
      <c r="H87" s="418">
        <f t="shared" si="8"/>
        <v>0</v>
      </c>
    </row>
    <row r="88" spans="1:8" s="47" customFormat="1">
      <c r="A88" s="441" t="s">
        <v>208</v>
      </c>
      <c r="B88" s="433">
        <v>206.06</v>
      </c>
      <c r="C88" s="414">
        <v>0</v>
      </c>
      <c r="D88" s="413">
        <f t="shared" si="6"/>
        <v>0</v>
      </c>
      <c r="E88" s="425">
        <v>0</v>
      </c>
      <c r="F88" s="424">
        <f t="shared" si="7"/>
        <v>0</v>
      </c>
      <c r="G88" s="417">
        <v>0</v>
      </c>
      <c r="H88" s="418">
        <f t="shared" si="8"/>
        <v>0</v>
      </c>
    </row>
    <row r="89" spans="1:8" s="47" customFormat="1">
      <c r="A89" s="441" t="s">
        <v>647</v>
      </c>
      <c r="B89" s="433">
        <v>239.41</v>
      </c>
      <c r="C89" s="413">
        <v>0.93</v>
      </c>
      <c r="D89" s="413">
        <f t="shared" si="6"/>
        <v>445.30260000000004</v>
      </c>
      <c r="E89" s="425">
        <v>0</v>
      </c>
      <c r="F89" s="424">
        <f t="shared" si="7"/>
        <v>0</v>
      </c>
      <c r="G89" s="417">
        <v>0</v>
      </c>
      <c r="H89" s="418">
        <f t="shared" si="8"/>
        <v>0</v>
      </c>
    </row>
    <row r="90" spans="1:8" s="47" customFormat="1">
      <c r="A90" s="441" t="s">
        <v>203</v>
      </c>
      <c r="B90" s="433">
        <v>262.10000000000002</v>
      </c>
      <c r="C90" s="414">
        <v>0</v>
      </c>
      <c r="D90" s="413">
        <f t="shared" si="6"/>
        <v>0</v>
      </c>
      <c r="E90" s="425">
        <v>0</v>
      </c>
      <c r="F90" s="424">
        <f t="shared" si="7"/>
        <v>0</v>
      </c>
      <c r="G90" s="417">
        <v>0</v>
      </c>
      <c r="H90" s="418">
        <f t="shared" si="8"/>
        <v>0</v>
      </c>
    </row>
    <row r="91" spans="1:8" s="47" customFormat="1">
      <c r="A91" s="441" t="s">
        <v>696</v>
      </c>
      <c r="B91" s="433">
        <v>494.22</v>
      </c>
      <c r="C91" s="414">
        <v>0</v>
      </c>
      <c r="D91" s="413">
        <f t="shared" si="6"/>
        <v>0</v>
      </c>
      <c r="E91" s="425">
        <v>0</v>
      </c>
      <c r="F91" s="424">
        <f t="shared" si="7"/>
        <v>0</v>
      </c>
      <c r="G91" s="417">
        <v>0</v>
      </c>
      <c r="H91" s="418">
        <f t="shared" si="8"/>
        <v>0</v>
      </c>
    </row>
    <row r="92" spans="1:8" s="47" customFormat="1">
      <c r="A92" s="441" t="s">
        <v>648</v>
      </c>
      <c r="B92" s="433">
        <v>190.66</v>
      </c>
      <c r="C92" s="413">
        <v>0.93</v>
      </c>
      <c r="D92" s="413">
        <f t="shared" si="6"/>
        <v>354.62760000000003</v>
      </c>
      <c r="E92" s="425">
        <v>0</v>
      </c>
      <c r="F92" s="424">
        <f t="shared" si="7"/>
        <v>0</v>
      </c>
      <c r="G92" s="417">
        <v>0</v>
      </c>
      <c r="H92" s="418">
        <f t="shared" si="8"/>
        <v>0</v>
      </c>
    </row>
    <row r="93" spans="1:8" s="47" customFormat="1">
      <c r="A93" s="441" t="s">
        <v>387</v>
      </c>
      <c r="B93" s="433">
        <v>34.619999999999997</v>
      </c>
      <c r="C93" s="414">
        <v>0</v>
      </c>
      <c r="D93" s="413">
        <f t="shared" si="6"/>
        <v>0</v>
      </c>
      <c r="E93" s="425">
        <v>0.5</v>
      </c>
      <c r="F93" s="424">
        <f t="shared" si="7"/>
        <v>34.619999999999997</v>
      </c>
      <c r="G93" s="417">
        <v>1.6</v>
      </c>
      <c r="H93" s="418">
        <f t="shared" si="8"/>
        <v>110.78399999999999</v>
      </c>
    </row>
    <row r="94" spans="1:8" s="47" customFormat="1">
      <c r="A94" s="441" t="s">
        <v>209</v>
      </c>
      <c r="B94" s="433">
        <v>209.95</v>
      </c>
      <c r="C94" s="414">
        <v>0</v>
      </c>
      <c r="D94" s="413">
        <f t="shared" si="6"/>
        <v>0</v>
      </c>
      <c r="E94" s="425">
        <v>0</v>
      </c>
      <c r="F94" s="424">
        <f t="shared" si="7"/>
        <v>0</v>
      </c>
      <c r="G94" s="417">
        <v>0</v>
      </c>
      <c r="H94" s="418">
        <f t="shared" si="8"/>
        <v>0</v>
      </c>
    </row>
    <row r="95" spans="1:8" s="47" customFormat="1">
      <c r="A95" s="441" t="s">
        <v>502</v>
      </c>
      <c r="B95" s="433">
        <v>2.5</v>
      </c>
      <c r="C95" s="413">
        <v>892.5</v>
      </c>
      <c r="D95" s="413">
        <f t="shared" si="6"/>
        <v>4462.5</v>
      </c>
      <c r="E95" s="425">
        <v>240.9</v>
      </c>
      <c r="F95" s="424">
        <f t="shared" si="7"/>
        <v>1204.5</v>
      </c>
      <c r="G95" s="419">
        <v>433.35399999999998</v>
      </c>
      <c r="H95" s="418">
        <f t="shared" si="8"/>
        <v>2166.77</v>
      </c>
    </row>
    <row r="96" spans="1:8" s="47" customFormat="1">
      <c r="A96" s="441" t="s">
        <v>256</v>
      </c>
      <c r="B96" s="433">
        <v>207.64</v>
      </c>
      <c r="C96" s="414">
        <v>0</v>
      </c>
      <c r="D96" s="413">
        <f t="shared" si="6"/>
        <v>0</v>
      </c>
      <c r="E96" s="425">
        <v>0</v>
      </c>
      <c r="F96" s="424">
        <f t="shared" si="7"/>
        <v>0</v>
      </c>
      <c r="G96" s="417">
        <v>0</v>
      </c>
      <c r="H96" s="418">
        <f t="shared" si="8"/>
        <v>0</v>
      </c>
    </row>
    <row r="97" spans="1:8" s="47" customFormat="1">
      <c r="A97" s="441" t="s">
        <v>649</v>
      </c>
      <c r="B97" s="433">
        <v>238.12</v>
      </c>
      <c r="C97" s="413">
        <v>0.93</v>
      </c>
      <c r="D97" s="413">
        <f t="shared" si="6"/>
        <v>442.90320000000003</v>
      </c>
      <c r="E97" s="425">
        <v>0</v>
      </c>
      <c r="F97" s="424">
        <f t="shared" si="7"/>
        <v>0</v>
      </c>
      <c r="G97" s="417">
        <v>0</v>
      </c>
      <c r="H97" s="418">
        <f t="shared" si="8"/>
        <v>0</v>
      </c>
    </row>
    <row r="98" spans="1:8" s="47" customFormat="1">
      <c r="A98" s="441" t="s">
        <v>721</v>
      </c>
      <c r="B98" s="433">
        <v>220.07</v>
      </c>
      <c r="C98" s="413">
        <v>0.93</v>
      </c>
      <c r="D98" s="413">
        <f t="shared" si="6"/>
        <v>409.33019999999999</v>
      </c>
      <c r="E98" s="425">
        <v>0</v>
      </c>
      <c r="F98" s="424">
        <f t="shared" si="7"/>
        <v>0</v>
      </c>
      <c r="G98" s="417">
        <v>0</v>
      </c>
      <c r="H98" s="418">
        <f t="shared" si="8"/>
        <v>0</v>
      </c>
    </row>
    <row r="99" spans="1:8" s="47" customFormat="1">
      <c r="A99" s="441" t="s">
        <v>830</v>
      </c>
      <c r="B99" s="433">
        <v>29.07</v>
      </c>
      <c r="C99" s="414">
        <v>0</v>
      </c>
      <c r="D99" s="413">
        <f t="shared" si="6"/>
        <v>0</v>
      </c>
      <c r="E99" s="425">
        <v>1</v>
      </c>
      <c r="F99" s="424">
        <f t="shared" si="7"/>
        <v>58.14</v>
      </c>
      <c r="G99" s="417">
        <v>1</v>
      </c>
      <c r="H99" s="418">
        <f t="shared" si="8"/>
        <v>58.14</v>
      </c>
    </row>
    <row r="100" spans="1:8" s="47" customFormat="1">
      <c r="A100" s="441" t="s">
        <v>796</v>
      </c>
      <c r="B100" s="433">
        <v>139.79</v>
      </c>
      <c r="C100" s="414">
        <v>0</v>
      </c>
      <c r="D100" s="413">
        <f t="shared" si="6"/>
        <v>0</v>
      </c>
      <c r="E100" s="424">
        <v>0</v>
      </c>
      <c r="F100" s="424">
        <f t="shared" si="7"/>
        <v>0</v>
      </c>
      <c r="G100" s="417">
        <v>0.86</v>
      </c>
      <c r="H100" s="418">
        <f t="shared" si="8"/>
        <v>240.43879999999999</v>
      </c>
    </row>
    <row r="101" spans="1:8" s="47" customFormat="1">
      <c r="A101" s="441" t="s">
        <v>814</v>
      </c>
      <c r="B101" s="433">
        <v>261.68</v>
      </c>
      <c r="C101" s="413">
        <v>0.93</v>
      </c>
      <c r="D101" s="413">
        <f t="shared" si="6"/>
        <v>486.72480000000002</v>
      </c>
      <c r="E101" s="425">
        <v>0</v>
      </c>
      <c r="F101" s="424">
        <f t="shared" si="7"/>
        <v>0</v>
      </c>
      <c r="G101" s="417">
        <v>0</v>
      </c>
      <c r="H101" s="418">
        <f t="shared" si="8"/>
        <v>0</v>
      </c>
    </row>
    <row r="102" spans="1:8" s="47" customFormat="1">
      <c r="A102" s="441" t="s">
        <v>798</v>
      </c>
      <c r="B102" s="433">
        <v>92.65</v>
      </c>
      <c r="C102" s="413">
        <v>0</v>
      </c>
      <c r="D102" s="413">
        <f t="shared" si="6"/>
        <v>0</v>
      </c>
      <c r="E102" s="424">
        <v>0</v>
      </c>
      <c r="F102" s="424">
        <f t="shared" si="7"/>
        <v>0</v>
      </c>
      <c r="G102" s="417">
        <v>0.5</v>
      </c>
      <c r="H102" s="418">
        <f t="shared" si="8"/>
        <v>92.65</v>
      </c>
    </row>
    <row r="103" spans="1:8" s="47" customFormat="1">
      <c r="A103" s="441" t="s">
        <v>114</v>
      </c>
      <c r="B103" s="433">
        <v>70.87</v>
      </c>
      <c r="C103" s="414">
        <v>0</v>
      </c>
      <c r="D103" s="413">
        <f t="shared" si="6"/>
        <v>0</v>
      </c>
      <c r="E103" s="425">
        <v>0</v>
      </c>
      <c r="F103" s="424">
        <f t="shared" si="7"/>
        <v>0</v>
      </c>
      <c r="G103" s="417">
        <v>0</v>
      </c>
      <c r="H103" s="418">
        <f t="shared" si="8"/>
        <v>0</v>
      </c>
    </row>
    <row r="104" spans="1:8" s="47" customFormat="1">
      <c r="A104" s="441" t="s">
        <v>800</v>
      </c>
      <c r="B104" s="433">
        <v>130.66</v>
      </c>
      <c r="C104" s="414">
        <v>0</v>
      </c>
      <c r="D104" s="413">
        <f t="shared" si="6"/>
        <v>0</v>
      </c>
      <c r="E104" s="424">
        <v>0</v>
      </c>
      <c r="F104" s="424">
        <f t="shared" si="7"/>
        <v>0</v>
      </c>
      <c r="G104" s="417">
        <v>1</v>
      </c>
      <c r="H104" s="418">
        <f t="shared" si="8"/>
        <v>261.32</v>
      </c>
    </row>
    <row r="105" spans="1:8" s="47" customFormat="1">
      <c r="A105" s="441" t="s">
        <v>388</v>
      </c>
      <c r="B105" s="433">
        <v>37.58</v>
      </c>
      <c r="C105" s="414">
        <v>0</v>
      </c>
      <c r="D105" s="413">
        <f t="shared" si="6"/>
        <v>0</v>
      </c>
      <c r="E105" s="425">
        <v>2</v>
      </c>
      <c r="F105" s="424">
        <f t="shared" si="7"/>
        <v>150.32</v>
      </c>
      <c r="G105" s="417">
        <v>2</v>
      </c>
      <c r="H105" s="418">
        <f t="shared" si="8"/>
        <v>150.32</v>
      </c>
    </row>
    <row r="106" spans="1:8" s="47" customFormat="1">
      <c r="A106" s="441" t="s">
        <v>18</v>
      </c>
      <c r="B106" s="433">
        <v>26.12</v>
      </c>
      <c r="C106" s="414">
        <v>0</v>
      </c>
      <c r="D106" s="413">
        <f t="shared" si="6"/>
        <v>0</v>
      </c>
      <c r="E106" s="425">
        <v>4</v>
      </c>
      <c r="F106" s="424">
        <f t="shared" si="7"/>
        <v>208.96</v>
      </c>
      <c r="G106" s="417">
        <v>4</v>
      </c>
      <c r="H106" s="418">
        <f t="shared" si="8"/>
        <v>208.96</v>
      </c>
    </row>
    <row r="107" spans="1:8" s="47" customFormat="1">
      <c r="A107" s="441" t="s">
        <v>439</v>
      </c>
      <c r="B107" s="433">
        <v>27.19</v>
      </c>
      <c r="C107" s="414">
        <v>0</v>
      </c>
      <c r="D107" s="413">
        <f t="shared" si="6"/>
        <v>0</v>
      </c>
      <c r="E107" s="425">
        <v>0</v>
      </c>
      <c r="F107" s="424">
        <f t="shared" si="7"/>
        <v>0</v>
      </c>
      <c r="G107" s="417">
        <v>0</v>
      </c>
      <c r="H107" s="418">
        <f t="shared" si="8"/>
        <v>0</v>
      </c>
    </row>
    <row r="108" spans="1:8" s="47" customFormat="1">
      <c r="A108" s="441" t="s">
        <v>604</v>
      </c>
      <c r="B108" s="433">
        <v>352.09</v>
      </c>
      <c r="C108" s="413">
        <v>0.93</v>
      </c>
      <c r="D108" s="413">
        <f t="shared" si="6"/>
        <v>654.88739999999996</v>
      </c>
      <c r="E108" s="425">
        <v>0</v>
      </c>
      <c r="F108" s="424">
        <f t="shared" si="7"/>
        <v>0</v>
      </c>
      <c r="G108" s="417">
        <v>0</v>
      </c>
      <c r="H108" s="418">
        <f t="shared" si="8"/>
        <v>0</v>
      </c>
    </row>
    <row r="109" spans="1:8" s="47" customFormat="1">
      <c r="A109" s="441" t="s">
        <v>204</v>
      </c>
      <c r="B109" s="433">
        <v>252.19</v>
      </c>
      <c r="C109" s="414">
        <v>0</v>
      </c>
      <c r="D109" s="413">
        <f t="shared" si="6"/>
        <v>0</v>
      </c>
      <c r="E109" s="425">
        <v>0</v>
      </c>
      <c r="F109" s="424">
        <f t="shared" si="7"/>
        <v>0</v>
      </c>
      <c r="G109" s="417">
        <v>0</v>
      </c>
      <c r="H109" s="418">
        <f t="shared" si="8"/>
        <v>0</v>
      </c>
    </row>
    <row r="110" spans="1:8" s="47" customFormat="1">
      <c r="A110" s="441" t="s">
        <v>570</v>
      </c>
      <c r="B110" s="433">
        <v>297.81</v>
      </c>
      <c r="C110" s="414">
        <v>0</v>
      </c>
      <c r="D110" s="413">
        <f t="shared" si="6"/>
        <v>0</v>
      </c>
      <c r="E110" s="425">
        <v>0</v>
      </c>
      <c r="F110" s="424">
        <f t="shared" si="7"/>
        <v>0</v>
      </c>
      <c r="G110" s="417">
        <v>0</v>
      </c>
      <c r="H110" s="418">
        <f t="shared" si="8"/>
        <v>0</v>
      </c>
    </row>
    <row r="111" spans="1:8" s="47" customFormat="1">
      <c r="A111" s="441" t="s">
        <v>605</v>
      </c>
      <c r="B111" s="433">
        <v>117.61</v>
      </c>
      <c r="C111" s="413">
        <v>0.93</v>
      </c>
      <c r="D111" s="413">
        <f t="shared" ref="D111:D142" si="9">B111*C111*2</f>
        <v>218.75460000000001</v>
      </c>
      <c r="E111" s="425">
        <v>0</v>
      </c>
      <c r="F111" s="424">
        <f t="shared" ref="F111:F142" si="10">B111*E111*2</f>
        <v>0</v>
      </c>
      <c r="G111" s="417">
        <v>0</v>
      </c>
      <c r="H111" s="418">
        <f t="shared" ref="H111:H142" si="11">B111*G111*2</f>
        <v>0</v>
      </c>
    </row>
    <row r="112" spans="1:8" s="47" customFormat="1">
      <c r="A112" s="441" t="s">
        <v>436</v>
      </c>
      <c r="B112" s="433">
        <v>181.6</v>
      </c>
      <c r="C112" s="414">
        <v>0</v>
      </c>
      <c r="D112" s="413">
        <f t="shared" si="9"/>
        <v>0</v>
      </c>
      <c r="E112" s="425">
        <v>0</v>
      </c>
      <c r="F112" s="424">
        <f t="shared" si="10"/>
        <v>0</v>
      </c>
      <c r="G112" s="417">
        <v>0</v>
      </c>
      <c r="H112" s="418">
        <f t="shared" si="11"/>
        <v>0</v>
      </c>
    </row>
    <row r="113" spans="1:8" s="47" customFormat="1">
      <c r="A113" s="441" t="s">
        <v>358</v>
      </c>
      <c r="B113" s="433">
        <v>9.7899999999999991</v>
      </c>
      <c r="C113" s="413">
        <v>13.92</v>
      </c>
      <c r="D113" s="413">
        <f t="shared" si="9"/>
        <v>272.55359999999996</v>
      </c>
      <c r="E113" s="425">
        <v>24</v>
      </c>
      <c r="F113" s="424">
        <f t="shared" si="10"/>
        <v>469.91999999999996</v>
      </c>
      <c r="G113" s="417">
        <v>33.159999999999997</v>
      </c>
      <c r="H113" s="418">
        <f t="shared" si="11"/>
        <v>649.27279999999985</v>
      </c>
    </row>
    <row r="114" spans="1:8" s="47" customFormat="1">
      <c r="A114" s="441" t="s">
        <v>606</v>
      </c>
      <c r="B114" s="433">
        <v>268.06</v>
      </c>
      <c r="C114" s="413">
        <v>2.8</v>
      </c>
      <c r="D114" s="413">
        <f t="shared" si="9"/>
        <v>1501.136</v>
      </c>
      <c r="E114" s="425">
        <v>0</v>
      </c>
      <c r="F114" s="424">
        <f t="shared" si="10"/>
        <v>0</v>
      </c>
      <c r="G114" s="417">
        <v>3</v>
      </c>
      <c r="H114" s="418">
        <f t="shared" si="11"/>
        <v>1608.3600000000001</v>
      </c>
    </row>
    <row r="115" spans="1:8" s="47" customFormat="1">
      <c r="A115" s="441" t="s">
        <v>607</v>
      </c>
      <c r="B115" s="433">
        <v>172.94</v>
      </c>
      <c r="C115" s="413">
        <v>0.93</v>
      </c>
      <c r="D115" s="413">
        <f t="shared" si="9"/>
        <v>321.66840000000002</v>
      </c>
      <c r="E115" s="425">
        <v>0</v>
      </c>
      <c r="F115" s="424">
        <f t="shared" si="10"/>
        <v>0</v>
      </c>
      <c r="G115" s="417">
        <v>0</v>
      </c>
      <c r="H115" s="418">
        <f t="shared" si="11"/>
        <v>0</v>
      </c>
    </row>
    <row r="116" spans="1:8" s="47" customFormat="1">
      <c r="A116" s="441" t="s">
        <v>110</v>
      </c>
      <c r="B116" s="433">
        <v>265.20999999999998</v>
      </c>
      <c r="C116" s="414">
        <v>0</v>
      </c>
      <c r="D116" s="413">
        <f t="shared" si="9"/>
        <v>0</v>
      </c>
      <c r="E116" s="425">
        <v>0</v>
      </c>
      <c r="F116" s="424">
        <f t="shared" si="10"/>
        <v>0</v>
      </c>
      <c r="G116" s="417">
        <v>0</v>
      </c>
      <c r="H116" s="418">
        <f t="shared" si="11"/>
        <v>0</v>
      </c>
    </row>
    <row r="117" spans="1:8" s="47" customFormat="1">
      <c r="A117" s="441" t="s">
        <v>148</v>
      </c>
      <c r="B117" s="433">
        <v>205.54</v>
      </c>
      <c r="C117" s="413">
        <v>0.93</v>
      </c>
      <c r="D117" s="413">
        <f t="shared" si="9"/>
        <v>382.30439999999999</v>
      </c>
      <c r="E117" s="425">
        <v>0</v>
      </c>
      <c r="F117" s="424">
        <f t="shared" si="10"/>
        <v>0</v>
      </c>
      <c r="G117" s="417">
        <v>0</v>
      </c>
      <c r="H117" s="418">
        <f t="shared" si="11"/>
        <v>0</v>
      </c>
    </row>
    <row r="118" spans="1:8" s="47" customFormat="1">
      <c r="A118" s="441" t="s">
        <v>322</v>
      </c>
      <c r="B118" s="433">
        <v>36.049999999999997</v>
      </c>
      <c r="C118" s="414">
        <v>0</v>
      </c>
      <c r="D118" s="413">
        <f t="shared" si="9"/>
        <v>0</v>
      </c>
      <c r="E118" s="425">
        <v>1</v>
      </c>
      <c r="F118" s="424">
        <f t="shared" si="10"/>
        <v>72.099999999999994</v>
      </c>
      <c r="G118" s="417">
        <v>1</v>
      </c>
      <c r="H118" s="418">
        <f t="shared" si="11"/>
        <v>72.099999999999994</v>
      </c>
    </row>
    <row r="119" spans="1:8" s="47" customFormat="1">
      <c r="A119" s="441" t="s">
        <v>426</v>
      </c>
      <c r="B119" s="433">
        <v>20.149999999999999</v>
      </c>
      <c r="C119" s="413">
        <v>0.93</v>
      </c>
      <c r="D119" s="413">
        <f t="shared" si="9"/>
        <v>37.478999999999999</v>
      </c>
      <c r="E119" s="425">
        <v>1</v>
      </c>
      <c r="F119" s="424">
        <f t="shared" si="10"/>
        <v>40.299999999999997</v>
      </c>
      <c r="G119" s="417">
        <v>4.66</v>
      </c>
      <c r="H119" s="418">
        <f t="shared" si="11"/>
        <v>187.798</v>
      </c>
    </row>
    <row r="120" spans="1:8" s="47" customFormat="1">
      <c r="A120" s="441" t="s">
        <v>496</v>
      </c>
      <c r="B120" s="433">
        <v>145.41</v>
      </c>
      <c r="C120" s="413">
        <v>0.93</v>
      </c>
      <c r="D120" s="413">
        <f t="shared" si="9"/>
        <v>270.46260000000001</v>
      </c>
      <c r="E120" s="425">
        <v>0</v>
      </c>
      <c r="F120" s="424">
        <f t="shared" si="10"/>
        <v>0</v>
      </c>
      <c r="G120" s="417">
        <v>0</v>
      </c>
      <c r="H120" s="418">
        <f t="shared" si="11"/>
        <v>0</v>
      </c>
    </row>
    <row r="121" spans="1:8" s="47" customFormat="1">
      <c r="A121" s="441" t="s">
        <v>659</v>
      </c>
      <c r="B121" s="433">
        <v>69.8</v>
      </c>
      <c r="C121" s="414">
        <v>0</v>
      </c>
      <c r="D121" s="413">
        <f t="shared" si="9"/>
        <v>0</v>
      </c>
      <c r="E121" s="425">
        <v>3</v>
      </c>
      <c r="F121" s="424">
        <f t="shared" si="10"/>
        <v>418.79999999999995</v>
      </c>
      <c r="G121" s="417">
        <v>0</v>
      </c>
      <c r="H121" s="418">
        <f t="shared" si="11"/>
        <v>0</v>
      </c>
    </row>
    <row r="122" spans="1:8" s="47" customFormat="1">
      <c r="A122" s="441" t="s">
        <v>497</v>
      </c>
      <c r="B122" s="433">
        <v>214.28</v>
      </c>
      <c r="C122" s="413">
        <v>0.93</v>
      </c>
      <c r="D122" s="413">
        <f t="shared" si="9"/>
        <v>398.56080000000003</v>
      </c>
      <c r="E122" s="425">
        <v>0</v>
      </c>
      <c r="F122" s="424">
        <f t="shared" si="10"/>
        <v>0</v>
      </c>
      <c r="G122" s="417">
        <v>0</v>
      </c>
      <c r="H122" s="418">
        <f t="shared" si="11"/>
        <v>0</v>
      </c>
    </row>
    <row r="123" spans="1:8" s="47" customFormat="1">
      <c r="A123" s="441" t="s">
        <v>122</v>
      </c>
      <c r="B123" s="433">
        <v>400</v>
      </c>
      <c r="C123" s="414">
        <v>0</v>
      </c>
      <c r="D123" s="413">
        <f t="shared" si="9"/>
        <v>0</v>
      </c>
      <c r="E123" s="425">
        <v>0</v>
      </c>
      <c r="F123" s="424">
        <f t="shared" si="10"/>
        <v>0</v>
      </c>
      <c r="G123" s="417">
        <v>0</v>
      </c>
      <c r="H123" s="418">
        <f t="shared" si="11"/>
        <v>0</v>
      </c>
    </row>
    <row r="124" spans="1:8" s="47" customFormat="1">
      <c r="A124" s="441" t="s">
        <v>427</v>
      </c>
      <c r="B124" s="433">
        <v>20.74</v>
      </c>
      <c r="C124" s="413">
        <v>6.5</v>
      </c>
      <c r="D124" s="413">
        <f t="shared" si="9"/>
        <v>269.62</v>
      </c>
      <c r="E124" s="425">
        <v>28</v>
      </c>
      <c r="F124" s="424">
        <f t="shared" si="10"/>
        <v>1161.4399999999998</v>
      </c>
      <c r="G124" s="417">
        <v>30.24</v>
      </c>
      <c r="H124" s="418">
        <f t="shared" si="11"/>
        <v>1254.3551999999997</v>
      </c>
    </row>
    <row r="125" spans="1:8" s="47" customFormat="1">
      <c r="A125" s="441" t="s">
        <v>394</v>
      </c>
      <c r="B125" s="433">
        <v>459.77</v>
      </c>
      <c r="C125" s="413">
        <v>0.93</v>
      </c>
      <c r="D125" s="413">
        <f t="shared" si="9"/>
        <v>855.17219999999998</v>
      </c>
      <c r="E125" s="425">
        <v>0</v>
      </c>
      <c r="F125" s="424">
        <f t="shared" si="10"/>
        <v>0</v>
      </c>
      <c r="G125" s="417">
        <v>0</v>
      </c>
      <c r="H125" s="418">
        <f t="shared" si="11"/>
        <v>0</v>
      </c>
    </row>
    <row r="126" spans="1:8" s="47" customFormat="1">
      <c r="A126" s="441" t="s">
        <v>395</v>
      </c>
      <c r="B126" s="433">
        <v>467.88</v>
      </c>
      <c r="C126" s="413">
        <v>0.93</v>
      </c>
      <c r="D126" s="413">
        <f t="shared" si="9"/>
        <v>870.2568</v>
      </c>
      <c r="E126" s="425">
        <v>0</v>
      </c>
      <c r="F126" s="424">
        <f t="shared" si="10"/>
        <v>0</v>
      </c>
      <c r="G126" s="417">
        <v>0</v>
      </c>
      <c r="H126" s="418">
        <f t="shared" si="11"/>
        <v>0</v>
      </c>
    </row>
    <row r="127" spans="1:8" s="47" customFormat="1">
      <c r="A127" s="441" t="s">
        <v>428</v>
      </c>
      <c r="B127" s="433">
        <v>18.170000000000002</v>
      </c>
      <c r="C127" s="414">
        <v>0</v>
      </c>
      <c r="D127" s="413">
        <f t="shared" si="9"/>
        <v>0</v>
      </c>
      <c r="E127" s="425">
        <v>1</v>
      </c>
      <c r="F127" s="424">
        <f t="shared" si="10"/>
        <v>36.340000000000003</v>
      </c>
      <c r="G127" s="417">
        <v>3.5</v>
      </c>
      <c r="H127" s="418">
        <f t="shared" si="11"/>
        <v>127.19000000000001</v>
      </c>
    </row>
    <row r="128" spans="1:8" s="47" customFormat="1">
      <c r="A128" s="441" t="s">
        <v>801</v>
      </c>
      <c r="B128" s="433">
        <v>241.3</v>
      </c>
      <c r="C128" s="414">
        <v>0</v>
      </c>
      <c r="D128" s="413">
        <f t="shared" si="9"/>
        <v>0</v>
      </c>
      <c r="E128" s="424">
        <v>0</v>
      </c>
      <c r="F128" s="424">
        <f t="shared" si="10"/>
        <v>0</v>
      </c>
      <c r="G128" s="417">
        <v>1</v>
      </c>
      <c r="H128" s="418">
        <f t="shared" si="11"/>
        <v>482.6</v>
      </c>
    </row>
    <row r="129" spans="1:8" s="47" customFormat="1">
      <c r="A129" s="441" t="s">
        <v>559</v>
      </c>
      <c r="B129" s="433">
        <v>38.549999999999997</v>
      </c>
      <c r="C129" s="414">
        <v>0</v>
      </c>
      <c r="D129" s="413">
        <f t="shared" si="9"/>
        <v>0</v>
      </c>
      <c r="E129" s="425">
        <v>1</v>
      </c>
      <c r="F129" s="424">
        <f t="shared" si="10"/>
        <v>77.099999999999994</v>
      </c>
      <c r="G129" s="417">
        <v>0</v>
      </c>
      <c r="H129" s="418">
        <f t="shared" si="11"/>
        <v>0</v>
      </c>
    </row>
    <row r="130" spans="1:8" s="47" customFormat="1">
      <c r="A130" s="441" t="s">
        <v>429</v>
      </c>
      <c r="B130" s="433">
        <v>24.76</v>
      </c>
      <c r="C130" s="413">
        <v>0.93</v>
      </c>
      <c r="D130" s="413">
        <f t="shared" si="9"/>
        <v>46.053600000000003</v>
      </c>
      <c r="E130" s="425">
        <v>2</v>
      </c>
      <c r="F130" s="424">
        <f t="shared" si="10"/>
        <v>99.04</v>
      </c>
      <c r="G130" s="417">
        <v>2</v>
      </c>
      <c r="H130" s="418">
        <f t="shared" si="11"/>
        <v>99.04</v>
      </c>
    </row>
    <row r="131" spans="1:8" s="47" customFormat="1">
      <c r="A131" s="441" t="s">
        <v>396</v>
      </c>
      <c r="B131" s="433">
        <v>133.91</v>
      </c>
      <c r="C131" s="413">
        <v>0.93</v>
      </c>
      <c r="D131" s="413">
        <f t="shared" si="9"/>
        <v>249.07259999999999</v>
      </c>
      <c r="E131" s="425">
        <v>0</v>
      </c>
      <c r="F131" s="424">
        <f t="shared" si="10"/>
        <v>0</v>
      </c>
      <c r="G131" s="417">
        <v>0</v>
      </c>
      <c r="H131" s="418">
        <f t="shared" si="11"/>
        <v>0</v>
      </c>
    </row>
    <row r="132" spans="1:8" s="47" customFormat="1">
      <c r="A132" s="441" t="s">
        <v>225</v>
      </c>
      <c r="B132" s="433">
        <v>23.55</v>
      </c>
      <c r="C132" s="414">
        <v>0</v>
      </c>
      <c r="D132" s="413">
        <f t="shared" si="9"/>
        <v>0</v>
      </c>
      <c r="E132" s="425">
        <v>3</v>
      </c>
      <c r="F132" s="424">
        <f t="shared" si="10"/>
        <v>141.30000000000001</v>
      </c>
      <c r="G132" s="417">
        <v>3</v>
      </c>
      <c r="H132" s="418">
        <f t="shared" si="11"/>
        <v>141.30000000000001</v>
      </c>
    </row>
    <row r="133" spans="1:8" s="47" customFormat="1">
      <c r="A133" s="441" t="s">
        <v>868</v>
      </c>
      <c r="B133" s="433">
        <v>36.1</v>
      </c>
      <c r="C133" s="413">
        <v>0.93</v>
      </c>
      <c r="D133" s="413">
        <f t="shared" si="9"/>
        <v>67.146000000000001</v>
      </c>
      <c r="E133" s="425">
        <v>1</v>
      </c>
      <c r="F133" s="424">
        <f t="shared" si="10"/>
        <v>72.2</v>
      </c>
      <c r="G133" s="417">
        <v>1</v>
      </c>
      <c r="H133" s="418">
        <f t="shared" si="11"/>
        <v>72.2</v>
      </c>
    </row>
    <row r="134" spans="1:8" s="47" customFormat="1">
      <c r="A134" s="441" t="s">
        <v>802</v>
      </c>
      <c r="B134" s="433">
        <v>302.23</v>
      </c>
      <c r="C134" s="413">
        <v>0</v>
      </c>
      <c r="D134" s="413">
        <f t="shared" si="9"/>
        <v>0</v>
      </c>
      <c r="E134" s="424">
        <v>0</v>
      </c>
      <c r="F134" s="424">
        <f t="shared" si="10"/>
        <v>0</v>
      </c>
      <c r="G134" s="417">
        <v>1.5</v>
      </c>
      <c r="H134" s="418">
        <f t="shared" si="11"/>
        <v>906.69</v>
      </c>
    </row>
    <row r="135" spans="1:8" s="47" customFormat="1">
      <c r="A135" s="441" t="s">
        <v>226</v>
      </c>
      <c r="B135" s="433">
        <v>29.58</v>
      </c>
      <c r="C135" s="413">
        <v>0.93</v>
      </c>
      <c r="D135" s="413">
        <f t="shared" si="9"/>
        <v>55.018799999999999</v>
      </c>
      <c r="E135" s="425">
        <v>3</v>
      </c>
      <c r="F135" s="424">
        <f t="shared" si="10"/>
        <v>177.48</v>
      </c>
      <c r="G135" s="417">
        <v>0.8</v>
      </c>
      <c r="H135" s="418">
        <f t="shared" si="11"/>
        <v>47.328000000000003</v>
      </c>
    </row>
    <row r="136" spans="1:8" s="47" customFormat="1">
      <c r="A136" s="441" t="s">
        <v>498</v>
      </c>
      <c r="B136" s="433">
        <v>199.76</v>
      </c>
      <c r="C136" s="413">
        <v>0.93</v>
      </c>
      <c r="D136" s="413">
        <f t="shared" si="9"/>
        <v>371.55360000000002</v>
      </c>
      <c r="E136" s="425">
        <v>0</v>
      </c>
      <c r="F136" s="424">
        <f t="shared" si="10"/>
        <v>0</v>
      </c>
      <c r="G136" s="417">
        <v>0</v>
      </c>
      <c r="H136" s="418">
        <f t="shared" si="11"/>
        <v>0</v>
      </c>
    </row>
    <row r="137" spans="1:8" s="47" customFormat="1">
      <c r="A137" s="441" t="s">
        <v>499</v>
      </c>
      <c r="B137" s="433">
        <v>202.05</v>
      </c>
      <c r="C137" s="413">
        <v>0.93</v>
      </c>
      <c r="D137" s="413">
        <f t="shared" si="9"/>
        <v>375.81300000000005</v>
      </c>
      <c r="E137" s="425">
        <v>0</v>
      </c>
      <c r="F137" s="424">
        <f t="shared" si="10"/>
        <v>0</v>
      </c>
      <c r="G137" s="417">
        <v>0</v>
      </c>
      <c r="H137" s="418">
        <f t="shared" si="11"/>
        <v>0</v>
      </c>
    </row>
    <row r="138" spans="1:8" s="47" customFormat="1">
      <c r="A138" s="441" t="s">
        <v>111</v>
      </c>
      <c r="B138" s="433">
        <v>46.33</v>
      </c>
      <c r="C138" s="414">
        <v>0</v>
      </c>
      <c r="D138" s="413">
        <f t="shared" si="9"/>
        <v>0</v>
      </c>
      <c r="E138" s="425">
        <v>0</v>
      </c>
      <c r="F138" s="424">
        <f t="shared" si="10"/>
        <v>0</v>
      </c>
      <c r="G138" s="417">
        <v>0</v>
      </c>
      <c r="H138" s="418">
        <f t="shared" si="11"/>
        <v>0</v>
      </c>
    </row>
    <row r="139" spans="1:8" s="47" customFormat="1">
      <c r="A139" s="441" t="s">
        <v>441</v>
      </c>
      <c r="B139" s="433">
        <v>8.99</v>
      </c>
      <c r="C139" s="413">
        <v>2.8</v>
      </c>
      <c r="D139" s="413">
        <f t="shared" si="9"/>
        <v>50.344000000000001</v>
      </c>
      <c r="E139" s="425">
        <v>15.7</v>
      </c>
      <c r="F139" s="424">
        <f t="shared" si="10"/>
        <v>282.286</v>
      </c>
      <c r="G139" s="417">
        <v>21.44</v>
      </c>
      <c r="H139" s="418">
        <f t="shared" si="11"/>
        <v>385.49120000000005</v>
      </c>
    </row>
    <row r="140" spans="1:8" s="47" customFormat="1">
      <c r="A140" s="441" t="s">
        <v>351</v>
      </c>
      <c r="B140" s="433">
        <v>24.81</v>
      </c>
      <c r="C140" s="414">
        <v>0</v>
      </c>
      <c r="D140" s="413">
        <f t="shared" si="9"/>
        <v>0</v>
      </c>
      <c r="E140" s="425">
        <v>0</v>
      </c>
      <c r="F140" s="424">
        <f t="shared" si="10"/>
        <v>0</v>
      </c>
      <c r="G140" s="417">
        <v>0</v>
      </c>
      <c r="H140" s="418">
        <f t="shared" si="11"/>
        <v>0</v>
      </c>
    </row>
    <row r="141" spans="1:8" s="47" customFormat="1">
      <c r="A141" s="441" t="s">
        <v>372</v>
      </c>
      <c r="B141" s="433">
        <v>307.76</v>
      </c>
      <c r="C141" s="414">
        <v>0</v>
      </c>
      <c r="D141" s="413">
        <f t="shared" si="9"/>
        <v>0</v>
      </c>
      <c r="E141" s="425">
        <v>0</v>
      </c>
      <c r="F141" s="424">
        <f t="shared" si="10"/>
        <v>0</v>
      </c>
      <c r="G141" s="417">
        <v>0</v>
      </c>
      <c r="H141" s="418">
        <f t="shared" si="11"/>
        <v>0</v>
      </c>
    </row>
    <row r="142" spans="1:8" s="47" customFormat="1">
      <c r="A142" s="441" t="s">
        <v>146</v>
      </c>
      <c r="B142" s="433">
        <v>493.86</v>
      </c>
      <c r="C142" s="413">
        <v>0.93</v>
      </c>
      <c r="D142" s="413">
        <f t="shared" si="9"/>
        <v>918.57960000000003</v>
      </c>
      <c r="E142" s="425">
        <v>0</v>
      </c>
      <c r="F142" s="424">
        <f t="shared" si="10"/>
        <v>0</v>
      </c>
      <c r="G142" s="417">
        <v>0</v>
      </c>
      <c r="H142" s="418">
        <f t="shared" si="11"/>
        <v>0</v>
      </c>
    </row>
    <row r="143" spans="1:8" s="47" customFormat="1">
      <c r="A143" s="441" t="s">
        <v>352</v>
      </c>
      <c r="B143" s="433">
        <v>32.86</v>
      </c>
      <c r="C143" s="413">
        <v>3.7</v>
      </c>
      <c r="D143" s="413">
        <f t="shared" ref="D143:D174" si="12">B143*C143*2</f>
        <v>243.16400000000002</v>
      </c>
      <c r="E143" s="425">
        <v>3</v>
      </c>
      <c r="F143" s="424">
        <f t="shared" ref="F143:F174" si="13">B143*E143*2</f>
        <v>197.16</v>
      </c>
      <c r="G143" s="417">
        <v>2</v>
      </c>
      <c r="H143" s="418">
        <f t="shared" ref="H143:H174" si="14">B143*G143*2</f>
        <v>131.44</v>
      </c>
    </row>
    <row r="144" spans="1:8" s="47" customFormat="1">
      <c r="A144" s="441" t="s">
        <v>353</v>
      </c>
      <c r="B144" s="433">
        <v>8.84</v>
      </c>
      <c r="C144" s="413">
        <v>15.78</v>
      </c>
      <c r="D144" s="413">
        <f t="shared" si="12"/>
        <v>278.99039999999997</v>
      </c>
      <c r="E144" s="425">
        <v>28.3</v>
      </c>
      <c r="F144" s="424">
        <f t="shared" si="13"/>
        <v>500.34399999999999</v>
      </c>
      <c r="G144" s="417">
        <v>37.44</v>
      </c>
      <c r="H144" s="418">
        <f t="shared" si="14"/>
        <v>661.93919999999991</v>
      </c>
    </row>
    <row r="145" spans="1:8" s="47" customFormat="1">
      <c r="A145" s="441" t="s">
        <v>306</v>
      </c>
      <c r="B145" s="433">
        <v>93.97</v>
      </c>
      <c r="C145" s="413">
        <v>0.93</v>
      </c>
      <c r="D145" s="413">
        <f t="shared" si="12"/>
        <v>174.7842</v>
      </c>
      <c r="E145" s="425">
        <v>0</v>
      </c>
      <c r="F145" s="424">
        <f t="shared" si="13"/>
        <v>0</v>
      </c>
      <c r="G145" s="417">
        <v>0</v>
      </c>
      <c r="H145" s="418">
        <f t="shared" si="14"/>
        <v>0</v>
      </c>
    </row>
    <row r="146" spans="1:8" s="47" customFormat="1">
      <c r="A146" s="441" t="s">
        <v>415</v>
      </c>
      <c r="B146" s="433">
        <v>85.44</v>
      </c>
      <c r="C146" s="414">
        <v>0</v>
      </c>
      <c r="D146" s="413">
        <f t="shared" si="12"/>
        <v>0</v>
      </c>
      <c r="E146" s="425">
        <v>0</v>
      </c>
      <c r="F146" s="424">
        <f t="shared" si="13"/>
        <v>0</v>
      </c>
      <c r="G146" s="417">
        <v>0</v>
      </c>
      <c r="H146" s="418">
        <f t="shared" si="14"/>
        <v>0</v>
      </c>
    </row>
    <row r="147" spans="1:8" s="47" customFormat="1">
      <c r="A147" s="441" t="s">
        <v>66</v>
      </c>
      <c r="B147" s="433">
        <v>84.44</v>
      </c>
      <c r="C147" s="414">
        <v>0</v>
      </c>
      <c r="D147" s="413">
        <f t="shared" si="12"/>
        <v>0</v>
      </c>
      <c r="E147" s="425">
        <v>0</v>
      </c>
      <c r="F147" s="424">
        <f t="shared" si="13"/>
        <v>0</v>
      </c>
      <c r="G147" s="417">
        <v>0</v>
      </c>
      <c r="H147" s="418">
        <f t="shared" si="14"/>
        <v>0</v>
      </c>
    </row>
    <row r="148" spans="1:8" s="47" customFormat="1">
      <c r="A148" s="441" t="s">
        <v>423</v>
      </c>
      <c r="B148" s="433">
        <v>28.21</v>
      </c>
      <c r="C148" s="414">
        <v>0</v>
      </c>
      <c r="D148" s="413">
        <f t="shared" si="12"/>
        <v>0</v>
      </c>
      <c r="E148" s="425">
        <v>2</v>
      </c>
      <c r="F148" s="424">
        <f t="shared" si="13"/>
        <v>112.84</v>
      </c>
      <c r="G148" s="417">
        <v>4</v>
      </c>
      <c r="H148" s="418">
        <f t="shared" si="14"/>
        <v>225.68</v>
      </c>
    </row>
    <row r="149" spans="1:8" s="47" customFormat="1">
      <c r="A149" s="441" t="s">
        <v>17</v>
      </c>
      <c r="B149" s="433">
        <v>70.94</v>
      </c>
      <c r="C149" s="414">
        <v>0</v>
      </c>
      <c r="D149" s="413">
        <f t="shared" si="12"/>
        <v>0</v>
      </c>
      <c r="E149" s="425">
        <v>0</v>
      </c>
      <c r="F149" s="424">
        <f t="shared" si="13"/>
        <v>0</v>
      </c>
      <c r="G149" s="417">
        <v>0</v>
      </c>
      <c r="H149" s="418">
        <f t="shared" si="14"/>
        <v>0</v>
      </c>
    </row>
    <row r="150" spans="1:8" s="47" customFormat="1">
      <c r="A150" s="441" t="s">
        <v>758</v>
      </c>
      <c r="B150" s="433">
        <v>12.41</v>
      </c>
      <c r="C150" s="413">
        <v>4.6399999999999997</v>
      </c>
      <c r="D150" s="413">
        <f t="shared" si="12"/>
        <v>115.1648</v>
      </c>
      <c r="E150" s="425">
        <v>20.2</v>
      </c>
      <c r="F150" s="424">
        <f t="shared" si="13"/>
        <v>501.36399999999998</v>
      </c>
      <c r="G150" s="417">
        <v>23.6</v>
      </c>
      <c r="H150" s="418">
        <f t="shared" si="14"/>
        <v>585.75200000000007</v>
      </c>
    </row>
    <row r="151" spans="1:8" s="47" customFormat="1">
      <c r="A151" s="441" t="s">
        <v>307</v>
      </c>
      <c r="B151" s="433">
        <v>193.06</v>
      </c>
      <c r="C151" s="413">
        <v>0.93</v>
      </c>
      <c r="D151" s="413">
        <f t="shared" si="12"/>
        <v>359.09160000000003</v>
      </c>
      <c r="E151" s="425">
        <v>0</v>
      </c>
      <c r="F151" s="424">
        <f t="shared" si="13"/>
        <v>0</v>
      </c>
      <c r="G151" s="417">
        <v>0</v>
      </c>
      <c r="H151" s="418">
        <f t="shared" si="14"/>
        <v>0</v>
      </c>
    </row>
    <row r="152" spans="1:8" s="47" customFormat="1">
      <c r="A152" s="441" t="s">
        <v>759</v>
      </c>
      <c r="B152" s="433">
        <v>36.47</v>
      </c>
      <c r="C152" s="413">
        <v>1.86</v>
      </c>
      <c r="D152" s="413">
        <f t="shared" si="12"/>
        <v>135.66839999999999</v>
      </c>
      <c r="E152" s="425">
        <v>4</v>
      </c>
      <c r="F152" s="424">
        <f t="shared" si="13"/>
        <v>291.76</v>
      </c>
      <c r="G152" s="417">
        <v>3.8</v>
      </c>
      <c r="H152" s="418">
        <f t="shared" si="14"/>
        <v>277.17199999999997</v>
      </c>
    </row>
    <row r="153" spans="1:8" s="47" customFormat="1">
      <c r="A153" s="441" t="s">
        <v>414</v>
      </c>
      <c r="B153" s="433">
        <v>33.4</v>
      </c>
      <c r="C153" s="414">
        <v>0</v>
      </c>
      <c r="D153" s="413">
        <f t="shared" si="12"/>
        <v>0</v>
      </c>
      <c r="E153" s="425">
        <v>1</v>
      </c>
      <c r="F153" s="424">
        <f t="shared" si="13"/>
        <v>66.8</v>
      </c>
      <c r="G153" s="417">
        <v>1</v>
      </c>
      <c r="H153" s="418">
        <f t="shared" si="14"/>
        <v>66.8</v>
      </c>
    </row>
    <row r="154" spans="1:8" s="47" customFormat="1">
      <c r="A154" s="441" t="s">
        <v>760</v>
      </c>
      <c r="B154" s="433">
        <v>19.79</v>
      </c>
      <c r="C154" s="414">
        <v>0</v>
      </c>
      <c r="D154" s="413">
        <f t="shared" si="12"/>
        <v>0</v>
      </c>
      <c r="E154" s="425">
        <v>1</v>
      </c>
      <c r="F154" s="424">
        <f t="shared" si="13"/>
        <v>39.58</v>
      </c>
      <c r="G154" s="417">
        <v>1</v>
      </c>
      <c r="H154" s="418">
        <f t="shared" si="14"/>
        <v>39.58</v>
      </c>
    </row>
    <row r="155" spans="1:8" s="47" customFormat="1">
      <c r="A155" s="441" t="s">
        <v>560</v>
      </c>
      <c r="B155" s="433">
        <v>44.45</v>
      </c>
      <c r="C155" s="413">
        <v>0.93</v>
      </c>
      <c r="D155" s="413">
        <f t="shared" si="12"/>
        <v>82.677000000000007</v>
      </c>
      <c r="E155" s="425">
        <v>1</v>
      </c>
      <c r="F155" s="424">
        <f t="shared" si="13"/>
        <v>88.9</v>
      </c>
      <c r="G155" s="417">
        <v>1</v>
      </c>
      <c r="H155" s="418">
        <f t="shared" si="14"/>
        <v>88.9</v>
      </c>
    </row>
    <row r="156" spans="1:8" s="47" customFormat="1">
      <c r="A156" s="441" t="s">
        <v>585</v>
      </c>
      <c r="B156" s="433">
        <v>167.01</v>
      </c>
      <c r="C156" s="413">
        <v>0.93</v>
      </c>
      <c r="D156" s="413">
        <f t="shared" si="12"/>
        <v>310.6386</v>
      </c>
      <c r="E156" s="425">
        <v>0</v>
      </c>
      <c r="F156" s="424">
        <f t="shared" si="13"/>
        <v>0</v>
      </c>
      <c r="G156" s="417">
        <v>0</v>
      </c>
      <c r="H156" s="418">
        <f t="shared" si="14"/>
        <v>0</v>
      </c>
    </row>
    <row r="157" spans="1:8" s="47" customFormat="1">
      <c r="A157" s="441" t="s">
        <v>561</v>
      </c>
      <c r="B157" s="433">
        <v>62.83</v>
      </c>
      <c r="C157" s="413">
        <v>0.93</v>
      </c>
      <c r="D157" s="413">
        <f t="shared" si="12"/>
        <v>116.8638</v>
      </c>
      <c r="E157" s="425">
        <v>1</v>
      </c>
      <c r="F157" s="424">
        <f t="shared" si="13"/>
        <v>125.66</v>
      </c>
      <c r="G157" s="417">
        <v>0</v>
      </c>
      <c r="H157" s="418">
        <f t="shared" si="14"/>
        <v>0</v>
      </c>
    </row>
    <row r="158" spans="1:8" s="47" customFormat="1">
      <c r="A158" s="441" t="s">
        <v>416</v>
      </c>
      <c r="B158" s="433">
        <v>20.58</v>
      </c>
      <c r="C158" s="413">
        <v>1.86</v>
      </c>
      <c r="D158" s="413">
        <f t="shared" si="12"/>
        <v>76.557599999999994</v>
      </c>
      <c r="E158" s="425">
        <v>6</v>
      </c>
      <c r="F158" s="424">
        <f t="shared" si="13"/>
        <v>246.95999999999998</v>
      </c>
      <c r="G158" s="417">
        <v>8</v>
      </c>
      <c r="H158" s="418">
        <f t="shared" si="14"/>
        <v>329.28</v>
      </c>
    </row>
    <row r="159" spans="1:8" s="47" customFormat="1">
      <c r="A159" s="441" t="s">
        <v>589</v>
      </c>
      <c r="B159" s="433">
        <v>15.58</v>
      </c>
      <c r="C159" s="413">
        <v>2.8</v>
      </c>
      <c r="D159" s="413">
        <f t="shared" si="12"/>
        <v>87.24799999999999</v>
      </c>
      <c r="E159" s="425">
        <v>2</v>
      </c>
      <c r="F159" s="424">
        <f t="shared" si="13"/>
        <v>62.32</v>
      </c>
      <c r="G159" s="417">
        <v>3.8079999999999998</v>
      </c>
      <c r="H159" s="418">
        <f t="shared" si="14"/>
        <v>118.65728</v>
      </c>
    </row>
    <row r="160" spans="1:8" s="47" customFormat="1">
      <c r="A160" s="441" t="s">
        <v>297</v>
      </c>
      <c r="B160" s="433">
        <v>19.760000000000002</v>
      </c>
      <c r="C160" s="413">
        <v>0.93</v>
      </c>
      <c r="D160" s="413">
        <f t="shared" si="12"/>
        <v>36.753600000000006</v>
      </c>
      <c r="E160" s="425">
        <v>6</v>
      </c>
      <c r="F160" s="424">
        <f t="shared" si="13"/>
        <v>237.12</v>
      </c>
      <c r="G160" s="417">
        <v>5.63</v>
      </c>
      <c r="H160" s="418">
        <f t="shared" si="14"/>
        <v>222.49760000000001</v>
      </c>
    </row>
    <row r="161" spans="1:8" s="47" customFormat="1">
      <c r="A161" s="441" t="s">
        <v>476</v>
      </c>
      <c r="B161" s="433">
        <v>45.46</v>
      </c>
      <c r="C161" s="414">
        <v>0</v>
      </c>
      <c r="D161" s="413">
        <f t="shared" si="12"/>
        <v>0</v>
      </c>
      <c r="E161" s="425">
        <v>1</v>
      </c>
      <c r="F161" s="424">
        <f t="shared" si="13"/>
        <v>90.92</v>
      </c>
      <c r="G161" s="417">
        <v>1</v>
      </c>
      <c r="H161" s="418">
        <f t="shared" si="14"/>
        <v>90.92</v>
      </c>
    </row>
    <row r="162" spans="1:8" s="47" customFormat="1">
      <c r="A162" s="441" t="s">
        <v>586</v>
      </c>
      <c r="B162" s="433">
        <v>399.62</v>
      </c>
      <c r="C162" s="413">
        <v>0.93</v>
      </c>
      <c r="D162" s="413">
        <f t="shared" si="12"/>
        <v>743.29320000000007</v>
      </c>
      <c r="E162" s="425">
        <v>0</v>
      </c>
      <c r="F162" s="424">
        <f t="shared" si="13"/>
        <v>0</v>
      </c>
      <c r="G162" s="417">
        <v>0</v>
      </c>
      <c r="H162" s="418">
        <f t="shared" si="14"/>
        <v>0</v>
      </c>
    </row>
    <row r="163" spans="1:8" s="47" customFormat="1">
      <c r="A163" s="441" t="s">
        <v>467</v>
      </c>
      <c r="B163" s="433">
        <v>114.38</v>
      </c>
      <c r="C163" s="413">
        <v>0.93</v>
      </c>
      <c r="D163" s="413">
        <f t="shared" si="12"/>
        <v>212.74680000000001</v>
      </c>
      <c r="E163" s="425">
        <v>0</v>
      </c>
      <c r="F163" s="424">
        <f t="shared" si="13"/>
        <v>0</v>
      </c>
      <c r="G163" s="417">
        <v>0</v>
      </c>
      <c r="H163" s="418">
        <f t="shared" si="14"/>
        <v>0</v>
      </c>
    </row>
    <row r="164" spans="1:8" s="47" customFormat="1">
      <c r="A164" s="441" t="s">
        <v>468</v>
      </c>
      <c r="B164" s="433">
        <v>52.96</v>
      </c>
      <c r="C164" s="413">
        <v>0.93</v>
      </c>
      <c r="D164" s="413">
        <f t="shared" si="12"/>
        <v>98.505600000000001</v>
      </c>
      <c r="E164" s="425">
        <v>0</v>
      </c>
      <c r="F164" s="424">
        <f t="shared" si="13"/>
        <v>0</v>
      </c>
      <c r="G164" s="417">
        <v>0</v>
      </c>
      <c r="H164" s="418">
        <f t="shared" si="14"/>
        <v>0</v>
      </c>
    </row>
    <row r="165" spans="1:8" s="47" customFormat="1">
      <c r="A165" s="441" t="s">
        <v>572</v>
      </c>
      <c r="B165" s="433">
        <v>13.57</v>
      </c>
      <c r="C165" s="413">
        <v>9.3000000000000007</v>
      </c>
      <c r="D165" s="413">
        <f t="shared" si="12"/>
        <v>252.40200000000002</v>
      </c>
      <c r="E165" s="425">
        <v>36.1</v>
      </c>
      <c r="F165" s="424">
        <f t="shared" si="13"/>
        <v>979.75400000000002</v>
      </c>
      <c r="G165" s="417">
        <v>42.9</v>
      </c>
      <c r="H165" s="418">
        <f t="shared" si="14"/>
        <v>1164.306</v>
      </c>
    </row>
    <row r="166" spans="1:8" s="47" customFormat="1">
      <c r="A166" s="441" t="s">
        <v>448</v>
      </c>
      <c r="B166" s="433">
        <v>32.090000000000003</v>
      </c>
      <c r="C166" s="414">
        <v>0</v>
      </c>
      <c r="D166" s="413">
        <f t="shared" si="12"/>
        <v>0</v>
      </c>
      <c r="E166" s="425">
        <v>1</v>
      </c>
      <c r="F166" s="424">
        <f t="shared" si="13"/>
        <v>64.180000000000007</v>
      </c>
      <c r="G166" s="417">
        <v>2</v>
      </c>
      <c r="H166" s="418">
        <f t="shared" si="14"/>
        <v>128.36000000000001</v>
      </c>
    </row>
    <row r="167" spans="1:8" s="47" customFormat="1">
      <c r="A167" s="441" t="s">
        <v>449</v>
      </c>
      <c r="B167" s="433">
        <v>10.45</v>
      </c>
      <c r="C167" s="414">
        <v>0</v>
      </c>
      <c r="D167" s="413">
        <f t="shared" si="12"/>
        <v>0</v>
      </c>
      <c r="E167" s="425">
        <v>0</v>
      </c>
      <c r="F167" s="424">
        <f t="shared" si="13"/>
        <v>0</v>
      </c>
      <c r="G167" s="417">
        <v>0.5</v>
      </c>
      <c r="H167" s="418">
        <f t="shared" si="14"/>
        <v>10.45</v>
      </c>
    </row>
    <row r="168" spans="1:8" s="47" customFormat="1">
      <c r="A168" s="441" t="s">
        <v>450</v>
      </c>
      <c r="B168" s="433">
        <v>35.299999999999997</v>
      </c>
      <c r="C168" s="413">
        <v>0.93</v>
      </c>
      <c r="D168" s="413">
        <f t="shared" si="12"/>
        <v>65.658000000000001</v>
      </c>
      <c r="E168" s="425">
        <v>0</v>
      </c>
      <c r="F168" s="424">
        <f t="shared" si="13"/>
        <v>0</v>
      </c>
      <c r="G168" s="417">
        <v>0</v>
      </c>
      <c r="H168" s="418">
        <f t="shared" si="14"/>
        <v>0</v>
      </c>
    </row>
    <row r="169" spans="1:8" s="47" customFormat="1">
      <c r="A169" s="441" t="s">
        <v>469</v>
      </c>
      <c r="B169" s="433">
        <v>489.06</v>
      </c>
      <c r="C169" s="413">
        <v>2.8</v>
      </c>
      <c r="D169" s="413">
        <f t="shared" si="12"/>
        <v>2738.7359999999999</v>
      </c>
      <c r="E169" s="425">
        <v>0</v>
      </c>
      <c r="F169" s="424">
        <f t="shared" si="13"/>
        <v>0</v>
      </c>
      <c r="G169" s="417">
        <v>1</v>
      </c>
      <c r="H169" s="418">
        <f t="shared" si="14"/>
        <v>978.12</v>
      </c>
    </row>
    <row r="170" spans="1:8" s="47" customFormat="1">
      <c r="A170" s="441" t="s">
        <v>803</v>
      </c>
      <c r="B170" s="433">
        <v>61.26</v>
      </c>
      <c r="C170" s="413">
        <v>0</v>
      </c>
      <c r="D170" s="413">
        <f t="shared" si="12"/>
        <v>0</v>
      </c>
      <c r="E170" s="424">
        <v>0</v>
      </c>
      <c r="F170" s="424">
        <f t="shared" si="13"/>
        <v>0</v>
      </c>
      <c r="G170" s="417">
        <v>1</v>
      </c>
      <c r="H170" s="418">
        <f t="shared" si="14"/>
        <v>122.52</v>
      </c>
    </row>
    <row r="171" spans="1:8" s="47" customFormat="1">
      <c r="A171" s="441" t="s">
        <v>437</v>
      </c>
      <c r="B171" s="433">
        <v>309.82</v>
      </c>
      <c r="C171" s="414">
        <v>0</v>
      </c>
      <c r="D171" s="413">
        <f t="shared" si="12"/>
        <v>0</v>
      </c>
      <c r="E171" s="425">
        <v>0</v>
      </c>
      <c r="F171" s="424">
        <f t="shared" si="13"/>
        <v>0</v>
      </c>
      <c r="G171" s="417">
        <v>0</v>
      </c>
      <c r="H171" s="418">
        <f t="shared" si="14"/>
        <v>0</v>
      </c>
    </row>
    <row r="172" spans="1:8" s="47" customFormat="1">
      <c r="A172" s="441" t="s">
        <v>550</v>
      </c>
      <c r="B172" s="433">
        <v>207.96</v>
      </c>
      <c r="C172" s="413">
        <v>0.93</v>
      </c>
      <c r="D172" s="413">
        <f t="shared" si="12"/>
        <v>386.80560000000003</v>
      </c>
      <c r="E172" s="425">
        <v>0</v>
      </c>
      <c r="F172" s="424">
        <f t="shared" si="13"/>
        <v>0</v>
      </c>
      <c r="G172" s="417">
        <v>1</v>
      </c>
      <c r="H172" s="418">
        <f t="shared" si="14"/>
        <v>415.92</v>
      </c>
    </row>
    <row r="173" spans="1:8" s="47" customFormat="1">
      <c r="A173" s="441" t="s">
        <v>227</v>
      </c>
      <c r="B173" s="433">
        <v>44.13</v>
      </c>
      <c r="C173" s="414">
        <v>0</v>
      </c>
      <c r="D173" s="413">
        <f t="shared" si="12"/>
        <v>0</v>
      </c>
      <c r="E173" s="425">
        <v>0</v>
      </c>
      <c r="F173" s="424">
        <f t="shared" si="13"/>
        <v>0</v>
      </c>
      <c r="G173" s="417">
        <v>0</v>
      </c>
      <c r="H173" s="418">
        <f t="shared" si="14"/>
        <v>0</v>
      </c>
    </row>
    <row r="174" spans="1:8" s="47" customFormat="1">
      <c r="A174" s="441" t="s">
        <v>298</v>
      </c>
      <c r="B174" s="433">
        <v>14.93</v>
      </c>
      <c r="C174" s="414">
        <v>0</v>
      </c>
      <c r="D174" s="413">
        <f t="shared" si="12"/>
        <v>0</v>
      </c>
      <c r="E174" s="425">
        <v>1</v>
      </c>
      <c r="F174" s="424">
        <f t="shared" si="13"/>
        <v>29.86</v>
      </c>
      <c r="G174" s="417">
        <v>1</v>
      </c>
      <c r="H174" s="418">
        <f t="shared" si="14"/>
        <v>29.86</v>
      </c>
    </row>
    <row r="175" spans="1:8" s="47" customFormat="1">
      <c r="A175" s="441" t="s">
        <v>228</v>
      </c>
      <c r="B175" s="433">
        <v>5.86</v>
      </c>
      <c r="C175" s="414">
        <v>0</v>
      </c>
      <c r="D175" s="413">
        <f t="shared" ref="D175:D192" si="15">B175*C175*2</f>
        <v>0</v>
      </c>
      <c r="E175" s="425">
        <v>1</v>
      </c>
      <c r="F175" s="424">
        <f t="shared" ref="F175:F192" si="16">B175*E175*2</f>
        <v>11.72</v>
      </c>
      <c r="G175" s="417">
        <v>1</v>
      </c>
      <c r="H175" s="418">
        <f t="shared" ref="H175:H192" si="17">B175*G175*2</f>
        <v>11.72</v>
      </c>
    </row>
    <row r="176" spans="1:8" s="47" customFormat="1">
      <c r="A176" s="441" t="s">
        <v>383</v>
      </c>
      <c r="B176" s="433">
        <v>64.89</v>
      </c>
      <c r="C176" s="413">
        <v>0.93</v>
      </c>
      <c r="D176" s="413">
        <f t="shared" si="15"/>
        <v>120.69540000000001</v>
      </c>
      <c r="E176" s="425">
        <v>0</v>
      </c>
      <c r="F176" s="424">
        <f t="shared" si="16"/>
        <v>0</v>
      </c>
      <c r="G176" s="417">
        <v>0.75</v>
      </c>
      <c r="H176" s="418">
        <f t="shared" si="17"/>
        <v>97.335000000000008</v>
      </c>
    </row>
    <row r="177" spans="1:8" s="47" customFormat="1">
      <c r="A177" s="441" t="s">
        <v>539</v>
      </c>
      <c r="B177" s="433">
        <v>37.020000000000003</v>
      </c>
      <c r="C177" s="414">
        <v>0</v>
      </c>
      <c r="D177" s="413">
        <f t="shared" si="15"/>
        <v>0</v>
      </c>
      <c r="E177" s="425">
        <v>1</v>
      </c>
      <c r="F177" s="424">
        <f t="shared" si="16"/>
        <v>74.040000000000006</v>
      </c>
      <c r="G177" s="417">
        <v>0.83</v>
      </c>
      <c r="H177" s="418">
        <f t="shared" si="17"/>
        <v>61.453200000000002</v>
      </c>
    </row>
    <row r="178" spans="1:8" s="47" customFormat="1">
      <c r="A178" s="441" t="s">
        <v>557</v>
      </c>
      <c r="B178" s="433">
        <v>52.57</v>
      </c>
      <c r="C178" s="413">
        <v>0.93</v>
      </c>
      <c r="D178" s="413">
        <f t="shared" si="15"/>
        <v>97.780200000000008</v>
      </c>
      <c r="E178" s="425">
        <v>0</v>
      </c>
      <c r="F178" s="424">
        <f t="shared" si="16"/>
        <v>0</v>
      </c>
      <c r="G178" s="417">
        <v>0</v>
      </c>
      <c r="H178" s="418">
        <f t="shared" si="17"/>
        <v>0</v>
      </c>
    </row>
    <row r="179" spans="1:8" s="63" customFormat="1">
      <c r="A179" s="442" t="s">
        <v>804</v>
      </c>
      <c r="B179" s="434">
        <v>36.97</v>
      </c>
      <c r="C179" s="415">
        <v>0</v>
      </c>
      <c r="D179" s="413">
        <f t="shared" si="15"/>
        <v>0</v>
      </c>
      <c r="E179" s="426">
        <v>0</v>
      </c>
      <c r="F179" s="424">
        <f t="shared" si="16"/>
        <v>0</v>
      </c>
      <c r="G179" s="420">
        <v>1</v>
      </c>
      <c r="H179" s="418">
        <f t="shared" si="17"/>
        <v>73.94</v>
      </c>
    </row>
    <row r="180" spans="1:8" s="47" customFormat="1">
      <c r="A180" s="441" t="s">
        <v>115</v>
      </c>
      <c r="B180" s="433">
        <v>195.28</v>
      </c>
      <c r="C180" s="414">
        <v>0</v>
      </c>
      <c r="D180" s="413">
        <f t="shared" si="15"/>
        <v>0</v>
      </c>
      <c r="E180" s="425">
        <v>0</v>
      </c>
      <c r="F180" s="424">
        <f t="shared" si="16"/>
        <v>0</v>
      </c>
      <c r="G180" s="421">
        <v>0</v>
      </c>
      <c r="H180" s="418">
        <f t="shared" si="17"/>
        <v>0</v>
      </c>
    </row>
    <row r="181" spans="1:8" s="47" customFormat="1">
      <c r="A181" s="441" t="s">
        <v>220</v>
      </c>
      <c r="B181" s="433">
        <v>5.05</v>
      </c>
      <c r="C181" s="413">
        <v>8.35</v>
      </c>
      <c r="D181" s="413">
        <f t="shared" si="15"/>
        <v>84.334999999999994</v>
      </c>
      <c r="E181" s="425">
        <v>23.8</v>
      </c>
      <c r="F181" s="424">
        <f t="shared" si="16"/>
        <v>240.38</v>
      </c>
      <c r="G181" s="421">
        <v>53.76</v>
      </c>
      <c r="H181" s="418">
        <f t="shared" si="17"/>
        <v>542.976</v>
      </c>
    </row>
    <row r="182" spans="1:8" s="47" customFormat="1">
      <c r="A182" s="441" t="s">
        <v>579</v>
      </c>
      <c r="B182" s="433">
        <v>61.1</v>
      </c>
      <c r="C182" s="413">
        <v>0.93</v>
      </c>
      <c r="D182" s="413">
        <f t="shared" si="15"/>
        <v>113.64600000000002</v>
      </c>
      <c r="E182" s="425">
        <v>1</v>
      </c>
      <c r="F182" s="424">
        <f t="shared" si="16"/>
        <v>122.2</v>
      </c>
      <c r="G182" s="422">
        <v>0</v>
      </c>
      <c r="H182" s="418">
        <f t="shared" si="17"/>
        <v>0</v>
      </c>
    </row>
    <row r="183" spans="1:8" s="47" customFormat="1">
      <c r="A183" s="441" t="s">
        <v>221</v>
      </c>
      <c r="B183" s="433">
        <v>10.91</v>
      </c>
      <c r="C183" s="413">
        <v>3.7</v>
      </c>
      <c r="D183" s="413">
        <f t="shared" si="15"/>
        <v>80.734000000000009</v>
      </c>
      <c r="E183" s="425">
        <v>18</v>
      </c>
      <c r="F183" s="424">
        <f t="shared" si="16"/>
        <v>392.76</v>
      </c>
      <c r="G183" s="422">
        <v>16.5</v>
      </c>
      <c r="H183" s="418">
        <f t="shared" si="17"/>
        <v>360.03000000000003</v>
      </c>
    </row>
    <row r="184" spans="1:8" s="47" customFormat="1">
      <c r="A184" s="441" t="s">
        <v>116</v>
      </c>
      <c r="B184" s="433">
        <v>174.37</v>
      </c>
      <c r="C184" s="414">
        <v>0</v>
      </c>
      <c r="D184" s="413">
        <f t="shared" si="15"/>
        <v>0</v>
      </c>
      <c r="E184" s="425">
        <v>0</v>
      </c>
      <c r="F184" s="424">
        <f t="shared" si="16"/>
        <v>0</v>
      </c>
      <c r="G184" s="422">
        <v>0</v>
      </c>
      <c r="H184" s="418">
        <f t="shared" si="17"/>
        <v>0</v>
      </c>
    </row>
    <row r="185" spans="1:8" s="47" customFormat="1">
      <c r="A185" s="441" t="s">
        <v>580</v>
      </c>
      <c r="B185" s="433">
        <v>103.68</v>
      </c>
      <c r="C185" s="414">
        <v>0</v>
      </c>
      <c r="D185" s="413">
        <f t="shared" si="15"/>
        <v>0</v>
      </c>
      <c r="E185" s="429">
        <v>1</v>
      </c>
      <c r="F185" s="424">
        <f t="shared" si="16"/>
        <v>207.36</v>
      </c>
      <c r="G185" s="422">
        <v>0.8</v>
      </c>
      <c r="H185" s="418">
        <f t="shared" si="17"/>
        <v>165.88800000000003</v>
      </c>
    </row>
    <row r="186" spans="1:8" s="47" customFormat="1">
      <c r="A186" s="441" t="s">
        <v>222</v>
      </c>
      <c r="B186" s="433">
        <v>41.19</v>
      </c>
      <c r="C186" s="414">
        <v>0</v>
      </c>
      <c r="D186" s="413">
        <f t="shared" si="15"/>
        <v>0</v>
      </c>
      <c r="E186" s="429">
        <v>1</v>
      </c>
      <c r="F186" s="424">
        <f t="shared" si="16"/>
        <v>82.38</v>
      </c>
      <c r="G186" s="422">
        <v>1</v>
      </c>
      <c r="H186" s="418">
        <f t="shared" si="17"/>
        <v>82.38</v>
      </c>
    </row>
    <row r="187" spans="1:8" s="47" customFormat="1">
      <c r="A187" s="441" t="s">
        <v>120</v>
      </c>
      <c r="B187" s="433">
        <v>386.95</v>
      </c>
      <c r="C187" s="414">
        <v>0</v>
      </c>
      <c r="D187" s="413">
        <f t="shared" si="15"/>
        <v>0</v>
      </c>
      <c r="E187" s="425">
        <v>0</v>
      </c>
      <c r="F187" s="424">
        <f t="shared" si="16"/>
        <v>0</v>
      </c>
      <c r="G187" s="422">
        <v>0</v>
      </c>
      <c r="H187" s="418">
        <f t="shared" si="17"/>
        <v>0</v>
      </c>
    </row>
    <row r="188" spans="1:8" s="47" customFormat="1">
      <c r="A188" s="441" t="s">
        <v>121</v>
      </c>
      <c r="B188" s="433">
        <v>79.87</v>
      </c>
      <c r="C188" s="414">
        <v>0</v>
      </c>
      <c r="D188" s="413">
        <f t="shared" si="15"/>
        <v>0</v>
      </c>
      <c r="E188" s="425">
        <v>0</v>
      </c>
      <c r="F188" s="424">
        <f t="shared" si="16"/>
        <v>0</v>
      </c>
      <c r="G188" s="422">
        <v>0</v>
      </c>
      <c r="H188" s="418">
        <f t="shared" si="17"/>
        <v>0</v>
      </c>
    </row>
    <row r="189" spans="1:8" s="47" customFormat="1">
      <c r="A189" s="441" t="s">
        <v>299</v>
      </c>
      <c r="B189" s="433">
        <v>161.88999999999999</v>
      </c>
      <c r="C189" s="414">
        <v>0</v>
      </c>
      <c r="D189" s="413">
        <f t="shared" si="15"/>
        <v>0</v>
      </c>
      <c r="E189" s="425">
        <v>1</v>
      </c>
      <c r="F189" s="424">
        <f t="shared" si="16"/>
        <v>323.77999999999997</v>
      </c>
      <c r="G189" s="422">
        <v>1</v>
      </c>
      <c r="H189" s="418">
        <f t="shared" si="17"/>
        <v>323.77999999999997</v>
      </c>
    </row>
    <row r="190" spans="1:8" s="47" customFormat="1">
      <c r="A190" s="441" t="s">
        <v>384</v>
      </c>
      <c r="B190" s="433">
        <v>37.83</v>
      </c>
      <c r="C190" s="413">
        <v>0.93</v>
      </c>
      <c r="D190" s="413">
        <f t="shared" si="15"/>
        <v>70.363799999999998</v>
      </c>
      <c r="E190" s="425">
        <v>0</v>
      </c>
      <c r="F190" s="424">
        <f t="shared" si="16"/>
        <v>0</v>
      </c>
      <c r="G190" s="422">
        <v>0.8</v>
      </c>
      <c r="H190" s="418">
        <f t="shared" si="17"/>
        <v>60.527999999999999</v>
      </c>
    </row>
    <row r="191" spans="1:8" s="47" customFormat="1">
      <c r="A191" s="441" t="s">
        <v>612</v>
      </c>
      <c r="B191" s="433">
        <v>29.39</v>
      </c>
      <c r="C191" s="414">
        <v>0</v>
      </c>
      <c r="D191" s="413">
        <f t="shared" si="15"/>
        <v>0</v>
      </c>
      <c r="E191" s="425">
        <v>0</v>
      </c>
      <c r="F191" s="424">
        <f t="shared" si="16"/>
        <v>0</v>
      </c>
      <c r="G191" s="422">
        <v>0</v>
      </c>
      <c r="H191" s="418">
        <f t="shared" si="17"/>
        <v>0</v>
      </c>
    </row>
    <row r="192" spans="1:8" s="47" customFormat="1">
      <c r="A192" s="441" t="s">
        <v>811</v>
      </c>
      <c r="B192" s="433">
        <v>236.45</v>
      </c>
      <c r="C192" s="414">
        <v>0</v>
      </c>
      <c r="D192" s="413">
        <f t="shared" si="15"/>
        <v>0</v>
      </c>
      <c r="E192" s="425">
        <v>0</v>
      </c>
      <c r="F192" s="424">
        <f t="shared" si="16"/>
        <v>0</v>
      </c>
      <c r="G192" s="422">
        <v>1</v>
      </c>
      <c r="H192" s="418">
        <f t="shared" si="17"/>
        <v>472.9</v>
      </c>
    </row>
    <row r="193" spans="1:25" s="47" customFormat="1">
      <c r="B193" s="75"/>
      <c r="G193" s="401"/>
      <c r="I193" s="63"/>
    </row>
    <row r="194" spans="1:25" s="29" customFormat="1" ht="12.75" customHeight="1">
      <c r="A194" s="26" t="s">
        <v>736</v>
      </c>
      <c r="B194" s="27"/>
      <c r="C194" s="27"/>
      <c r="D194" s="27">
        <f>SUM(D15:D192)*B231</f>
        <v>8635212.5034999941</v>
      </c>
      <c r="E194" s="27"/>
      <c r="F194" s="27">
        <f>SUM(F15:F192)*B231</f>
        <v>4971371.3989999993</v>
      </c>
      <c r="G194" s="408"/>
      <c r="H194" s="408">
        <f>SUM(H15:H192)*B231</f>
        <v>7194367.6074499963</v>
      </c>
      <c r="I194" s="63"/>
    </row>
    <row r="195" spans="1:25" s="29" customFormat="1" ht="12.75" customHeight="1">
      <c r="A195" s="88" t="s">
        <v>636</v>
      </c>
      <c r="B195" s="99"/>
      <c r="C195" s="99">
        <v>21</v>
      </c>
      <c r="D195" s="99"/>
      <c r="E195" s="99">
        <v>21</v>
      </c>
      <c r="F195" s="99"/>
      <c r="G195" s="99"/>
      <c r="H195" s="99">
        <v>21</v>
      </c>
    </row>
    <row r="196" spans="1:25" ht="12.75" customHeight="1">
      <c r="A196" s="8" t="s">
        <v>568</v>
      </c>
      <c r="B196" s="65"/>
      <c r="C196" s="17">
        <f>ROUND(D194/C195, 1)</f>
        <v>411200.6</v>
      </c>
      <c r="D196" s="17"/>
      <c r="E196" s="17">
        <f>ROUND(F194/E195, 1)</f>
        <v>236732</v>
      </c>
      <c r="F196" s="17"/>
      <c r="G196" s="17"/>
      <c r="H196" s="17">
        <f>ROUND(H194/H195, 1)</f>
        <v>342588.9</v>
      </c>
      <c r="I196" s="17"/>
      <c r="Q196" s="29"/>
      <c r="R196" s="29"/>
      <c r="S196" s="29"/>
      <c r="T196" s="29"/>
      <c r="U196" s="29"/>
      <c r="V196" s="29"/>
      <c r="W196" s="29"/>
      <c r="X196" s="29"/>
      <c r="Y196" s="29"/>
    </row>
    <row r="197" spans="1:25" s="24" customFormat="1">
      <c r="A197" s="71" t="s">
        <v>405</v>
      </c>
      <c r="B197" s="134"/>
      <c r="C197" s="123">
        <f>ROUND(C196*$B218,1)</f>
        <v>51429.4</v>
      </c>
      <c r="D197" s="123"/>
      <c r="E197" s="123">
        <f>ROUND(E196*$B218,1)</f>
        <v>29608.400000000001</v>
      </c>
      <c r="F197" s="123"/>
      <c r="G197" s="123"/>
      <c r="H197" s="123">
        <f>ROUND(H196*$B218,1)</f>
        <v>42848.1</v>
      </c>
      <c r="I197" s="123"/>
    </row>
    <row r="198" spans="1:25" s="24" customFormat="1" ht="15">
      <c r="A198" s="83" t="s">
        <v>173</v>
      </c>
      <c r="B198" s="435"/>
      <c r="C198" s="115">
        <f>ROUND(C196*$B219,1)</f>
        <v>3608.2</v>
      </c>
      <c r="D198" s="115"/>
      <c r="E198" s="115">
        <f>ROUND(E196*$B219,1)</f>
        <v>2077.3000000000002</v>
      </c>
      <c r="F198" s="115"/>
      <c r="G198" s="115"/>
      <c r="H198" s="115">
        <f>ROUND(H196*$B219,1)</f>
        <v>3006.1</v>
      </c>
      <c r="I198" s="115"/>
    </row>
    <row r="199" spans="1:25" s="24" customFormat="1">
      <c r="A199" s="24" t="s">
        <v>582</v>
      </c>
      <c r="B199" s="384"/>
      <c r="C199" s="96">
        <f>D194</f>
        <v>8635212.5034999941</v>
      </c>
      <c r="D199" s="96"/>
      <c r="E199" s="96">
        <f>F194</f>
        <v>4971371.3989999993</v>
      </c>
      <c r="F199" s="96"/>
      <c r="G199" s="96"/>
      <c r="H199" s="96">
        <f>H194</f>
        <v>7194367.6074499963</v>
      </c>
      <c r="I199" s="96"/>
    </row>
    <row r="200" spans="1:25" s="24" customFormat="1" ht="15">
      <c r="A200" s="25" t="s">
        <v>866</v>
      </c>
      <c r="B200" s="168"/>
      <c r="C200" s="95">
        <f>($B220*C199*$B213)</f>
        <v>1.7132261606943986</v>
      </c>
      <c r="D200" s="95"/>
      <c r="E200" s="95">
        <f>($B220*E199*$B213)</f>
        <v>0.98632008556159978</v>
      </c>
      <c r="F200" s="95"/>
      <c r="G200" s="95"/>
      <c r="H200" s="95">
        <f>($B220*H199*$B213)</f>
        <v>1.4273625333180793</v>
      </c>
      <c r="I200" s="95"/>
    </row>
    <row r="201" spans="1:25" s="24" customFormat="1" ht="15">
      <c r="A201" s="83" t="s">
        <v>188</v>
      </c>
      <c r="B201" s="436"/>
      <c r="C201" s="113">
        <f>C199*$B220*$B213*$B214</f>
        <v>35.977749374582373</v>
      </c>
      <c r="D201" s="113"/>
      <c r="E201" s="113">
        <f>E199*$B220*$B213*$B214</f>
        <v>20.712721796793595</v>
      </c>
      <c r="F201" s="113"/>
      <c r="G201" s="113"/>
      <c r="H201" s="113">
        <f>H199*$B220*$B213*$B214</f>
        <v>29.974613199679666</v>
      </c>
      <c r="I201" s="113"/>
    </row>
    <row r="202" spans="1:25" ht="15">
      <c r="A202" s="25" t="s">
        <v>859</v>
      </c>
      <c r="B202" s="168"/>
      <c r="C202" s="95">
        <f>($B221*C199*$B213)</f>
        <v>1.3099617367809491</v>
      </c>
      <c r="D202" s="95"/>
      <c r="E202" s="95">
        <f>($B221*E199*$B213)</f>
        <v>0.75415704122829985</v>
      </c>
      <c r="F202" s="95"/>
      <c r="G202" s="95"/>
      <c r="H202" s="95">
        <f>($B221*H199*$B213)</f>
        <v>1.0913855660501643</v>
      </c>
      <c r="I202" s="95"/>
    </row>
    <row r="203" spans="1:25" ht="15">
      <c r="A203" s="10" t="s">
        <v>190</v>
      </c>
      <c r="B203" s="437"/>
      <c r="C203" s="15">
        <f>C199*$B221*$B213*$B215</f>
        <v>406.08813840209422</v>
      </c>
      <c r="D203" s="15"/>
      <c r="E203" s="15">
        <f>E199*$B221*$B213*$B215</f>
        <v>233.78868278077294</v>
      </c>
      <c r="F203" s="15"/>
      <c r="G203" s="15"/>
      <c r="H203" s="15">
        <f>H199*$B221*$B213*$B215</f>
        <v>338.32952547555095</v>
      </c>
      <c r="I203" s="15"/>
    </row>
    <row r="204" spans="1:25">
      <c r="A204" s="470" t="s">
        <v>637</v>
      </c>
      <c r="B204" s="472"/>
      <c r="C204" s="472">
        <f>ROUND(C198+C201+C203,1)</f>
        <v>4050.3</v>
      </c>
      <c r="D204" s="472"/>
      <c r="E204" s="472">
        <f>ROUND(E198+E201+E203,1)</f>
        <v>2331.8000000000002</v>
      </c>
      <c r="F204" s="472"/>
      <c r="G204" s="472"/>
      <c r="H204" s="472">
        <f>ROUND(H198+H201+H203,1)</f>
        <v>3374.4</v>
      </c>
      <c r="I204" s="472"/>
    </row>
    <row r="205" spans="1:25" ht="6" customHeight="1"/>
    <row r="206" spans="1:25">
      <c r="A206" s="438" t="s">
        <v>74</v>
      </c>
      <c r="B206" s="438"/>
      <c r="C206" s="438"/>
      <c r="D206" s="438"/>
      <c r="E206" s="438"/>
      <c r="F206" s="438"/>
      <c r="G206" s="438"/>
      <c r="H206" s="438"/>
      <c r="I206" s="438"/>
      <c r="J206" s="438"/>
      <c r="K206" s="438"/>
      <c r="L206" s="438"/>
      <c r="M206" s="438"/>
      <c r="N206" s="438"/>
      <c r="O206" s="439"/>
    </row>
    <row r="207" spans="1:25" s="29" customFormat="1">
      <c r="A207" s="438" t="s">
        <v>75</v>
      </c>
      <c r="B207" s="439"/>
      <c r="C207" s="439"/>
      <c r="D207" s="439"/>
      <c r="E207" s="439"/>
      <c r="F207" s="440"/>
      <c r="G207" s="440"/>
      <c r="H207" s="439"/>
      <c r="I207" s="439"/>
      <c r="J207" s="439"/>
      <c r="K207" s="439"/>
      <c r="L207" s="439"/>
      <c r="M207" s="439"/>
      <c r="N207" s="439"/>
      <c r="O207" s="439"/>
    </row>
    <row r="208" spans="1:25" s="29" customFormat="1">
      <c r="A208" s="66"/>
      <c r="F208" s="65"/>
      <c r="G208" s="65"/>
    </row>
    <row r="209" spans="1:14" s="29" customFormat="1" ht="13.5" customHeight="1">
      <c r="A209" s="835" t="s">
        <v>764</v>
      </c>
      <c r="B209" s="835"/>
      <c r="C209"/>
      <c r="D209"/>
      <c r="E209"/>
      <c r="F209" s="65"/>
      <c r="G209" s="65"/>
    </row>
    <row r="210" spans="1:14" s="29" customFormat="1">
      <c r="A210" s="60" t="s">
        <v>511</v>
      </c>
      <c r="C210" s="24"/>
      <c r="F210" s="30"/>
      <c r="G210" s="30"/>
    </row>
    <row r="211" spans="1:14" s="29" customFormat="1">
      <c r="A211" s="103" t="s">
        <v>355</v>
      </c>
      <c r="B211" s="7">
        <f>((1)/(42))</f>
        <v>2.3809523809523808E-2</v>
      </c>
      <c r="C211" s="24"/>
      <c r="F211" s="67"/>
      <c r="G211" s="67"/>
    </row>
    <row r="212" spans="1:14" s="29" customFormat="1">
      <c r="A212" s="104" t="s">
        <v>286</v>
      </c>
      <c r="B212" s="24">
        <v>1E-3</v>
      </c>
      <c r="C212"/>
    </row>
    <row r="213" spans="1:14" s="29" customFormat="1" ht="15">
      <c r="A213" s="103" t="s">
        <v>719</v>
      </c>
      <c r="B213" s="13">
        <v>9.9999999999999995E-7</v>
      </c>
      <c r="C213"/>
    </row>
    <row r="214" spans="1:14" s="29" customFormat="1" ht="15">
      <c r="A214" s="160" t="s">
        <v>876</v>
      </c>
      <c r="B214" s="152">
        <v>21</v>
      </c>
      <c r="C214"/>
    </row>
    <row r="215" spans="1:14" s="29" customFormat="1" ht="15">
      <c r="A215" s="156" t="s">
        <v>56</v>
      </c>
      <c r="B215" s="157">
        <v>310</v>
      </c>
      <c r="C215"/>
      <c r="F215" s="68"/>
      <c r="G215" s="68"/>
    </row>
    <row r="216" spans="1:14" s="29" customFormat="1">
      <c r="A216"/>
      <c r="B216"/>
      <c r="C216"/>
      <c r="F216" s="70"/>
      <c r="G216" s="70"/>
    </row>
    <row r="217" spans="1:14" s="29" customFormat="1">
      <c r="A217" s="60" t="s">
        <v>118</v>
      </c>
      <c r="C217"/>
      <c r="F217" s="72"/>
      <c r="G217" s="72"/>
    </row>
    <row r="218" spans="1:14" s="29" customFormat="1">
      <c r="A218" s="83" t="s">
        <v>338</v>
      </c>
      <c r="B218" s="102">
        <f>$B211*$B222</f>
        <v>0.12507142857142856</v>
      </c>
      <c r="C218" s="47"/>
      <c r="F218" s="72"/>
      <c r="G218" s="72"/>
      <c r="H218" s="70"/>
      <c r="I218" s="70"/>
    </row>
    <row r="219" spans="1:14" s="29" customFormat="1" ht="15">
      <c r="A219" s="10" t="s">
        <v>207</v>
      </c>
      <c r="B219" s="83">
        <f>($B211*$B222*$B223*$B224*$B225*$B212)</f>
        <v>8.7746912536282202E-3</v>
      </c>
      <c r="C219" s="47"/>
      <c r="F219" s="72"/>
      <c r="G219" s="72"/>
    </row>
    <row r="220" spans="1:14" s="29" customFormat="1" ht="15">
      <c r="A220" s="160" t="s">
        <v>106</v>
      </c>
      <c r="B220" s="161">
        <v>0.19839999999999999</v>
      </c>
      <c r="C220" s="47"/>
      <c r="D220" s="47"/>
      <c r="E220" s="47"/>
      <c r="F220" s="73"/>
      <c r="G220" s="73"/>
      <c r="H220" s="47"/>
      <c r="I220" s="47"/>
      <c r="J220" s="47"/>
      <c r="K220" s="47"/>
      <c r="L220" s="47"/>
      <c r="M220" s="47"/>
      <c r="N220" s="47"/>
    </row>
    <row r="221" spans="1:14" s="47" customFormat="1" ht="15">
      <c r="A221" s="156" t="s">
        <v>368</v>
      </c>
      <c r="B221" s="164">
        <v>0.1517</v>
      </c>
      <c r="F221" s="61"/>
      <c r="G221" s="61"/>
    </row>
    <row r="222" spans="1:14" s="47" customFormat="1">
      <c r="A222" s="160" t="s">
        <v>489</v>
      </c>
      <c r="B222" s="152">
        <v>5.2530000000000001</v>
      </c>
      <c r="F222" s="64"/>
      <c r="G222" s="64"/>
    </row>
    <row r="223" spans="1:14" s="8" customFormat="1">
      <c r="A223" s="160" t="s">
        <v>430</v>
      </c>
      <c r="B223" s="152">
        <v>19.34</v>
      </c>
      <c r="C223" s="47"/>
      <c r="D223" s="47"/>
      <c r="E223" s="47"/>
      <c r="F223" s="5"/>
      <c r="G223" s="5"/>
      <c r="H223"/>
      <c r="I223"/>
      <c r="J223"/>
      <c r="K223"/>
      <c r="L223"/>
      <c r="M223"/>
      <c r="N223"/>
    </row>
    <row r="224" spans="1:14">
      <c r="A224" s="160" t="s">
        <v>625</v>
      </c>
      <c r="B224" s="152">
        <v>0.99</v>
      </c>
      <c r="C224" s="47"/>
      <c r="D224" s="47"/>
    </row>
    <row r="225" spans="1:7" ht="15">
      <c r="A225" s="160" t="s">
        <v>947</v>
      </c>
      <c r="B225" s="162">
        <f>((12.011+32)/12.011)</f>
        <v>3.6642244609108316</v>
      </c>
      <c r="C225" s="13"/>
      <c r="D225" s="13"/>
    </row>
    <row r="227" spans="1:7">
      <c r="A227" s="892" t="s">
        <v>264</v>
      </c>
      <c r="B227" s="892"/>
      <c r="C227" s="72"/>
      <c r="D227" s="72"/>
      <c r="E227" s="72"/>
      <c r="F227" s="72"/>
      <c r="G227" s="72"/>
    </row>
    <row r="228" spans="1:7">
      <c r="A228" s="165" t="s">
        <v>265</v>
      </c>
      <c r="B228" s="166">
        <v>365</v>
      </c>
      <c r="C228" s="18"/>
      <c r="D228" s="18"/>
      <c r="E228" s="18"/>
      <c r="F228" s="18"/>
      <c r="G228" s="18"/>
    </row>
    <row r="229" spans="1:7">
      <c r="A229" s="165" t="s">
        <v>266</v>
      </c>
      <c r="B229" s="166">
        <f>52*2</f>
        <v>104</v>
      </c>
    </row>
    <row r="230" spans="1:7">
      <c r="A230" s="165" t="s">
        <v>640</v>
      </c>
      <c r="B230" s="167">
        <v>8.5</v>
      </c>
      <c r="C230" s="34"/>
      <c r="D230" s="34"/>
      <c r="E230" s="34"/>
      <c r="F230" s="34"/>
      <c r="G230" s="34"/>
    </row>
    <row r="231" spans="1:7">
      <c r="A231" s="165" t="s">
        <v>522</v>
      </c>
      <c r="B231" s="167">
        <f>B228-(B229+B230)</f>
        <v>252.5</v>
      </c>
      <c r="C231" s="13"/>
      <c r="D231" s="13"/>
      <c r="E231" s="13"/>
      <c r="F231" s="13"/>
      <c r="G231" s="13"/>
    </row>
    <row r="232" spans="1:7">
      <c r="A232" s="165" t="s">
        <v>521</v>
      </c>
      <c r="B232" s="166">
        <v>0</v>
      </c>
    </row>
    <row r="233" spans="1:7">
      <c r="A233" s="165" t="s">
        <v>641</v>
      </c>
      <c r="B233" s="166">
        <v>26</v>
      </c>
      <c r="C233" s="72"/>
      <c r="D233" s="72"/>
      <c r="E233" s="72"/>
      <c r="F233" s="72"/>
      <c r="G233" s="72"/>
    </row>
    <row r="234" spans="1:7">
      <c r="A234" s="165" t="s">
        <v>566</v>
      </c>
      <c r="B234" s="166">
        <v>31</v>
      </c>
      <c r="C234" s="15"/>
      <c r="D234" s="15"/>
      <c r="E234" s="15"/>
      <c r="F234" s="15"/>
      <c r="G234" s="15"/>
    </row>
    <row r="235" spans="1:7">
      <c r="A235" s="165" t="s">
        <v>654</v>
      </c>
      <c r="B235" s="166">
        <v>36</v>
      </c>
    </row>
    <row r="236" spans="1:7">
      <c r="A236" s="165" t="s">
        <v>229</v>
      </c>
      <c r="B236" s="166">
        <v>40</v>
      </c>
      <c r="C236" s="31"/>
      <c r="D236" s="31"/>
      <c r="E236" s="31"/>
      <c r="F236" s="31"/>
      <c r="G236" s="31"/>
    </row>
    <row r="241" spans="1:14">
      <c r="B241" s="6"/>
    </row>
    <row r="242" spans="1:14">
      <c r="B242" s="3"/>
      <c r="C242" s="3"/>
      <c r="D242" s="3"/>
      <c r="E242" s="3"/>
      <c r="F242" s="3"/>
      <c r="G242" s="3"/>
      <c r="H242" s="29"/>
      <c r="I242" s="29"/>
      <c r="J242" s="29"/>
      <c r="K242" s="29"/>
      <c r="L242" s="29"/>
      <c r="M242" s="29"/>
      <c r="N242" s="29"/>
    </row>
    <row r="243" spans="1:14" s="29" customFormat="1">
      <c r="B243" s="30"/>
      <c r="C243" s="30"/>
      <c r="D243" s="30"/>
      <c r="E243" s="30"/>
      <c r="F243" s="30"/>
      <c r="G243" s="30"/>
      <c r="H243"/>
      <c r="I243"/>
      <c r="J243"/>
      <c r="K243"/>
      <c r="L243"/>
      <c r="M243"/>
      <c r="N243"/>
    </row>
    <row r="244" spans="1:14">
      <c r="B244" s="7"/>
      <c r="C244" s="7"/>
      <c r="D244" s="7"/>
      <c r="E244" s="7"/>
      <c r="F244" s="7"/>
      <c r="G244" s="7"/>
    </row>
    <row r="248" spans="1:14">
      <c r="A248" s="8"/>
      <c r="B248" s="9"/>
      <c r="C248" s="9"/>
      <c r="D248" s="9"/>
      <c r="E248" s="9"/>
      <c r="F248" s="9"/>
      <c r="G248" s="9"/>
    </row>
    <row r="249" spans="1:14">
      <c r="A249" s="23"/>
      <c r="B249" s="24"/>
      <c r="C249" s="24"/>
      <c r="D249" s="24"/>
      <c r="E249" s="24"/>
      <c r="F249" s="24"/>
      <c r="G249" s="24"/>
    </row>
    <row r="250" spans="1:14">
      <c r="A250" s="8"/>
      <c r="B250" s="9"/>
      <c r="C250" s="9"/>
      <c r="D250" s="9"/>
      <c r="E250" s="9"/>
      <c r="F250" s="9"/>
      <c r="G250" s="9"/>
    </row>
    <row r="251" spans="1:14">
      <c r="A251" s="23"/>
      <c r="B251" s="24"/>
      <c r="C251" s="24"/>
      <c r="D251" s="24"/>
      <c r="E251" s="24"/>
      <c r="F251" s="24"/>
      <c r="G251" s="24"/>
      <c r="H251" s="9"/>
      <c r="I251" s="9"/>
      <c r="J251" s="9"/>
      <c r="K251" s="9"/>
      <c r="L251" s="9"/>
      <c r="M251" s="9"/>
      <c r="N251" s="9"/>
    </row>
    <row r="252" spans="1:14">
      <c r="A252" s="8"/>
      <c r="B252" s="9"/>
      <c r="C252" s="9"/>
      <c r="D252" s="9"/>
      <c r="E252" s="9"/>
      <c r="F252" s="9"/>
      <c r="G252" s="9"/>
      <c r="H252" s="24"/>
      <c r="I252" s="24"/>
      <c r="J252" s="24"/>
      <c r="K252" s="24"/>
      <c r="L252" s="24"/>
      <c r="M252" s="24"/>
      <c r="N252" s="24"/>
    </row>
    <row r="253" spans="1:14">
      <c r="A253" s="23"/>
      <c r="B253" s="24"/>
      <c r="C253" s="24"/>
      <c r="D253" s="24"/>
      <c r="E253" s="24"/>
      <c r="F253" s="24"/>
      <c r="G253" s="24"/>
    </row>
    <row r="255" spans="1:14">
      <c r="A255" s="8"/>
      <c r="B255" s="14"/>
      <c r="C255" s="14"/>
      <c r="D255" s="14"/>
      <c r="E255" s="14"/>
      <c r="F255" s="14"/>
      <c r="G255" s="14"/>
    </row>
    <row r="256" spans="1:14">
      <c r="A256" s="1"/>
      <c r="B256" s="13"/>
      <c r="C256" s="13"/>
      <c r="D256" s="13"/>
      <c r="E256" s="13"/>
      <c r="F256" s="13"/>
      <c r="G256" s="13"/>
    </row>
    <row r="257" spans="1:7">
      <c r="A257" s="8"/>
    </row>
    <row r="258" spans="1:7">
      <c r="A258" s="8"/>
      <c r="B258" s="9"/>
      <c r="C258" s="9"/>
      <c r="D258" s="9"/>
      <c r="E258" s="9"/>
      <c r="F258" s="9"/>
      <c r="G258" s="9"/>
    </row>
    <row r="259" spans="1:7">
      <c r="A259" s="23"/>
      <c r="B259" s="24"/>
      <c r="C259" s="24"/>
      <c r="D259" s="24"/>
      <c r="E259" s="24"/>
      <c r="F259" s="24"/>
      <c r="G259" s="24"/>
    </row>
    <row r="261" spans="1:7">
      <c r="A261" s="8"/>
      <c r="B261" s="9"/>
      <c r="C261" s="9"/>
      <c r="D261" s="9"/>
      <c r="E261" s="9"/>
      <c r="F261" s="9"/>
      <c r="G261" s="9"/>
    </row>
    <row r="262" spans="1:7">
      <c r="A262" s="1"/>
      <c r="B262" s="13"/>
      <c r="C262" s="13"/>
      <c r="D262" s="13"/>
      <c r="E262" s="13"/>
      <c r="F262" s="13"/>
      <c r="G262" s="13"/>
    </row>
    <row r="263" spans="1:7">
      <c r="A263" s="8"/>
    </row>
    <row r="264" spans="1:7">
      <c r="A264" s="8"/>
      <c r="B264" s="9"/>
      <c r="C264" s="9"/>
      <c r="D264" s="9"/>
      <c r="E264" s="9"/>
      <c r="F264" s="9"/>
      <c r="G264" s="9"/>
    </row>
    <row r="265" spans="1:7">
      <c r="A265" s="23"/>
      <c r="B265" s="24"/>
      <c r="C265" s="24"/>
      <c r="D265" s="24"/>
      <c r="E265" s="24"/>
      <c r="F265" s="24"/>
      <c r="G265" s="24"/>
    </row>
    <row r="267" spans="1:7">
      <c r="A267" s="10"/>
      <c r="B267" s="11"/>
      <c r="C267" s="11"/>
      <c r="D267" s="11"/>
      <c r="E267" s="11"/>
      <c r="F267" s="11"/>
      <c r="G267" s="11"/>
    </row>
    <row r="271" spans="1:7" ht="16">
      <c r="A271" s="19"/>
    </row>
    <row r="272" spans="1:7" ht="16">
      <c r="A272" s="20"/>
    </row>
    <row r="273" spans="1:1" ht="16">
      <c r="A273" s="21"/>
    </row>
    <row r="274" spans="1:1" ht="16">
      <c r="A274" s="12"/>
    </row>
    <row r="275" spans="1:1" ht="16">
      <c r="A275" s="21"/>
    </row>
    <row r="276" spans="1:1" ht="16">
      <c r="A276" s="12"/>
    </row>
    <row r="277" spans="1:1" ht="16">
      <c r="A277" s="12"/>
    </row>
    <row r="278" spans="1:1" ht="16">
      <c r="A278" s="20"/>
    </row>
    <row r="279" spans="1:1" ht="16">
      <c r="A279" s="21"/>
    </row>
    <row r="280" spans="1:1" ht="16">
      <c r="A280" s="12"/>
    </row>
    <row r="281" spans="1:1" ht="16">
      <c r="A281" s="21"/>
    </row>
    <row r="282" spans="1:1" ht="16">
      <c r="A282" s="12"/>
    </row>
  </sheetData>
  <mergeCells count="4">
    <mergeCell ref="A10:F10"/>
    <mergeCell ref="A227:B227"/>
    <mergeCell ref="A209:B209"/>
    <mergeCell ref="A2:J2"/>
  </mergeCells>
  <phoneticPr fontId="3" type="noConversion"/>
  <pageMargins left="0.5" right="0.5" top="0.5" bottom="0.5" header="0.5" footer="0.5"/>
  <pageSetup orientation="portrait"/>
  <headerFooter alignWithMargins="0"/>
  <rowBreaks count="1" manualBreakCount="1">
    <brk id="206" max="16383" man="1"/>
  </rowBreaks>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J265"/>
  <sheetViews>
    <sheetView topLeftCell="A143" zoomScaleNormal="100" workbookViewId="0">
      <selection activeCell="S170" sqref="S170"/>
    </sheetView>
  </sheetViews>
  <sheetFormatPr baseColWidth="10" defaultColWidth="8.83203125" defaultRowHeight="13"/>
  <cols>
    <col min="1" max="1" width="25" customWidth="1"/>
    <col min="2" max="2" width="13.83203125" customWidth="1"/>
    <col min="3" max="3" width="8.1640625" customWidth="1"/>
    <col min="4" max="4" width="8.33203125" customWidth="1"/>
    <col min="5" max="5" width="7.6640625" customWidth="1"/>
    <col min="6" max="6" width="8" customWidth="1"/>
    <col min="7" max="7" width="8.5" customWidth="1"/>
    <col min="8" max="8" width="12.33203125" customWidth="1"/>
    <col min="14" max="14" width="9.33203125" customWidth="1"/>
  </cols>
  <sheetData>
    <row r="1" spans="1:8" ht="27.75" customHeight="1">
      <c r="A1" s="896" t="s">
        <v>366</v>
      </c>
      <c r="B1" s="896"/>
      <c r="C1" s="896"/>
      <c r="D1" s="896"/>
      <c r="E1" s="896"/>
      <c r="F1" s="896"/>
      <c r="G1" s="896"/>
      <c r="H1" s="896"/>
    </row>
    <row r="2" spans="1:8" ht="12.75" customHeight="1">
      <c r="A2" s="839" t="s">
        <v>86</v>
      </c>
      <c r="B2" s="839"/>
      <c r="C2" s="839"/>
      <c r="D2" s="839"/>
      <c r="E2" s="839"/>
      <c r="F2" s="839"/>
      <c r="G2" s="839"/>
      <c r="H2" s="839"/>
    </row>
    <row r="3" spans="1:8">
      <c r="A3" s="839"/>
      <c r="B3" s="839"/>
      <c r="C3" s="839"/>
      <c r="D3" s="839"/>
      <c r="E3" s="839"/>
      <c r="F3" s="839"/>
      <c r="G3" s="839"/>
      <c r="H3" s="839"/>
    </row>
    <row r="4" spans="1:8">
      <c r="A4" s="839"/>
      <c r="B4" s="839"/>
      <c r="C4" s="839"/>
      <c r="D4" s="839"/>
      <c r="E4" s="839"/>
      <c r="F4" s="839"/>
      <c r="G4" s="839"/>
      <c r="H4" s="839"/>
    </row>
    <row r="5" spans="1:8">
      <c r="B5" s="24"/>
      <c r="C5" s="83"/>
      <c r="D5" s="24"/>
      <c r="E5" s="24"/>
      <c r="F5" s="24"/>
      <c r="G5" s="24"/>
    </row>
    <row r="6" spans="1:8">
      <c r="B6" s="83"/>
      <c r="C6" s="133"/>
      <c r="D6" s="133"/>
      <c r="E6" s="133"/>
      <c r="F6" s="133"/>
      <c r="G6" s="133"/>
    </row>
    <row r="7" spans="1:8">
      <c r="B7" s="24"/>
      <c r="C7" s="96"/>
      <c r="D7" s="96"/>
      <c r="E7" s="96"/>
      <c r="F7" s="96"/>
      <c r="G7" s="96"/>
    </row>
    <row r="8" spans="1:8">
      <c r="B8" s="24"/>
      <c r="C8" s="96"/>
      <c r="D8" s="96"/>
      <c r="E8" s="96"/>
      <c r="F8" s="96"/>
      <c r="G8" s="123"/>
    </row>
    <row r="9" spans="1:8">
      <c r="B9" s="24"/>
      <c r="C9" s="24"/>
      <c r="D9" s="24"/>
      <c r="E9" s="24"/>
      <c r="F9" s="24"/>
      <c r="G9" s="24"/>
    </row>
    <row r="10" spans="1:8">
      <c r="B10" s="24"/>
      <c r="C10" s="24"/>
      <c r="D10" s="24"/>
      <c r="E10" s="24"/>
      <c r="F10" s="24"/>
      <c r="G10" s="24"/>
    </row>
    <row r="21" spans="1:8" ht="12.75" customHeight="1">
      <c r="A21" s="880" t="s">
        <v>478</v>
      </c>
      <c r="B21" s="845"/>
      <c r="C21" s="845"/>
      <c r="D21" s="845"/>
      <c r="E21" s="845"/>
      <c r="F21" s="845"/>
      <c r="G21" s="845"/>
      <c r="H21" s="845"/>
    </row>
    <row r="22" spans="1:8">
      <c r="A22" s="845"/>
      <c r="B22" s="845"/>
      <c r="C22" s="845"/>
      <c r="D22" s="845"/>
      <c r="E22" s="845"/>
      <c r="F22" s="845"/>
      <c r="G22" s="845"/>
      <c r="H22" s="845"/>
    </row>
    <row r="23" spans="1:8">
      <c r="A23" s="150"/>
      <c r="B23" s="150"/>
    </row>
    <row r="37" spans="1:10" ht="12.75" customHeight="1">
      <c r="A37" s="880" t="s">
        <v>506</v>
      </c>
      <c r="B37" s="845"/>
      <c r="C37" s="845"/>
      <c r="D37" s="845"/>
      <c r="E37" s="845"/>
      <c r="F37" s="845"/>
      <c r="G37" s="845"/>
      <c r="H37" s="845"/>
    </row>
    <row r="38" spans="1:10">
      <c r="A38" s="845"/>
      <c r="B38" s="845"/>
      <c r="C38" s="845"/>
      <c r="D38" s="845"/>
      <c r="E38" s="845"/>
      <c r="F38" s="845"/>
      <c r="G38" s="845"/>
      <c r="H38" s="845"/>
    </row>
    <row r="40" spans="1:10" ht="16">
      <c r="A40" s="4" t="s">
        <v>764</v>
      </c>
    </row>
    <row r="41" spans="1:10" ht="14.25" customHeight="1">
      <c r="A41" t="s">
        <v>489</v>
      </c>
      <c r="B41" s="897" t="s">
        <v>766</v>
      </c>
      <c r="C41" s="897"/>
      <c r="D41" s="897"/>
      <c r="E41" s="897"/>
      <c r="F41" s="897"/>
      <c r="G41" s="897"/>
      <c r="H41" s="897"/>
    </row>
    <row r="42" spans="1:10">
      <c r="B42" s="897"/>
      <c r="C42" s="897"/>
      <c r="D42" s="897"/>
      <c r="E42" s="897"/>
      <c r="F42" s="897"/>
      <c r="G42" s="897"/>
      <c r="H42" s="897"/>
    </row>
    <row r="43" spans="1:10">
      <c r="B43" s="897"/>
      <c r="C43" s="897"/>
      <c r="D43" s="897"/>
      <c r="E43" s="897"/>
      <c r="F43" s="897"/>
      <c r="G43" s="897"/>
      <c r="H43" s="897"/>
      <c r="J43" s="50"/>
    </row>
    <row r="44" spans="1:10">
      <c r="A44" t="s">
        <v>430</v>
      </c>
      <c r="B44" s="842" t="s">
        <v>677</v>
      </c>
      <c r="C44" s="842"/>
      <c r="D44" s="842"/>
      <c r="E44" s="842"/>
      <c r="F44" s="842"/>
      <c r="G44" s="842"/>
      <c r="H44" s="842"/>
    </row>
    <row r="45" spans="1:10">
      <c r="B45" s="842"/>
      <c r="C45" s="842"/>
      <c r="D45" s="842"/>
      <c r="E45" s="842"/>
      <c r="F45" s="842"/>
      <c r="G45" s="842"/>
      <c r="H45" s="842"/>
    </row>
    <row r="46" spans="1:10">
      <c r="A46" t="s">
        <v>625</v>
      </c>
      <c r="B46" s="842" t="s">
        <v>677</v>
      </c>
      <c r="C46" s="842"/>
      <c r="D46" s="842"/>
      <c r="E46" s="842"/>
      <c r="F46" s="842"/>
      <c r="G46" s="842"/>
      <c r="H46" s="842"/>
    </row>
    <row r="47" spans="1:10">
      <c r="B47" s="842"/>
      <c r="C47" s="842"/>
      <c r="D47" s="842"/>
      <c r="E47" s="842"/>
      <c r="F47" s="842"/>
      <c r="G47" s="842"/>
      <c r="H47" s="842"/>
    </row>
    <row r="48" spans="1:10" ht="15">
      <c r="A48" s="50" t="s">
        <v>840</v>
      </c>
      <c r="B48" s="842" t="s">
        <v>664</v>
      </c>
      <c r="C48" s="842"/>
      <c r="D48" s="842"/>
      <c r="E48" s="842"/>
      <c r="F48" s="842"/>
      <c r="G48" s="842"/>
      <c r="H48" s="842"/>
    </row>
    <row r="49" spans="1:8">
      <c r="B49" s="842"/>
      <c r="C49" s="842"/>
      <c r="D49" s="842"/>
      <c r="E49" s="842"/>
      <c r="F49" s="842"/>
      <c r="G49" s="842"/>
      <c r="H49" s="842"/>
    </row>
    <row r="51" spans="1:8" ht="15.75" customHeight="1">
      <c r="A51" s="50" t="s">
        <v>750</v>
      </c>
      <c r="B51" s="842" t="s">
        <v>818</v>
      </c>
      <c r="C51" s="842"/>
      <c r="D51" s="842"/>
      <c r="E51" s="842"/>
      <c r="F51" s="842"/>
      <c r="G51" s="842"/>
      <c r="H51" s="842"/>
    </row>
    <row r="52" spans="1:8">
      <c r="A52" s="50"/>
      <c r="B52" s="842"/>
      <c r="C52" s="842"/>
      <c r="D52" s="842"/>
      <c r="E52" s="842"/>
      <c r="F52" s="842"/>
      <c r="G52" s="842"/>
      <c r="H52" s="842"/>
    </row>
    <row r="53" spans="1:8">
      <c r="A53" s="50"/>
      <c r="B53" s="842"/>
      <c r="C53" s="842"/>
      <c r="D53" s="842"/>
      <c r="E53" s="842"/>
      <c r="F53" s="842"/>
      <c r="G53" s="842"/>
      <c r="H53" s="842"/>
    </row>
    <row r="54" spans="1:8">
      <c r="A54" s="50"/>
      <c r="B54" s="842"/>
      <c r="C54" s="842"/>
      <c r="D54" s="842"/>
      <c r="E54" s="842"/>
      <c r="F54" s="842"/>
      <c r="G54" s="842"/>
      <c r="H54" s="842"/>
    </row>
    <row r="55" spans="1:8" ht="15">
      <c r="A55" s="1" t="s">
        <v>744</v>
      </c>
      <c r="B55" t="s">
        <v>620</v>
      </c>
    </row>
    <row r="56" spans="1:8" ht="15">
      <c r="A56" s="50" t="s">
        <v>751</v>
      </c>
      <c r="B56" s="842" t="s">
        <v>595</v>
      </c>
      <c r="C56" s="842"/>
      <c r="D56" s="842"/>
      <c r="E56" s="842"/>
      <c r="F56" s="842"/>
      <c r="G56" s="842"/>
      <c r="H56" s="842"/>
    </row>
    <row r="57" spans="1:8">
      <c r="A57" s="50"/>
      <c r="B57" s="842"/>
      <c r="C57" s="842"/>
      <c r="D57" s="842"/>
      <c r="E57" s="842"/>
      <c r="F57" s="842"/>
      <c r="G57" s="842"/>
      <c r="H57" s="842"/>
    </row>
    <row r="58" spans="1:8">
      <c r="A58" s="50"/>
      <c r="B58" s="842"/>
      <c r="C58" s="842"/>
      <c r="D58" s="842"/>
      <c r="E58" s="842"/>
      <c r="F58" s="842"/>
      <c r="G58" s="842"/>
      <c r="H58" s="842"/>
    </row>
    <row r="59" spans="1:8" ht="15.75" customHeight="1">
      <c r="A59" s="50" t="s">
        <v>839</v>
      </c>
      <c r="B59" s="842" t="s">
        <v>445</v>
      </c>
      <c r="C59" s="842"/>
      <c r="D59" s="842"/>
      <c r="E59" s="842"/>
      <c r="F59" s="842"/>
      <c r="G59" s="842"/>
      <c r="H59" s="842"/>
    </row>
    <row r="60" spans="1:8">
      <c r="B60" s="842"/>
      <c r="C60" s="842"/>
      <c r="D60" s="842"/>
      <c r="E60" s="842"/>
      <c r="F60" s="842"/>
      <c r="G60" s="842"/>
      <c r="H60" s="842"/>
    </row>
    <row r="61" spans="1:8">
      <c r="B61" s="842"/>
      <c r="C61" s="842"/>
      <c r="D61" s="842"/>
      <c r="E61" s="842"/>
      <c r="F61" s="842"/>
      <c r="G61" s="842"/>
      <c r="H61" s="842"/>
    </row>
    <row r="62" spans="1:8">
      <c r="B62" s="842"/>
      <c r="C62" s="842"/>
      <c r="D62" s="842"/>
      <c r="E62" s="842"/>
      <c r="F62" s="842"/>
      <c r="G62" s="842"/>
      <c r="H62" s="842"/>
    </row>
    <row r="63" spans="1:8" ht="15">
      <c r="A63" s="50" t="s">
        <v>874</v>
      </c>
      <c r="B63" s="842" t="s">
        <v>595</v>
      </c>
      <c r="C63" s="842"/>
      <c r="D63" s="842"/>
      <c r="E63" s="842"/>
      <c r="F63" s="842"/>
      <c r="G63" s="842"/>
      <c r="H63" s="842"/>
    </row>
    <row r="64" spans="1:8">
      <c r="B64" s="842"/>
      <c r="C64" s="842"/>
      <c r="D64" s="842"/>
      <c r="E64" s="842"/>
      <c r="F64" s="842"/>
      <c r="G64" s="842"/>
      <c r="H64" s="842"/>
    </row>
    <row r="65" spans="1:8">
      <c r="B65" s="116"/>
      <c r="C65" s="116"/>
      <c r="D65" s="116"/>
      <c r="E65" s="116"/>
      <c r="F65" s="116"/>
      <c r="G65" s="116"/>
      <c r="H65" s="116"/>
    </row>
    <row r="66" spans="1:8">
      <c r="A66" s="1" t="s">
        <v>355</v>
      </c>
      <c r="B66" t="s">
        <v>620</v>
      </c>
    </row>
    <row r="67" spans="1:8">
      <c r="A67" s="23" t="s">
        <v>224</v>
      </c>
      <c r="B67" t="s">
        <v>620</v>
      </c>
    </row>
    <row r="68" spans="1:8" ht="15">
      <c r="A68" s="1" t="s">
        <v>744</v>
      </c>
      <c r="B68" t="s">
        <v>620</v>
      </c>
    </row>
    <row r="70" spans="1:8">
      <c r="A70" s="63" t="s">
        <v>264</v>
      </c>
      <c r="B70" s="29"/>
      <c r="C70" s="126"/>
      <c r="D70" s="126"/>
      <c r="E70" s="126"/>
      <c r="F70" s="126"/>
      <c r="G70" s="126"/>
      <c r="H70" s="29"/>
    </row>
    <row r="71" spans="1:8">
      <c r="A71" s="126" t="s">
        <v>265</v>
      </c>
      <c r="B71" s="29" t="s">
        <v>913</v>
      </c>
      <c r="C71" s="126"/>
      <c r="D71" s="126"/>
      <c r="E71" s="126"/>
      <c r="F71" s="126"/>
      <c r="G71" s="126"/>
      <c r="H71" s="126"/>
    </row>
    <row r="72" spans="1:8">
      <c r="A72" s="126" t="s">
        <v>266</v>
      </c>
      <c r="B72" s="29" t="s">
        <v>913</v>
      </c>
      <c r="C72" s="126"/>
      <c r="D72" s="126"/>
      <c r="E72" s="126"/>
      <c r="F72" s="126"/>
      <c r="G72" s="126"/>
      <c r="H72" s="126"/>
    </row>
    <row r="73" spans="1:8">
      <c r="A73" s="126" t="s">
        <v>640</v>
      </c>
      <c r="B73" s="850" t="s">
        <v>504</v>
      </c>
      <c r="C73" s="850"/>
      <c r="D73" s="850"/>
      <c r="E73" s="850"/>
      <c r="F73" s="850"/>
      <c r="G73" s="850"/>
      <c r="H73" s="850"/>
    </row>
    <row r="74" spans="1:8">
      <c r="A74" s="126"/>
      <c r="B74" s="850"/>
      <c r="C74" s="850"/>
      <c r="D74" s="850"/>
      <c r="E74" s="850"/>
      <c r="F74" s="850"/>
      <c r="G74" s="850"/>
      <c r="H74" s="850"/>
    </row>
    <row r="75" spans="1:8">
      <c r="A75" s="126" t="s">
        <v>521</v>
      </c>
      <c r="B75" s="29" t="s">
        <v>505</v>
      </c>
      <c r="C75" s="126"/>
      <c r="D75" s="29"/>
      <c r="E75" s="126"/>
      <c r="F75" s="126"/>
      <c r="G75" s="126"/>
      <c r="H75" s="126"/>
    </row>
    <row r="76" spans="1:8">
      <c r="A76" s="126" t="s">
        <v>641</v>
      </c>
      <c r="B76" s="850" t="s">
        <v>504</v>
      </c>
      <c r="C76" s="850"/>
      <c r="D76" s="850"/>
      <c r="E76" s="850"/>
      <c r="F76" s="850"/>
      <c r="G76" s="850"/>
      <c r="H76" s="850"/>
    </row>
    <row r="77" spans="1:8">
      <c r="A77" s="126"/>
      <c r="B77" s="850"/>
      <c r="C77" s="850"/>
      <c r="D77" s="850"/>
      <c r="E77" s="850"/>
      <c r="F77" s="850"/>
      <c r="G77" s="850"/>
      <c r="H77" s="850"/>
    </row>
    <row r="78" spans="1:8">
      <c r="A78" s="126" t="s">
        <v>566</v>
      </c>
      <c r="B78" s="850" t="s">
        <v>504</v>
      </c>
      <c r="C78" s="850"/>
      <c r="D78" s="850"/>
      <c r="E78" s="850"/>
      <c r="F78" s="850"/>
      <c r="G78" s="850"/>
      <c r="H78" s="850"/>
    </row>
    <row r="79" spans="1:8">
      <c r="A79" s="126"/>
      <c r="B79" s="850"/>
      <c r="C79" s="850"/>
      <c r="D79" s="850"/>
      <c r="E79" s="850"/>
      <c r="F79" s="850"/>
      <c r="G79" s="850"/>
      <c r="H79" s="850"/>
    </row>
    <row r="80" spans="1:8">
      <c r="A80" s="126" t="s">
        <v>654</v>
      </c>
      <c r="B80" s="850" t="s">
        <v>504</v>
      </c>
      <c r="C80" s="850"/>
      <c r="D80" s="850"/>
      <c r="E80" s="850"/>
      <c r="F80" s="850"/>
      <c r="G80" s="850"/>
      <c r="H80" s="850"/>
    </row>
    <row r="81" spans="1:8">
      <c r="A81" s="126"/>
      <c r="B81" s="850"/>
      <c r="C81" s="850"/>
      <c r="D81" s="850"/>
      <c r="E81" s="850"/>
      <c r="F81" s="850"/>
      <c r="G81" s="850"/>
      <c r="H81" s="850"/>
    </row>
    <row r="82" spans="1:8">
      <c r="A82" s="126" t="s">
        <v>229</v>
      </c>
      <c r="B82" s="850" t="s">
        <v>504</v>
      </c>
      <c r="C82" s="850"/>
      <c r="D82" s="850"/>
      <c r="E82" s="850"/>
      <c r="F82" s="850"/>
      <c r="G82" s="850"/>
      <c r="H82" s="850"/>
    </row>
    <row r="83" spans="1:8">
      <c r="A83" s="126"/>
      <c r="B83" s="850"/>
      <c r="C83" s="850"/>
      <c r="D83" s="850"/>
      <c r="E83" s="850"/>
      <c r="F83" s="850"/>
      <c r="G83" s="850"/>
      <c r="H83" s="850"/>
    </row>
    <row r="85" spans="1:8" ht="16">
      <c r="A85" s="4" t="s">
        <v>542</v>
      </c>
    </row>
    <row r="86" spans="1:8">
      <c r="A86" s="10" t="s">
        <v>567</v>
      </c>
    </row>
    <row r="87" spans="1:8">
      <c r="A87" s="6" t="s">
        <v>628</v>
      </c>
      <c r="B87" s="6" t="s">
        <v>411</v>
      </c>
    </row>
    <row r="88" spans="1:8" s="126" customFormat="1">
      <c r="A88" s="443" t="s">
        <v>613</v>
      </c>
      <c r="B88" s="430"/>
      <c r="C88" s="442"/>
      <c r="D88" s="430"/>
      <c r="E88" s="442"/>
      <c r="F88" s="442"/>
      <c r="G88" s="442"/>
      <c r="H88" s="442"/>
    </row>
    <row r="89" spans="1:8" s="126" customFormat="1" ht="12" customHeight="1">
      <c r="A89" s="442" t="s">
        <v>754</v>
      </c>
      <c r="B89" s="895" t="s">
        <v>13</v>
      </c>
      <c r="C89" s="895"/>
      <c r="D89" s="895"/>
      <c r="E89" s="895"/>
      <c r="F89" s="895"/>
      <c r="G89" s="895"/>
      <c r="H89" s="895"/>
    </row>
    <row r="90" spans="1:8" s="126" customFormat="1" ht="12.75" customHeight="1">
      <c r="A90" s="442"/>
      <c r="B90" s="895" t="s">
        <v>215</v>
      </c>
      <c r="C90" s="895"/>
      <c r="D90" s="895"/>
      <c r="E90" s="895"/>
      <c r="F90" s="895"/>
      <c r="G90" s="895"/>
      <c r="H90" s="895"/>
    </row>
    <row r="91" spans="1:8" s="126" customFormat="1" ht="11" customHeight="1">
      <c r="A91" s="442"/>
      <c r="B91" s="895" t="s">
        <v>143</v>
      </c>
      <c r="C91" s="895"/>
      <c r="D91" s="895"/>
      <c r="E91" s="895"/>
      <c r="F91" s="895"/>
      <c r="G91" s="895"/>
      <c r="H91" s="895"/>
    </row>
    <row r="92" spans="1:8" s="126" customFormat="1" ht="12.75" customHeight="1">
      <c r="A92" s="442"/>
      <c r="B92" s="895" t="s">
        <v>144</v>
      </c>
      <c r="C92" s="895"/>
      <c r="D92" s="895"/>
      <c r="E92" s="895"/>
      <c r="F92" s="895"/>
      <c r="G92" s="895"/>
      <c r="H92" s="895"/>
    </row>
    <row r="93" spans="1:8" s="126" customFormat="1">
      <c r="A93" s="442" t="s">
        <v>755</v>
      </c>
      <c r="B93" s="894" t="s">
        <v>911</v>
      </c>
      <c r="C93" s="894"/>
      <c r="D93" s="29"/>
    </row>
    <row r="94" spans="1:8" s="126" customFormat="1">
      <c r="A94" s="442" t="s">
        <v>756</v>
      </c>
      <c r="B94" s="894" t="s">
        <v>911</v>
      </c>
      <c r="C94" s="894"/>
      <c r="D94" s="29"/>
    </row>
    <row r="95" spans="1:8" s="126" customFormat="1">
      <c r="A95" s="442" t="s">
        <v>720</v>
      </c>
      <c r="B95" s="894" t="s">
        <v>911</v>
      </c>
      <c r="C95" s="894"/>
      <c r="D95" s="29"/>
    </row>
    <row r="96" spans="1:8" s="126" customFormat="1">
      <c r="A96" s="442" t="s">
        <v>591</v>
      </c>
      <c r="B96" s="894" t="s">
        <v>911</v>
      </c>
      <c r="C96" s="894"/>
      <c r="D96" s="29"/>
    </row>
    <row r="97" spans="1:4" s="126" customFormat="1">
      <c r="A97" s="442" t="s">
        <v>232</v>
      </c>
      <c r="B97" s="894" t="s">
        <v>911</v>
      </c>
      <c r="C97" s="894"/>
      <c r="D97" s="29"/>
    </row>
    <row r="98" spans="1:4" s="126" customFormat="1">
      <c r="A98" s="442" t="s">
        <v>273</v>
      </c>
      <c r="B98" s="894" t="s">
        <v>911</v>
      </c>
      <c r="C98" s="894"/>
      <c r="D98" s="29"/>
    </row>
    <row r="99" spans="1:4" s="126" customFormat="1">
      <c r="A99" s="442" t="s">
        <v>274</v>
      </c>
      <c r="B99" s="894" t="s">
        <v>911</v>
      </c>
      <c r="C99" s="894"/>
      <c r="D99" s="29"/>
    </row>
    <row r="100" spans="1:4" s="126" customFormat="1">
      <c r="A100" s="442" t="s">
        <v>452</v>
      </c>
      <c r="B100" s="894" t="s">
        <v>911</v>
      </c>
      <c r="C100" s="894"/>
      <c r="D100" s="29"/>
    </row>
    <row r="101" spans="1:4" s="126" customFormat="1">
      <c r="A101" s="442" t="s">
        <v>453</v>
      </c>
      <c r="B101" s="894" t="s">
        <v>911</v>
      </c>
      <c r="C101" s="894"/>
      <c r="D101" s="29"/>
    </row>
    <row r="102" spans="1:4" s="126" customFormat="1">
      <c r="A102" s="442" t="s">
        <v>454</v>
      </c>
      <c r="B102" s="894" t="s">
        <v>911</v>
      </c>
      <c r="C102" s="894"/>
      <c r="D102" s="29"/>
    </row>
    <row r="103" spans="1:4" s="126" customFormat="1">
      <c r="A103" s="442" t="s">
        <v>540</v>
      </c>
      <c r="B103" s="894" t="s">
        <v>911</v>
      </c>
      <c r="C103" s="894"/>
      <c r="D103" s="29"/>
    </row>
    <row r="104" spans="1:4" s="126" customFormat="1">
      <c r="A104" s="442" t="s">
        <v>313</v>
      </c>
      <c r="B104" s="894" t="s">
        <v>911</v>
      </c>
      <c r="C104" s="894"/>
      <c r="D104" s="29"/>
    </row>
    <row r="105" spans="1:4" s="126" customFormat="1">
      <c r="A105" s="442" t="s">
        <v>219</v>
      </c>
      <c r="B105" s="894" t="s">
        <v>911</v>
      </c>
      <c r="C105" s="894"/>
      <c r="D105" s="29"/>
    </row>
    <row r="106" spans="1:4" s="126" customFormat="1">
      <c r="A106" s="442" t="s">
        <v>503</v>
      </c>
      <c r="B106" s="894" t="s">
        <v>911</v>
      </c>
      <c r="C106" s="894"/>
      <c r="D106" s="29"/>
    </row>
    <row r="107" spans="1:4" s="126" customFormat="1">
      <c r="A107" s="442" t="s">
        <v>389</v>
      </c>
      <c r="B107" s="894" t="s">
        <v>911</v>
      </c>
      <c r="C107" s="894"/>
      <c r="D107" s="29"/>
    </row>
    <row r="108" spans="1:4" s="126" customFormat="1">
      <c r="A108" s="442" t="s">
        <v>614</v>
      </c>
      <c r="B108" s="894" t="s">
        <v>911</v>
      </c>
      <c r="C108" s="894"/>
      <c r="D108" s="29"/>
    </row>
    <row r="109" spans="1:4" s="126" customFormat="1">
      <c r="A109" s="442" t="s">
        <v>518</v>
      </c>
      <c r="B109" s="894" t="s">
        <v>911</v>
      </c>
      <c r="C109" s="894"/>
      <c r="D109" s="29"/>
    </row>
    <row r="110" spans="1:4" s="126" customFormat="1">
      <c r="A110" s="442" t="s">
        <v>785</v>
      </c>
      <c r="B110" s="894" t="s">
        <v>911</v>
      </c>
      <c r="C110" s="894"/>
      <c r="D110" s="29"/>
    </row>
    <row r="111" spans="1:4" s="126" customFormat="1">
      <c r="A111" s="442" t="s">
        <v>456</v>
      </c>
      <c r="B111" s="894" t="s">
        <v>911</v>
      </c>
      <c r="C111" s="894"/>
      <c r="D111" s="29"/>
    </row>
    <row r="112" spans="1:4" s="126" customFormat="1">
      <c r="A112" s="442" t="s">
        <v>519</v>
      </c>
      <c r="B112" s="894" t="s">
        <v>911</v>
      </c>
      <c r="C112" s="894"/>
      <c r="D112" s="29"/>
    </row>
    <row r="113" spans="1:4" s="126" customFormat="1">
      <c r="A113" s="442" t="s">
        <v>344</v>
      </c>
      <c r="B113" s="894" t="s">
        <v>911</v>
      </c>
      <c r="C113" s="894"/>
      <c r="D113" s="29"/>
    </row>
    <row r="114" spans="1:4" s="126" customFormat="1">
      <c r="A114" s="442" t="s">
        <v>417</v>
      </c>
      <c r="B114" s="894" t="s">
        <v>911</v>
      </c>
      <c r="C114" s="894"/>
      <c r="D114" s="29"/>
    </row>
    <row r="115" spans="1:4" s="126" customFormat="1">
      <c r="A115" s="442" t="s">
        <v>345</v>
      </c>
      <c r="B115" s="894" t="s">
        <v>911</v>
      </c>
      <c r="C115" s="894"/>
      <c r="D115" s="29"/>
    </row>
    <row r="116" spans="1:4" s="126" customFormat="1">
      <c r="A116" s="442" t="s">
        <v>346</v>
      </c>
      <c r="B116" s="894" t="s">
        <v>911</v>
      </c>
      <c r="C116" s="894"/>
      <c r="D116" s="29"/>
    </row>
    <row r="117" spans="1:4" s="126" customFormat="1">
      <c r="A117" s="442" t="s">
        <v>347</v>
      </c>
      <c r="B117" s="894" t="s">
        <v>911</v>
      </c>
      <c r="C117" s="894"/>
      <c r="D117" s="29"/>
    </row>
    <row r="118" spans="1:4" s="126" customFormat="1">
      <c r="A118" s="442" t="s">
        <v>348</v>
      </c>
      <c r="B118" s="894" t="s">
        <v>911</v>
      </c>
      <c r="C118" s="894"/>
      <c r="D118" s="29"/>
    </row>
    <row r="119" spans="1:4" s="126" customFormat="1">
      <c r="A119" s="442" t="s">
        <v>793</v>
      </c>
      <c r="B119" s="894" t="s">
        <v>911</v>
      </c>
      <c r="C119" s="894"/>
      <c r="D119" s="29"/>
    </row>
    <row r="120" spans="1:4" s="126" customFormat="1">
      <c r="A120" s="442" t="s">
        <v>349</v>
      </c>
      <c r="B120" s="894" t="s">
        <v>911</v>
      </c>
      <c r="C120" s="894"/>
      <c r="D120" s="29"/>
    </row>
    <row r="121" spans="1:4" s="126" customFormat="1">
      <c r="A121" s="442" t="s">
        <v>681</v>
      </c>
      <c r="B121" s="894" t="s">
        <v>911</v>
      </c>
      <c r="C121" s="894"/>
      <c r="D121" s="29"/>
    </row>
    <row r="122" spans="1:4" s="126" customFormat="1">
      <c r="A122" s="442" t="s">
        <v>350</v>
      </c>
      <c r="B122" s="894" t="s">
        <v>911</v>
      </c>
      <c r="C122" s="894"/>
      <c r="D122" s="29"/>
    </row>
    <row r="123" spans="1:4" s="126" customFormat="1">
      <c r="A123" s="442" t="s">
        <v>615</v>
      </c>
      <c r="B123" s="894" t="s">
        <v>911</v>
      </c>
      <c r="C123" s="894"/>
      <c r="D123" s="29"/>
    </row>
    <row r="124" spans="1:4" s="126" customFormat="1">
      <c r="A124" s="442" t="s">
        <v>794</v>
      </c>
      <c r="B124" s="894" t="s">
        <v>911</v>
      </c>
      <c r="C124" s="894"/>
      <c r="D124" s="29"/>
    </row>
    <row r="125" spans="1:4" s="126" customFormat="1">
      <c r="A125" s="442" t="s">
        <v>795</v>
      </c>
      <c r="B125" s="894" t="s">
        <v>911</v>
      </c>
      <c r="C125" s="894"/>
      <c r="D125" s="29"/>
    </row>
    <row r="126" spans="1:4" s="126" customFormat="1">
      <c r="A126" s="442" t="s">
        <v>494</v>
      </c>
      <c r="B126" s="894" t="s">
        <v>911</v>
      </c>
      <c r="C126" s="894"/>
      <c r="D126" s="29"/>
    </row>
    <row r="127" spans="1:4" s="126" customFormat="1">
      <c r="A127" s="442" t="s">
        <v>386</v>
      </c>
      <c r="B127" s="894" t="s">
        <v>911</v>
      </c>
      <c r="C127" s="894"/>
      <c r="D127" s="29"/>
    </row>
    <row r="128" spans="1:4" s="126" customFormat="1">
      <c r="A128" s="442" t="s">
        <v>696</v>
      </c>
      <c r="B128" s="894" t="s">
        <v>911</v>
      </c>
      <c r="C128" s="894"/>
      <c r="D128" s="29"/>
    </row>
    <row r="129" spans="1:4" s="126" customFormat="1">
      <c r="A129" s="442" t="s">
        <v>387</v>
      </c>
      <c r="B129" s="894" t="s">
        <v>911</v>
      </c>
      <c r="C129" s="894"/>
      <c r="D129" s="29"/>
    </row>
    <row r="130" spans="1:4" s="126" customFormat="1">
      <c r="A130" s="442" t="s">
        <v>502</v>
      </c>
      <c r="B130" s="894" t="s">
        <v>911</v>
      </c>
      <c r="C130" s="894"/>
      <c r="D130" s="29"/>
    </row>
    <row r="131" spans="1:4" s="126" customFormat="1">
      <c r="A131" s="442" t="s">
        <v>830</v>
      </c>
      <c r="B131" s="894" t="s">
        <v>911</v>
      </c>
      <c r="C131" s="894"/>
      <c r="D131" s="29"/>
    </row>
    <row r="132" spans="1:4" s="126" customFormat="1">
      <c r="A132" s="442" t="s">
        <v>796</v>
      </c>
      <c r="B132" s="894" t="s">
        <v>911</v>
      </c>
      <c r="C132" s="894"/>
      <c r="D132" s="29"/>
    </row>
    <row r="133" spans="1:4" s="126" customFormat="1">
      <c r="A133" s="442" t="s">
        <v>812</v>
      </c>
      <c r="B133" s="894" t="s">
        <v>911</v>
      </c>
      <c r="C133" s="894"/>
      <c r="D133" s="29"/>
    </row>
    <row r="134" spans="1:4" s="126" customFormat="1">
      <c r="A134" s="442" t="s">
        <v>799</v>
      </c>
      <c r="B134" s="894" t="s">
        <v>911</v>
      </c>
      <c r="C134" s="894"/>
      <c r="D134" s="29"/>
    </row>
    <row r="135" spans="1:4" s="126" customFormat="1">
      <c r="A135" s="442" t="s">
        <v>388</v>
      </c>
      <c r="B135" s="894" t="s">
        <v>911</v>
      </c>
      <c r="C135" s="894"/>
      <c r="D135" s="29"/>
    </row>
    <row r="136" spans="1:4" s="126" customFormat="1">
      <c r="A136" s="442" t="s">
        <v>485</v>
      </c>
      <c r="B136" s="894" t="s">
        <v>911</v>
      </c>
      <c r="C136" s="894"/>
      <c r="D136" s="29"/>
    </row>
    <row r="137" spans="1:4" s="126" customFormat="1">
      <c r="A137" s="442" t="s">
        <v>439</v>
      </c>
      <c r="B137" s="894" t="s">
        <v>911</v>
      </c>
      <c r="C137" s="894"/>
      <c r="D137" s="29"/>
    </row>
    <row r="138" spans="1:4" s="126" customFormat="1">
      <c r="A138" s="442" t="s">
        <v>358</v>
      </c>
      <c r="B138" s="894" t="s">
        <v>911</v>
      </c>
      <c r="C138" s="894"/>
      <c r="D138" s="29"/>
    </row>
    <row r="139" spans="1:4" s="126" customFormat="1">
      <c r="A139" s="442" t="s">
        <v>322</v>
      </c>
      <c r="B139" s="894" t="s">
        <v>911</v>
      </c>
      <c r="C139" s="894"/>
      <c r="D139" s="29"/>
    </row>
    <row r="140" spans="1:4" s="126" customFormat="1">
      <c r="A140" s="442" t="s">
        <v>426</v>
      </c>
      <c r="B140" s="894" t="s">
        <v>911</v>
      </c>
      <c r="C140" s="894"/>
      <c r="D140" s="29"/>
    </row>
    <row r="141" spans="1:4" s="126" customFormat="1">
      <c r="A141" s="442" t="s">
        <v>427</v>
      </c>
      <c r="B141" s="894" t="s">
        <v>911</v>
      </c>
      <c r="C141" s="894"/>
      <c r="D141" s="29"/>
    </row>
    <row r="142" spans="1:4" s="126" customFormat="1">
      <c r="A142" s="442" t="s">
        <v>428</v>
      </c>
      <c r="B142" s="894" t="s">
        <v>911</v>
      </c>
      <c r="C142" s="894"/>
      <c r="D142" s="29"/>
    </row>
    <row r="143" spans="1:4" s="126" customFormat="1">
      <c r="A143" s="442" t="s">
        <v>801</v>
      </c>
      <c r="B143" s="894" t="s">
        <v>911</v>
      </c>
      <c r="C143" s="894"/>
      <c r="D143" s="29"/>
    </row>
    <row r="144" spans="1:4" s="126" customFormat="1">
      <c r="A144" s="442" t="s">
        <v>429</v>
      </c>
      <c r="B144" s="894" t="s">
        <v>911</v>
      </c>
      <c r="C144" s="894"/>
      <c r="D144" s="29"/>
    </row>
    <row r="145" spans="1:4" s="126" customFormat="1">
      <c r="A145" s="442" t="s">
        <v>225</v>
      </c>
      <c r="B145" s="894" t="s">
        <v>911</v>
      </c>
      <c r="C145" s="894"/>
      <c r="D145" s="29"/>
    </row>
    <row r="146" spans="1:4" s="126" customFormat="1">
      <c r="A146" s="442" t="s">
        <v>868</v>
      </c>
      <c r="B146" s="894" t="s">
        <v>911</v>
      </c>
      <c r="C146" s="894"/>
      <c r="D146" s="29"/>
    </row>
    <row r="147" spans="1:4" s="126" customFormat="1">
      <c r="A147" s="442" t="s">
        <v>802</v>
      </c>
      <c r="B147" s="894" t="s">
        <v>911</v>
      </c>
      <c r="C147" s="894"/>
      <c r="D147" s="29"/>
    </row>
    <row r="148" spans="1:4" s="126" customFormat="1">
      <c r="A148" s="442" t="s">
        <v>226</v>
      </c>
      <c r="B148" s="894" t="s">
        <v>911</v>
      </c>
      <c r="C148" s="894"/>
      <c r="D148" s="29"/>
    </row>
    <row r="149" spans="1:4" s="126" customFormat="1">
      <c r="A149" s="442" t="s">
        <v>441</v>
      </c>
      <c r="B149" s="894" t="s">
        <v>911</v>
      </c>
      <c r="C149" s="894"/>
      <c r="D149" s="29"/>
    </row>
    <row r="150" spans="1:4" s="126" customFormat="1">
      <c r="A150" s="442" t="s">
        <v>351</v>
      </c>
      <c r="B150" s="894" t="s">
        <v>911</v>
      </c>
      <c r="C150" s="894"/>
      <c r="D150" s="29"/>
    </row>
    <row r="151" spans="1:4" s="126" customFormat="1">
      <c r="A151" s="442" t="s">
        <v>352</v>
      </c>
      <c r="B151" s="894" t="s">
        <v>911</v>
      </c>
      <c r="C151" s="894"/>
      <c r="D151" s="29"/>
    </row>
    <row r="152" spans="1:4" s="126" customFormat="1">
      <c r="A152" s="442" t="s">
        <v>414</v>
      </c>
      <c r="B152" s="894" t="s">
        <v>911</v>
      </c>
      <c r="C152" s="894"/>
      <c r="D152" s="29"/>
    </row>
    <row r="153" spans="1:4" s="126" customFormat="1">
      <c r="A153" s="442" t="s">
        <v>353</v>
      </c>
      <c r="B153" s="894" t="s">
        <v>911</v>
      </c>
      <c r="C153" s="894"/>
      <c r="D153" s="29"/>
    </row>
    <row r="154" spans="1:4" s="126" customFormat="1">
      <c r="A154" s="442" t="s">
        <v>415</v>
      </c>
      <c r="B154" s="894" t="s">
        <v>911</v>
      </c>
      <c r="C154" s="894"/>
      <c r="D154" s="29"/>
    </row>
    <row r="155" spans="1:4" s="126" customFormat="1">
      <c r="A155" s="442" t="s">
        <v>423</v>
      </c>
      <c r="B155" s="894" t="s">
        <v>911</v>
      </c>
      <c r="C155" s="894"/>
      <c r="D155" s="29"/>
    </row>
    <row r="156" spans="1:4" s="126" customFormat="1">
      <c r="A156" s="442" t="s">
        <v>758</v>
      </c>
      <c r="B156" s="894" t="s">
        <v>911</v>
      </c>
      <c r="C156" s="894"/>
      <c r="D156" s="29"/>
    </row>
    <row r="157" spans="1:4" s="126" customFormat="1">
      <c r="A157" s="442" t="s">
        <v>759</v>
      </c>
      <c r="B157" s="894" t="s">
        <v>911</v>
      </c>
      <c r="C157" s="894"/>
      <c r="D157" s="29"/>
    </row>
    <row r="158" spans="1:4" s="126" customFormat="1">
      <c r="A158" s="442" t="s">
        <v>760</v>
      </c>
      <c r="B158" s="894" t="s">
        <v>911</v>
      </c>
      <c r="C158" s="894"/>
      <c r="D158" s="29"/>
    </row>
    <row r="159" spans="1:4" s="126" customFormat="1">
      <c r="A159" s="442" t="s">
        <v>416</v>
      </c>
      <c r="B159" s="894" t="s">
        <v>911</v>
      </c>
      <c r="C159" s="894"/>
      <c r="D159" s="29"/>
    </row>
    <row r="160" spans="1:4" s="126" customFormat="1">
      <c r="A160" s="442" t="s">
        <v>589</v>
      </c>
      <c r="B160" s="894" t="s">
        <v>911</v>
      </c>
      <c r="C160" s="894"/>
      <c r="D160" s="29"/>
    </row>
    <row r="161" spans="1:8" s="126" customFormat="1">
      <c r="A161" s="442" t="s">
        <v>297</v>
      </c>
      <c r="B161" s="894" t="s">
        <v>911</v>
      </c>
      <c r="C161" s="894"/>
      <c r="D161" s="29"/>
    </row>
    <row r="162" spans="1:8" s="126" customFormat="1">
      <c r="A162" s="442" t="s">
        <v>572</v>
      </c>
      <c r="B162" s="894" t="s">
        <v>911</v>
      </c>
      <c r="C162" s="894"/>
      <c r="D162" s="29"/>
    </row>
    <row r="163" spans="1:8" s="126" customFormat="1">
      <c r="A163" s="442" t="s">
        <v>448</v>
      </c>
      <c r="B163" s="894" t="s">
        <v>911</v>
      </c>
      <c r="C163" s="894"/>
      <c r="D163" s="29"/>
    </row>
    <row r="164" spans="1:8" s="126" customFormat="1">
      <c r="A164" s="442" t="s">
        <v>449</v>
      </c>
      <c r="B164" s="894" t="s">
        <v>911</v>
      </c>
      <c r="C164" s="894"/>
      <c r="D164" s="29"/>
    </row>
    <row r="165" spans="1:8" s="126" customFormat="1">
      <c r="A165" s="442" t="s">
        <v>450</v>
      </c>
      <c r="B165" s="894" t="s">
        <v>911</v>
      </c>
      <c r="C165" s="894"/>
      <c r="D165" s="29"/>
    </row>
    <row r="166" spans="1:8" s="126" customFormat="1">
      <c r="A166" s="442" t="s">
        <v>803</v>
      </c>
      <c r="B166" s="894" t="s">
        <v>911</v>
      </c>
      <c r="C166" s="894"/>
      <c r="D166" s="29"/>
    </row>
    <row r="167" spans="1:8" s="126" customFormat="1">
      <c r="A167" s="442" t="s">
        <v>227</v>
      </c>
      <c r="B167" s="894" t="s">
        <v>911</v>
      </c>
      <c r="C167" s="894"/>
      <c r="D167" s="29"/>
    </row>
    <row r="168" spans="1:8" s="126" customFormat="1">
      <c r="A168" s="442" t="s">
        <v>228</v>
      </c>
      <c r="B168" s="894" t="s">
        <v>911</v>
      </c>
      <c r="C168" s="894"/>
      <c r="D168" s="29"/>
    </row>
    <row r="169" spans="1:8" s="126" customFormat="1">
      <c r="A169" s="442" t="s">
        <v>539</v>
      </c>
      <c r="B169" s="894" t="s">
        <v>911</v>
      </c>
      <c r="C169" s="894"/>
      <c r="D169" s="29"/>
    </row>
    <row r="170" spans="1:8" s="126" customFormat="1">
      <c r="A170" s="442" t="s">
        <v>804</v>
      </c>
      <c r="B170" s="894" t="s">
        <v>911</v>
      </c>
      <c r="C170" s="894"/>
      <c r="D170" s="29"/>
    </row>
    <row r="171" spans="1:8" s="126" customFormat="1">
      <c r="A171" s="442" t="s">
        <v>220</v>
      </c>
      <c r="B171" s="894" t="s">
        <v>911</v>
      </c>
      <c r="C171" s="894"/>
      <c r="D171" s="29"/>
    </row>
    <row r="172" spans="1:8" s="126" customFormat="1">
      <c r="A172" s="442" t="s">
        <v>221</v>
      </c>
      <c r="B172" s="894" t="s">
        <v>911</v>
      </c>
      <c r="C172" s="894"/>
      <c r="D172" s="29"/>
    </row>
    <row r="173" spans="1:8" s="126" customFormat="1">
      <c r="A173" s="442" t="s">
        <v>222</v>
      </c>
      <c r="B173" s="894" t="s">
        <v>911</v>
      </c>
      <c r="C173" s="894"/>
      <c r="D173" s="29"/>
    </row>
    <row r="174" spans="1:8" s="126" customFormat="1">
      <c r="A174" s="442" t="s">
        <v>612</v>
      </c>
      <c r="B174" s="894" t="s">
        <v>911</v>
      </c>
      <c r="C174" s="894"/>
      <c r="D174" s="29"/>
    </row>
    <row r="175" spans="1:8" s="126" customFormat="1">
      <c r="A175" s="442" t="s">
        <v>811</v>
      </c>
      <c r="B175" s="894" t="s">
        <v>911</v>
      </c>
      <c r="C175" s="894"/>
      <c r="D175" s="29"/>
    </row>
    <row r="176" spans="1:8" s="29" customFormat="1" ht="12.75" customHeight="1">
      <c r="A176" s="26" t="s">
        <v>657</v>
      </c>
      <c r="B176" s="860" t="s">
        <v>101</v>
      </c>
      <c r="C176" s="860"/>
      <c r="D176" s="860"/>
      <c r="E176" s="860"/>
      <c r="F176" s="860"/>
      <c r="G176" s="860"/>
      <c r="H176" s="860"/>
    </row>
    <row r="177" spans="1:8" s="29" customFormat="1" ht="12.75" customHeight="1">
      <c r="A177" s="26"/>
      <c r="B177" s="405" t="s">
        <v>12</v>
      </c>
      <c r="C177" s="405"/>
      <c r="D177" s="405"/>
      <c r="E177" s="405"/>
      <c r="F177" s="405"/>
      <c r="G177" s="405"/>
      <c r="H177" s="405"/>
    </row>
    <row r="178" spans="1:8" s="29" customFormat="1" ht="12.75" customHeight="1">
      <c r="A178" s="26"/>
      <c r="B178" s="26" t="s">
        <v>102</v>
      </c>
      <c r="C178" s="26"/>
      <c r="D178" s="26"/>
      <c r="E178" s="26"/>
      <c r="F178" s="26"/>
      <c r="G178" s="26"/>
      <c r="H178" s="26"/>
    </row>
    <row r="179" spans="1:8" s="29" customFormat="1" ht="12.75" customHeight="1">
      <c r="A179" s="88" t="s">
        <v>636</v>
      </c>
      <c r="B179" s="848" t="s">
        <v>458</v>
      </c>
      <c r="C179" s="848"/>
      <c r="D179" s="848"/>
      <c r="E179" s="848"/>
      <c r="F179" s="848"/>
      <c r="G179" s="848"/>
      <c r="H179" s="848"/>
    </row>
    <row r="180" spans="1:8" s="29" customFormat="1" ht="12.75" customHeight="1">
      <c r="A180" s="88"/>
      <c r="B180" s="848"/>
      <c r="C180" s="848"/>
      <c r="D180" s="848"/>
      <c r="E180" s="848"/>
      <c r="F180" s="848"/>
      <c r="G180" s="848"/>
      <c r="H180" s="848"/>
    </row>
    <row r="181" spans="1:8" s="29" customFormat="1" ht="12.75" customHeight="1">
      <c r="A181" s="88"/>
      <c r="B181" s="848"/>
      <c r="C181" s="848"/>
      <c r="D181" s="848"/>
      <c r="E181" s="848"/>
      <c r="F181" s="848"/>
      <c r="G181" s="848"/>
      <c r="H181" s="848"/>
    </row>
    <row r="182" spans="1:8" s="29" customFormat="1" ht="12.75" customHeight="1">
      <c r="A182" s="88"/>
      <c r="B182" s="848"/>
      <c r="C182" s="848"/>
      <c r="D182" s="848"/>
      <c r="E182" s="848"/>
      <c r="F182" s="848"/>
      <c r="G182" s="848"/>
      <c r="H182" s="848"/>
    </row>
    <row r="183" spans="1:8" s="29" customFormat="1" ht="12.75" customHeight="1">
      <c r="A183" s="88"/>
      <c r="B183" s="848"/>
      <c r="C183" s="848"/>
      <c r="D183" s="848"/>
      <c r="E183" s="848"/>
      <c r="F183" s="848"/>
      <c r="G183" s="848"/>
      <c r="H183" s="848"/>
    </row>
    <row r="184" spans="1:8" s="29" customFormat="1" ht="12.75" customHeight="1">
      <c r="A184" s="126" t="s">
        <v>568</v>
      </c>
      <c r="B184" s="29" t="s">
        <v>725</v>
      </c>
    </row>
    <row r="185" spans="1:8">
      <c r="A185" s="121" t="s">
        <v>338</v>
      </c>
      <c r="B185" t="s">
        <v>725</v>
      </c>
    </row>
    <row r="186" spans="1:8" ht="15">
      <c r="A186" s="50" t="s">
        <v>856</v>
      </c>
      <c r="B186" t="s">
        <v>725</v>
      </c>
    </row>
    <row r="187" spans="1:8">
      <c r="A187" s="50"/>
    </row>
    <row r="188" spans="1:8" ht="16">
      <c r="A188" s="19" t="s">
        <v>257</v>
      </c>
    </row>
    <row r="189" spans="1:8" s="29" customFormat="1" ht="15.75" customHeight="1">
      <c r="A189" s="869" t="s">
        <v>599</v>
      </c>
      <c r="B189" s="869"/>
      <c r="C189" s="869"/>
      <c r="D189" s="869"/>
      <c r="E189" s="869"/>
      <c r="F189" s="869"/>
      <c r="G189" s="869"/>
      <c r="H189" s="869"/>
    </row>
    <row r="190" spans="1:8" s="29" customFormat="1" ht="12.75" customHeight="1">
      <c r="A190" s="869"/>
      <c r="B190" s="869"/>
      <c r="C190" s="869"/>
      <c r="D190" s="869"/>
      <c r="E190" s="869"/>
      <c r="F190" s="869"/>
      <c r="G190" s="869"/>
      <c r="H190" s="869"/>
    </row>
    <row r="191" spans="1:8" s="29" customFormat="1" ht="13.5" customHeight="1">
      <c r="A191" s="869"/>
      <c r="B191" s="869"/>
      <c r="C191" s="869"/>
      <c r="D191" s="869"/>
      <c r="E191" s="869"/>
      <c r="F191" s="869"/>
      <c r="G191" s="869"/>
      <c r="H191" s="869"/>
    </row>
    <row r="192" spans="1:8" s="29" customFormat="1" ht="12.75" customHeight="1">
      <c r="A192" s="869"/>
      <c r="B192" s="869"/>
      <c r="C192" s="869"/>
      <c r="D192" s="869"/>
      <c r="E192" s="869"/>
      <c r="F192" s="869"/>
      <c r="G192" s="869"/>
      <c r="H192" s="869"/>
    </row>
    <row r="193" spans="1:8" s="29" customFormat="1">
      <c r="A193" s="869"/>
      <c r="B193" s="869"/>
      <c r="C193" s="869"/>
      <c r="D193" s="869"/>
      <c r="E193" s="869"/>
      <c r="F193" s="869"/>
      <c r="G193" s="869"/>
      <c r="H193" s="869"/>
    </row>
    <row r="194" spans="1:8" s="29" customFormat="1"/>
    <row r="195" spans="1:8" s="29" customFormat="1"/>
    <row r="196" spans="1:8" s="29" customFormat="1"/>
    <row r="197" spans="1:8" s="29" customFormat="1">
      <c r="A197" s="126"/>
    </row>
    <row r="198" spans="1:8" s="29" customFormat="1">
      <c r="A198" s="69"/>
      <c r="B198" s="70"/>
    </row>
    <row r="199" spans="1:8" s="29" customFormat="1">
      <c r="A199" s="127"/>
    </row>
    <row r="200" spans="1:8" s="29" customFormat="1">
      <c r="A200" s="126"/>
      <c r="B200" s="70"/>
      <c r="C200" s="70"/>
    </row>
    <row r="201" spans="1:8" s="29" customFormat="1">
      <c r="A201" s="127"/>
    </row>
    <row r="202" spans="1:8" s="29" customFormat="1">
      <c r="A202" s="63"/>
      <c r="C202" s="126"/>
      <c r="D202" s="126"/>
      <c r="E202" s="126"/>
      <c r="F202" s="126"/>
      <c r="G202" s="126"/>
    </row>
    <row r="203" spans="1:8" s="126" customFormat="1"/>
    <row r="204" spans="1:8" s="126" customFormat="1">
      <c r="A204" s="29"/>
      <c r="B204" s="29"/>
    </row>
    <row r="205" spans="1:8" s="50" customFormat="1">
      <c r="A205"/>
      <c r="B205"/>
      <c r="C205"/>
      <c r="D205"/>
      <c r="E205"/>
      <c r="F205"/>
      <c r="G205"/>
    </row>
    <row r="206" spans="1:8" ht="5.25" customHeight="1"/>
    <row r="207" spans="1:8">
      <c r="A207" s="50"/>
    </row>
    <row r="208" spans="1:8">
      <c r="A208" s="1"/>
    </row>
    <row r="209" spans="1:2">
      <c r="A209" s="50"/>
    </row>
    <row r="210" spans="1:2">
      <c r="A210" s="127"/>
    </row>
    <row r="211" spans="1:2">
      <c r="A211" s="10"/>
    </row>
    <row r="213" spans="1:2">
      <c r="A213" s="50"/>
    </row>
    <row r="214" spans="1:2">
      <c r="A214" s="1"/>
    </row>
    <row r="215" spans="1:2">
      <c r="A215" s="50"/>
    </row>
    <row r="216" spans="1:2">
      <c r="A216" s="127"/>
    </row>
    <row r="217" spans="1:2">
      <c r="A217" s="10"/>
    </row>
    <row r="219" spans="1:2">
      <c r="A219" s="10"/>
    </row>
    <row r="224" spans="1:2">
      <c r="B224" s="6"/>
    </row>
    <row r="225" spans="1:7">
      <c r="B225" s="29"/>
      <c r="C225" s="29"/>
      <c r="D225" s="29"/>
      <c r="E225" s="29"/>
      <c r="F225" s="29"/>
      <c r="G225" s="29"/>
    </row>
    <row r="226" spans="1:7" s="29" customFormat="1">
      <c r="B226"/>
      <c r="C226"/>
      <c r="D226"/>
      <c r="E226"/>
      <c r="F226"/>
      <c r="G226"/>
    </row>
    <row r="231" spans="1:7">
      <c r="A231" s="50"/>
    </row>
    <row r="232" spans="1:7">
      <c r="A232" s="23"/>
    </row>
    <row r="233" spans="1:7">
      <c r="A233" s="50"/>
    </row>
    <row r="234" spans="1:7">
      <c r="A234" s="23"/>
      <c r="C234" s="9"/>
      <c r="D234" s="9"/>
      <c r="E234" s="9"/>
      <c r="F234" s="9"/>
      <c r="G234" s="9"/>
    </row>
    <row r="235" spans="1:7">
      <c r="A235" s="50"/>
      <c r="B235" s="24"/>
      <c r="C235" s="24"/>
      <c r="D235" s="24"/>
      <c r="E235" s="24"/>
      <c r="F235" s="24"/>
      <c r="G235" s="24"/>
    </row>
    <row r="236" spans="1:7">
      <c r="A236" s="23"/>
    </row>
    <row r="238" spans="1:7">
      <c r="A238" s="50"/>
    </row>
    <row r="239" spans="1:7">
      <c r="A239" s="1"/>
    </row>
    <row r="240" spans="1:7">
      <c r="A240" s="50"/>
    </row>
    <row r="241" spans="1:1">
      <c r="A241" s="50"/>
    </row>
    <row r="242" spans="1:1">
      <c r="A242" s="23"/>
    </row>
    <row r="244" spans="1:1">
      <c r="A244" s="50"/>
    </row>
    <row r="245" spans="1:1">
      <c r="A245" s="1"/>
    </row>
    <row r="246" spans="1:1">
      <c r="A246" s="50"/>
    </row>
    <row r="247" spans="1:1">
      <c r="A247" s="50"/>
    </row>
    <row r="248" spans="1:1">
      <c r="A248" s="23"/>
    </row>
    <row r="250" spans="1:1">
      <c r="A250" s="10"/>
    </row>
    <row r="254" spans="1:1" ht="16">
      <c r="A254" s="19" t="s">
        <v>257</v>
      </c>
    </row>
    <row r="255" spans="1:1" ht="16">
      <c r="A255" s="20" t="s">
        <v>621</v>
      </c>
    </row>
    <row r="256" spans="1:1" ht="16">
      <c r="A256" s="21" t="s">
        <v>533</v>
      </c>
    </row>
    <row r="257" spans="1:1" ht="16">
      <c r="A257" s="12" t="s">
        <v>67</v>
      </c>
    </row>
    <row r="258" spans="1:1" ht="16">
      <c r="A258" s="21" t="s">
        <v>556</v>
      </c>
    </row>
    <row r="259" spans="1:1" ht="16">
      <c r="A259" s="12" t="s">
        <v>217</v>
      </c>
    </row>
    <row r="260" spans="1:1" ht="16">
      <c r="A260" s="12"/>
    </row>
    <row r="261" spans="1:1" ht="16">
      <c r="A261" s="20" t="s">
        <v>218</v>
      </c>
    </row>
    <row r="262" spans="1:1" ht="16">
      <c r="A262" s="21" t="s">
        <v>500</v>
      </c>
    </row>
    <row r="263" spans="1:1" ht="16">
      <c r="A263" s="12" t="s">
        <v>578</v>
      </c>
    </row>
    <row r="264" spans="1:1" ht="16">
      <c r="A264" s="21" t="s">
        <v>723</v>
      </c>
    </row>
    <row r="265" spans="1:1" ht="16">
      <c r="A265" s="12" t="s">
        <v>217</v>
      </c>
    </row>
  </sheetData>
  <mergeCells count="107">
    <mergeCell ref="B110:C110"/>
    <mergeCell ref="B119:C119"/>
    <mergeCell ref="B124:C124"/>
    <mergeCell ref="B143:C143"/>
    <mergeCell ref="B140:C140"/>
    <mergeCell ref="B138:C138"/>
    <mergeCell ref="B137:C137"/>
    <mergeCell ref="B136:C136"/>
    <mergeCell ref="B135:C135"/>
    <mergeCell ref="B130:C130"/>
    <mergeCell ref="B41:H43"/>
    <mergeCell ref="B63:H64"/>
    <mergeCell ref="B76:H77"/>
    <mergeCell ref="B100:C100"/>
    <mergeCell ref="B99:C99"/>
    <mergeCell ref="B101:C101"/>
    <mergeCell ref="B179:H183"/>
    <mergeCell ref="B82:H83"/>
    <mergeCell ref="B93:C93"/>
    <mergeCell ref="B94:C94"/>
    <mergeCell ref="B95:C95"/>
    <mergeCell ref="B96:C96"/>
    <mergeCell ref="B175:C175"/>
    <mergeCell ref="B97:C97"/>
    <mergeCell ref="B98:C98"/>
    <mergeCell ref="B102:C102"/>
    <mergeCell ref="A189:H193"/>
    <mergeCell ref="B46:H47"/>
    <mergeCell ref="B44:H45"/>
    <mergeCell ref="B48:H49"/>
    <mergeCell ref="B59:H62"/>
    <mergeCell ref="B56:H58"/>
    <mergeCell ref="B51:H54"/>
    <mergeCell ref="B73:H74"/>
    <mergeCell ref="B78:H79"/>
    <mergeCell ref="B80:H81"/>
    <mergeCell ref="B103:C103"/>
    <mergeCell ref="B104:C104"/>
    <mergeCell ref="B105:C105"/>
    <mergeCell ref="B106:C106"/>
    <mergeCell ref="B107:C107"/>
    <mergeCell ref="B174:C174"/>
    <mergeCell ref="B173:C173"/>
    <mergeCell ref="B172:C172"/>
    <mergeCell ref="B171:C171"/>
    <mergeCell ref="B170:C170"/>
    <mergeCell ref="B169:C169"/>
    <mergeCell ref="B168:C168"/>
    <mergeCell ref="B162:C162"/>
    <mergeCell ref="B161:C161"/>
    <mergeCell ref="B160:C160"/>
    <mergeCell ref="B159:C159"/>
    <mergeCell ref="B158:C158"/>
    <mergeCell ref="B167:C167"/>
    <mergeCell ref="B165:C165"/>
    <mergeCell ref="B164:C164"/>
    <mergeCell ref="B163:C163"/>
    <mergeCell ref="B166:C166"/>
    <mergeCell ref="B157:C157"/>
    <mergeCell ref="B156:C156"/>
    <mergeCell ref="B155:C155"/>
    <mergeCell ref="B154:C154"/>
    <mergeCell ref="B153:C153"/>
    <mergeCell ref="B152:C152"/>
    <mergeCell ref="B151:C151"/>
    <mergeCell ref="B150:C150"/>
    <mergeCell ref="B149:C149"/>
    <mergeCell ref="B148:C148"/>
    <mergeCell ref="B146:C146"/>
    <mergeCell ref="B147:C147"/>
    <mergeCell ref="B127:C127"/>
    <mergeCell ref="B145:C145"/>
    <mergeCell ref="B144:C144"/>
    <mergeCell ref="B142:C142"/>
    <mergeCell ref="B141:C141"/>
    <mergeCell ref="B131:C131"/>
    <mergeCell ref="B139:C139"/>
    <mergeCell ref="B114:C114"/>
    <mergeCell ref="B123:C123"/>
    <mergeCell ref="B122:C122"/>
    <mergeCell ref="B132:C132"/>
    <mergeCell ref="B133:C133"/>
    <mergeCell ref="B134:C134"/>
    <mergeCell ref="B121:C121"/>
    <mergeCell ref="B125:C125"/>
    <mergeCell ref="B129:C129"/>
    <mergeCell ref="B128:C128"/>
    <mergeCell ref="B115:C115"/>
    <mergeCell ref="B126:C126"/>
    <mergeCell ref="A1:H1"/>
    <mergeCell ref="A2:H4"/>
    <mergeCell ref="A21:H22"/>
    <mergeCell ref="A37:H38"/>
    <mergeCell ref="B112:C112"/>
    <mergeCell ref="B120:C120"/>
    <mergeCell ref="B118:C118"/>
    <mergeCell ref="B117:C117"/>
    <mergeCell ref="B113:C113"/>
    <mergeCell ref="B116:C116"/>
    <mergeCell ref="B176:H176"/>
    <mergeCell ref="B89:H89"/>
    <mergeCell ref="B90:H90"/>
    <mergeCell ref="B91:H91"/>
    <mergeCell ref="B92:H92"/>
    <mergeCell ref="B109:C109"/>
    <mergeCell ref="B111:C111"/>
    <mergeCell ref="B108:C108"/>
  </mergeCells>
  <phoneticPr fontId="3" type="noConversion"/>
  <pageMargins left="0.5" right="0.5" top="0.5" bottom="0.5" header="0.5" footer="0.5"/>
  <pageSetup orientation="portrait" horizontalDpi="4294967293" verticalDpi="4294967293"/>
  <headerFooter alignWithMargins="0"/>
  <drawing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1"/>
  <sheetViews>
    <sheetView topLeftCell="O1" zoomScale="133" zoomScaleNormal="133" workbookViewId="0">
      <selection activeCell="G39" sqref="G39"/>
    </sheetView>
  </sheetViews>
  <sheetFormatPr baseColWidth="10" defaultColWidth="11.5" defaultRowHeight="13"/>
  <cols>
    <col min="1" max="1" width="23.5" customWidth="1"/>
  </cols>
  <sheetData>
    <row r="1" spans="1:8" ht="29" customHeight="1">
      <c r="A1" s="896" t="s">
        <v>862</v>
      </c>
      <c r="B1" s="896"/>
      <c r="C1" s="896"/>
      <c r="D1" s="896"/>
      <c r="E1" s="896"/>
      <c r="F1" s="896"/>
      <c r="G1" s="896"/>
      <c r="H1" s="896"/>
    </row>
    <row r="2" spans="1:8">
      <c r="A2" s="839" t="s">
        <v>86</v>
      </c>
      <c r="B2" s="839"/>
      <c r="C2" s="839"/>
      <c r="D2" s="839"/>
      <c r="E2" s="839"/>
      <c r="F2" s="839"/>
      <c r="G2" s="839"/>
      <c r="H2" s="839"/>
    </row>
    <row r="3" spans="1:8">
      <c r="A3" s="839"/>
      <c r="B3" s="839"/>
      <c r="C3" s="839"/>
      <c r="D3" s="839"/>
      <c r="E3" s="839"/>
      <c r="F3" s="839"/>
      <c r="G3" s="839"/>
      <c r="H3" s="839"/>
    </row>
    <row r="4" spans="1:8">
      <c r="A4" s="839"/>
      <c r="B4" s="839"/>
      <c r="C4" s="839"/>
      <c r="D4" s="839"/>
      <c r="E4" s="839"/>
      <c r="F4" s="839"/>
      <c r="G4" s="839"/>
      <c r="H4" s="839"/>
    </row>
    <row r="5" spans="1:8" s="10" customFormat="1">
      <c r="B5" s="10" t="s">
        <v>41</v>
      </c>
      <c r="C5" s="10" t="s">
        <v>42</v>
      </c>
    </row>
    <row r="6" spans="1:8">
      <c r="A6" s="26" t="s">
        <v>963</v>
      </c>
      <c r="B6" s="26">
        <v>137</v>
      </c>
      <c r="C6" s="26">
        <v>127</v>
      </c>
    </row>
    <row r="7" spans="1:8">
      <c r="A7" s="26" t="s">
        <v>990</v>
      </c>
      <c r="B7" s="26">
        <v>19.399999999999999</v>
      </c>
      <c r="C7" s="26">
        <v>16.8</v>
      </c>
    </row>
    <row r="8" spans="1:8">
      <c r="A8" s="26" t="s">
        <v>924</v>
      </c>
      <c r="B8" s="26">
        <v>28.33</v>
      </c>
      <c r="C8" s="26">
        <v>27.85</v>
      </c>
    </row>
    <row r="9" spans="1:8">
      <c r="A9" t="s">
        <v>983</v>
      </c>
      <c r="B9" s="17">
        <f>(B6*B7/B8)</f>
        <v>93.815743028591598</v>
      </c>
      <c r="C9" s="17">
        <f>(C6*C7/C8)</f>
        <v>76.610412926391376</v>
      </c>
    </row>
    <row r="10" spans="1:8">
      <c r="A10" t="s">
        <v>984</v>
      </c>
      <c r="B10" s="17">
        <f>SUM('Normalization Factors'!K50:K51)</f>
        <v>337</v>
      </c>
      <c r="C10" s="17">
        <f>SUM('Normalization Factors'!L50:L51)</f>
        <v>329</v>
      </c>
    </row>
    <row r="11" spans="1:8">
      <c r="A11" t="s">
        <v>985</v>
      </c>
      <c r="B11" s="17">
        <f>B10*B9</f>
        <v>31615.905400635369</v>
      </c>
      <c r="C11" s="17">
        <f>C10*C9</f>
        <v>25204.825852782764</v>
      </c>
    </row>
    <row r="12" spans="1:8">
      <c r="B12" s="17"/>
      <c r="C12" s="17"/>
    </row>
    <row r="13" spans="1:8">
      <c r="A13" s="26" t="s">
        <v>964</v>
      </c>
      <c r="B13" s="28">
        <v>172</v>
      </c>
      <c r="C13" s="28">
        <v>177</v>
      </c>
    </row>
    <row r="14" spans="1:8">
      <c r="A14" s="26" t="s">
        <v>923</v>
      </c>
      <c r="B14" s="28">
        <v>26</v>
      </c>
      <c r="C14" s="28">
        <v>24.2</v>
      </c>
    </row>
    <row r="15" spans="1:8">
      <c r="A15" s="26" t="s">
        <v>986</v>
      </c>
      <c r="B15" s="28">
        <v>27.19</v>
      </c>
      <c r="C15" s="28">
        <v>27.82</v>
      </c>
    </row>
    <row r="16" spans="1:8">
      <c r="A16" t="s">
        <v>987</v>
      </c>
      <c r="B16" s="17">
        <f>B13*B14/B15</f>
        <v>164.47223243839647</v>
      </c>
      <c r="C16" s="17">
        <f>C13*C14/C15</f>
        <v>153.96836808051759</v>
      </c>
    </row>
    <row r="17" spans="1:4">
      <c r="A17" t="s">
        <v>991</v>
      </c>
      <c r="B17" s="17">
        <f>SUM('Normalization Factors'!K52:K53)</f>
        <v>865</v>
      </c>
      <c r="C17" s="17">
        <f>SUM('Normalization Factors'!L52:L53)</f>
        <v>785</v>
      </c>
    </row>
    <row r="18" spans="1:4">
      <c r="A18" t="s">
        <v>992</v>
      </c>
      <c r="B18" s="17">
        <f>B17*B16</f>
        <v>142268.48105921294</v>
      </c>
      <c r="C18" s="17">
        <f>C17*C16</f>
        <v>120865.16894320631</v>
      </c>
    </row>
    <row r="19" spans="1:4">
      <c r="B19" s="17"/>
      <c r="C19" s="17"/>
    </row>
    <row r="20" spans="1:4">
      <c r="A20" t="s">
        <v>993</v>
      </c>
      <c r="B20" s="17">
        <f>B18+B11</f>
        <v>173884.38645984832</v>
      </c>
      <c r="C20" s="17">
        <f>C18+C11</f>
        <v>146069.99479598907</v>
      </c>
    </row>
    <row r="24" spans="1:4">
      <c r="A24" s="8" t="s">
        <v>568</v>
      </c>
      <c r="B24" s="17">
        <f>B20</f>
        <v>173884.38645984832</v>
      </c>
      <c r="C24" s="17">
        <f>C20</f>
        <v>146069.99479598907</v>
      </c>
      <c r="D24" s="17"/>
    </row>
    <row r="25" spans="1:4">
      <c r="A25" s="71" t="s">
        <v>405</v>
      </c>
      <c r="B25" s="123">
        <f>ROUND(B24*$B44,1)</f>
        <v>21748</v>
      </c>
      <c r="C25" s="123">
        <f>ROUND(C24*$B44,1)</f>
        <v>18269.2</v>
      </c>
      <c r="D25" s="123"/>
    </row>
    <row r="26" spans="1:4" ht="15">
      <c r="A26" s="83" t="s">
        <v>173</v>
      </c>
      <c r="B26" s="115">
        <f>ROUND(B24*$B45,1)</f>
        <v>1525.8</v>
      </c>
      <c r="C26" s="115">
        <f>ROUND(C24*$B45,1)</f>
        <v>1281.7</v>
      </c>
      <c r="D26" s="115"/>
    </row>
    <row r="27" spans="1:4">
      <c r="A27" s="24" t="s">
        <v>582</v>
      </c>
      <c r="B27" s="96">
        <f>(B14*B13)+(B7*B6)</f>
        <v>7129.7999999999993</v>
      </c>
      <c r="C27" s="96">
        <f>(C14*C13)+(C7*C6)</f>
        <v>6417</v>
      </c>
      <c r="D27" s="96"/>
    </row>
    <row r="28" spans="1:4" ht="15">
      <c r="A28" s="25" t="s">
        <v>866</v>
      </c>
      <c r="B28" s="95">
        <f>($B46*B27*$B39)</f>
        <v>1.4145523199999997E-3</v>
      </c>
      <c r="C28" s="95">
        <f>($B46*C27*$B39)</f>
        <v>1.2731327999999998E-3</v>
      </c>
      <c r="D28" s="95"/>
    </row>
    <row r="29" spans="1:4" ht="15">
      <c r="A29" s="83" t="s">
        <v>188</v>
      </c>
      <c r="B29" s="113">
        <f>B27*$B46*$B39*$B40</f>
        <v>2.9705598719999993E-2</v>
      </c>
      <c r="C29" s="113">
        <f>C27*$B46*$B39*$B40</f>
        <v>2.6735788799999997E-2</v>
      </c>
      <c r="D29" s="113"/>
    </row>
    <row r="30" spans="1:4" ht="15">
      <c r="A30" s="25" t="s">
        <v>859</v>
      </c>
      <c r="B30" s="95">
        <f>($B47*B27*$B39)</f>
        <v>1.0815906599999999E-3</v>
      </c>
      <c r="C30" s="95">
        <f>($B47*C27*$B39)</f>
        <v>9.7345889999999994E-4</v>
      </c>
      <c r="D30" s="95"/>
    </row>
    <row r="31" spans="1:4" ht="15">
      <c r="A31" s="10" t="s">
        <v>190</v>
      </c>
      <c r="B31" s="15">
        <f>B27*$B47*$B39*$B41</f>
        <v>0.33529310459999995</v>
      </c>
      <c r="C31" s="15">
        <f>C27*$B47*$B39*$B41</f>
        <v>0.30177225899999999</v>
      </c>
      <c r="D31" s="15"/>
    </row>
    <row r="32" spans="1:4">
      <c r="A32" s="470" t="s">
        <v>637</v>
      </c>
      <c r="B32" s="472">
        <f>ROUND(B26+B29+B31,1)</f>
        <v>1526.2</v>
      </c>
      <c r="C32" s="472">
        <f>ROUND(C26+C29+C31,1)</f>
        <v>1282</v>
      </c>
      <c r="D32" s="472"/>
    </row>
    <row r="33" spans="1:4" ht="17" customHeight="1"/>
    <row r="34" spans="1:4">
      <c r="A34" s="66"/>
      <c r="B34" s="29"/>
      <c r="C34" s="29"/>
      <c r="D34" s="29"/>
    </row>
    <row r="35" spans="1:4" ht="16">
      <c r="A35" s="835" t="s">
        <v>764</v>
      </c>
      <c r="B35" s="835"/>
    </row>
    <row r="36" spans="1:4">
      <c r="A36" s="60" t="s">
        <v>511</v>
      </c>
      <c r="B36" s="29"/>
      <c r="C36" s="24"/>
      <c r="D36" s="29"/>
    </row>
    <row r="37" spans="1:4">
      <c r="A37" s="103" t="s">
        <v>355</v>
      </c>
      <c r="B37" s="7">
        <f>((1)/(42))</f>
        <v>2.3809523809523808E-2</v>
      </c>
      <c r="C37" s="24"/>
      <c r="D37" s="29"/>
    </row>
    <row r="38" spans="1:4">
      <c r="A38" s="104" t="s">
        <v>286</v>
      </c>
      <c r="B38" s="24">
        <v>1E-3</v>
      </c>
      <c r="D38" s="29"/>
    </row>
    <row r="39" spans="1:4" ht="15">
      <c r="A39" s="103" t="s">
        <v>719</v>
      </c>
      <c r="B39" s="13">
        <v>9.9999999999999995E-7</v>
      </c>
      <c r="D39" s="29"/>
    </row>
    <row r="40" spans="1:4" ht="15">
      <c r="A40" s="160" t="s">
        <v>876</v>
      </c>
      <c r="B40" s="152">
        <v>21</v>
      </c>
      <c r="D40" s="29"/>
    </row>
    <row r="41" spans="1:4" ht="15">
      <c r="A41" s="156" t="s">
        <v>56</v>
      </c>
      <c r="B41" s="157">
        <v>310</v>
      </c>
      <c r="D41" s="29"/>
    </row>
    <row r="42" spans="1:4">
      <c r="D42" s="29"/>
    </row>
    <row r="43" spans="1:4">
      <c r="A43" s="60" t="s">
        <v>118</v>
      </c>
      <c r="B43" s="29"/>
      <c r="D43" s="29"/>
    </row>
    <row r="44" spans="1:4">
      <c r="A44" s="83" t="s">
        <v>338</v>
      </c>
      <c r="B44" s="102">
        <f>$B37*$B48</f>
        <v>0.12507142857142856</v>
      </c>
      <c r="C44" s="47"/>
      <c r="D44" s="29"/>
    </row>
    <row r="45" spans="1:4" ht="15">
      <c r="A45" s="10" t="s">
        <v>207</v>
      </c>
      <c r="B45" s="83">
        <f>($B37*$B48*$B49*$B50*$B51*$B38)</f>
        <v>8.7746912536282202E-3</v>
      </c>
      <c r="C45" s="47"/>
      <c r="D45" s="29"/>
    </row>
    <row r="46" spans="1:4" ht="15">
      <c r="A46" s="160" t="s">
        <v>106</v>
      </c>
      <c r="B46" s="161">
        <v>0.19839999999999999</v>
      </c>
      <c r="C46" s="47"/>
      <c r="D46" s="47"/>
    </row>
    <row r="47" spans="1:4" ht="15">
      <c r="A47" s="156" t="s">
        <v>368</v>
      </c>
      <c r="B47" s="164">
        <v>0.1517</v>
      </c>
      <c r="C47" s="47"/>
      <c r="D47" s="47"/>
    </row>
    <row r="48" spans="1:4">
      <c r="A48" s="160" t="s">
        <v>489</v>
      </c>
      <c r="B48" s="152">
        <v>5.2530000000000001</v>
      </c>
      <c r="C48" s="47"/>
      <c r="D48" s="47"/>
    </row>
    <row r="49" spans="1:4">
      <c r="A49" s="160" t="s">
        <v>430</v>
      </c>
      <c r="B49" s="152">
        <v>19.34</v>
      </c>
      <c r="C49" s="47"/>
      <c r="D49" s="47"/>
    </row>
    <row r="50" spans="1:4">
      <c r="A50" s="160" t="s">
        <v>625</v>
      </c>
      <c r="B50" s="152">
        <v>0.99</v>
      </c>
      <c r="C50" s="47"/>
      <c r="D50" s="47"/>
    </row>
    <row r="51" spans="1:4" ht="15">
      <c r="A51" s="160" t="s">
        <v>947</v>
      </c>
      <c r="B51" s="162">
        <f>((12.011+32)/12.011)</f>
        <v>3.6642244609108316</v>
      </c>
      <c r="C51" s="13"/>
      <c r="D51" s="13"/>
    </row>
  </sheetData>
  <mergeCells count="3">
    <mergeCell ref="A2:H4"/>
    <mergeCell ref="A35:B35"/>
    <mergeCell ref="A1:H1"/>
  </mergeCells>
  <phoneticPr fontId="54" type="noConversion"/>
  <pageMargins left="0.75" right="0.75" top="1" bottom="1" header="0.5" footer="0.5"/>
  <pageSetup orientation="portrait" horizontalDpi="4294967292" verticalDpi="4294967292"/>
  <headerFooter alignWithMargins="0"/>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12"/>
  <sheetViews>
    <sheetView topLeftCell="A58" zoomScaleNormal="100" workbookViewId="0">
      <selection activeCell="I86" sqref="I86"/>
    </sheetView>
  </sheetViews>
  <sheetFormatPr baseColWidth="10" defaultColWidth="8.83203125" defaultRowHeight="13"/>
  <cols>
    <col min="1" max="1" width="25" customWidth="1"/>
    <col min="2" max="2" width="13.83203125" customWidth="1"/>
    <col min="3" max="3" width="8.1640625" customWidth="1"/>
    <col min="4" max="4" width="8.33203125" customWidth="1"/>
    <col min="5" max="5" width="7.6640625" customWidth="1"/>
    <col min="6" max="6" width="8" customWidth="1"/>
    <col min="7" max="7" width="8.5" customWidth="1"/>
    <col min="8" max="8" width="45.6640625" customWidth="1"/>
    <col min="14" max="14" width="9.33203125" customWidth="1"/>
  </cols>
  <sheetData>
    <row r="1" spans="1:8" ht="27.75" customHeight="1">
      <c r="A1" s="896" t="s">
        <v>366</v>
      </c>
      <c r="B1" s="896"/>
      <c r="C1" s="896"/>
      <c r="D1" s="896"/>
      <c r="E1" s="896"/>
      <c r="F1" s="896"/>
      <c r="G1" s="896"/>
      <c r="H1" s="896"/>
    </row>
    <row r="2" spans="1:8" ht="12.75" customHeight="1">
      <c r="A2" s="839" t="s">
        <v>86</v>
      </c>
      <c r="B2" s="839"/>
      <c r="C2" s="839"/>
      <c r="D2" s="839"/>
      <c r="E2" s="839"/>
      <c r="F2" s="839"/>
      <c r="G2" s="839"/>
      <c r="H2" s="839"/>
    </row>
    <row r="3" spans="1:8">
      <c r="A3" s="839"/>
      <c r="B3" s="839"/>
      <c r="C3" s="839"/>
      <c r="D3" s="839"/>
      <c r="E3" s="839"/>
      <c r="F3" s="839"/>
      <c r="G3" s="839"/>
      <c r="H3" s="839"/>
    </row>
    <row r="4" spans="1:8">
      <c r="A4" s="839"/>
      <c r="B4" s="839"/>
      <c r="C4" s="839"/>
      <c r="D4" s="839"/>
      <c r="E4" s="839"/>
      <c r="F4" s="839"/>
      <c r="G4" s="839"/>
      <c r="H4" s="839"/>
    </row>
    <row r="5" spans="1:8">
      <c r="B5" s="24"/>
      <c r="C5" s="83"/>
      <c r="D5" s="24"/>
      <c r="E5" s="24"/>
      <c r="F5" s="24"/>
      <c r="G5" s="24"/>
    </row>
    <row r="6" spans="1:8">
      <c r="B6" s="83"/>
      <c r="C6" s="133"/>
      <c r="D6" s="133"/>
      <c r="E6" s="133"/>
      <c r="F6" s="133"/>
      <c r="G6" s="133"/>
    </row>
    <row r="7" spans="1:8">
      <c r="B7" s="24"/>
      <c r="C7" s="96"/>
      <c r="D7" s="96"/>
      <c r="E7" s="96"/>
      <c r="F7" s="96"/>
      <c r="G7" s="96"/>
    </row>
    <row r="8" spans="1:8">
      <c r="B8" s="24"/>
      <c r="C8" s="96"/>
      <c r="D8" s="96"/>
      <c r="E8" s="96"/>
      <c r="F8" s="96"/>
      <c r="G8" s="123"/>
    </row>
    <row r="9" spans="1:8">
      <c r="B9" s="24"/>
      <c r="C9" s="24"/>
      <c r="D9" s="24"/>
      <c r="E9" s="24"/>
      <c r="F9" s="24"/>
      <c r="G9" s="24"/>
    </row>
    <row r="10" spans="1:8">
      <c r="B10" s="24"/>
      <c r="C10" s="24"/>
      <c r="D10" s="24"/>
      <c r="E10" s="24"/>
      <c r="F10" s="24"/>
      <c r="G10" s="24"/>
    </row>
    <row r="21" spans="1:8" ht="12.75" customHeight="1">
      <c r="A21" s="880" t="s">
        <v>478</v>
      </c>
      <c r="B21" s="845"/>
      <c r="C21" s="845"/>
      <c r="D21" s="845"/>
      <c r="E21" s="845"/>
      <c r="F21" s="845"/>
      <c r="G21" s="845"/>
      <c r="H21" s="845"/>
    </row>
    <row r="22" spans="1:8">
      <c r="A22" s="845"/>
      <c r="B22" s="845"/>
      <c r="C22" s="845"/>
      <c r="D22" s="845"/>
      <c r="E22" s="845"/>
      <c r="F22" s="845"/>
      <c r="G22" s="845"/>
      <c r="H22" s="845"/>
    </row>
    <row r="23" spans="1:8">
      <c r="A23" s="150"/>
      <c r="B23" s="150"/>
    </row>
    <row r="37" spans="1:10" ht="12.75" customHeight="1">
      <c r="A37" s="880" t="s">
        <v>506</v>
      </c>
      <c r="B37" s="845"/>
      <c r="C37" s="845"/>
      <c r="D37" s="845"/>
      <c r="E37" s="845"/>
      <c r="F37" s="845"/>
      <c r="G37" s="845"/>
      <c r="H37" s="845"/>
    </row>
    <row r="38" spans="1:10">
      <c r="A38" s="845"/>
      <c r="B38" s="845"/>
      <c r="C38" s="845"/>
      <c r="D38" s="845"/>
      <c r="E38" s="845"/>
      <c r="F38" s="845"/>
      <c r="G38" s="845"/>
      <c r="H38" s="845"/>
    </row>
    <row r="40" spans="1:10" ht="16">
      <c r="A40" s="4" t="s">
        <v>764</v>
      </c>
    </row>
    <row r="41" spans="1:10" ht="14.25" customHeight="1">
      <c r="A41" t="s">
        <v>489</v>
      </c>
      <c r="B41" s="897" t="s">
        <v>766</v>
      </c>
      <c r="C41" s="897"/>
      <c r="D41" s="897"/>
      <c r="E41" s="897"/>
      <c r="F41" s="897"/>
      <c r="G41" s="897"/>
      <c r="H41" s="897"/>
    </row>
    <row r="42" spans="1:10">
      <c r="B42" s="897"/>
      <c r="C42" s="897"/>
      <c r="D42" s="897"/>
      <c r="E42" s="897"/>
      <c r="F42" s="897"/>
      <c r="G42" s="897"/>
      <c r="H42" s="897"/>
    </row>
    <row r="43" spans="1:10">
      <c r="B43" s="897"/>
      <c r="C43" s="897"/>
      <c r="D43" s="897"/>
      <c r="E43" s="897"/>
      <c r="F43" s="897"/>
      <c r="G43" s="897"/>
      <c r="H43" s="897"/>
      <c r="J43" s="50"/>
    </row>
    <row r="44" spans="1:10">
      <c r="A44" t="s">
        <v>430</v>
      </c>
      <c r="B44" s="842" t="s">
        <v>677</v>
      </c>
      <c r="C44" s="842"/>
      <c r="D44" s="842"/>
      <c r="E44" s="842"/>
      <c r="F44" s="842"/>
      <c r="G44" s="842"/>
      <c r="H44" s="842"/>
    </row>
    <row r="45" spans="1:10">
      <c r="B45" s="842"/>
      <c r="C45" s="842"/>
      <c r="D45" s="842"/>
      <c r="E45" s="842"/>
      <c r="F45" s="842"/>
      <c r="G45" s="842"/>
      <c r="H45" s="842"/>
    </row>
    <row r="46" spans="1:10">
      <c r="A46" t="s">
        <v>625</v>
      </c>
      <c r="B46" s="842" t="s">
        <v>677</v>
      </c>
      <c r="C46" s="842"/>
      <c r="D46" s="842"/>
      <c r="E46" s="842"/>
      <c r="F46" s="842"/>
      <c r="G46" s="842"/>
      <c r="H46" s="842"/>
    </row>
    <row r="47" spans="1:10">
      <c r="B47" s="842"/>
      <c r="C47" s="842"/>
      <c r="D47" s="842"/>
      <c r="E47" s="842"/>
      <c r="F47" s="842"/>
      <c r="G47" s="842"/>
      <c r="H47" s="842"/>
    </row>
    <row r="48" spans="1:10" ht="15">
      <c r="A48" s="50" t="s">
        <v>840</v>
      </c>
      <c r="B48" s="842" t="s">
        <v>664</v>
      </c>
      <c r="C48" s="842"/>
      <c r="D48" s="842"/>
      <c r="E48" s="842"/>
      <c r="F48" s="842"/>
      <c r="G48" s="842"/>
      <c r="H48" s="842"/>
    </row>
    <row r="49" spans="1:8">
      <c r="B49" s="842"/>
      <c r="C49" s="842"/>
      <c r="D49" s="842"/>
      <c r="E49" s="842"/>
      <c r="F49" s="842"/>
      <c r="G49" s="842"/>
      <c r="H49" s="842"/>
    </row>
    <row r="51" spans="1:8" ht="15.75" customHeight="1">
      <c r="A51" s="50" t="s">
        <v>750</v>
      </c>
      <c r="B51" s="842" t="s">
        <v>818</v>
      </c>
      <c r="C51" s="842"/>
      <c r="D51" s="842"/>
      <c r="E51" s="842"/>
      <c r="F51" s="842"/>
      <c r="G51" s="842"/>
      <c r="H51" s="842"/>
    </row>
    <row r="52" spans="1:8">
      <c r="A52" s="50"/>
      <c r="B52" s="842"/>
      <c r="C52" s="842"/>
      <c r="D52" s="842"/>
      <c r="E52" s="842"/>
      <c r="F52" s="842"/>
      <c r="G52" s="842"/>
      <c r="H52" s="842"/>
    </row>
    <row r="53" spans="1:8">
      <c r="A53" s="50"/>
      <c r="B53" s="842"/>
      <c r="C53" s="842"/>
      <c r="D53" s="842"/>
      <c r="E53" s="842"/>
      <c r="F53" s="842"/>
      <c r="G53" s="842"/>
      <c r="H53" s="842"/>
    </row>
    <row r="54" spans="1:8">
      <c r="A54" s="50"/>
      <c r="B54" s="842"/>
      <c r="C54" s="842"/>
      <c r="D54" s="842"/>
      <c r="E54" s="842"/>
      <c r="F54" s="842"/>
      <c r="G54" s="842"/>
      <c r="H54" s="842"/>
    </row>
    <row r="55" spans="1:8" ht="15">
      <c r="A55" s="1" t="s">
        <v>744</v>
      </c>
      <c r="B55" t="s">
        <v>620</v>
      </c>
    </row>
    <row r="56" spans="1:8" ht="15">
      <c r="A56" s="50" t="s">
        <v>751</v>
      </c>
      <c r="B56" s="842" t="s">
        <v>595</v>
      </c>
      <c r="C56" s="842"/>
      <c r="D56" s="842"/>
      <c r="E56" s="842"/>
      <c r="F56" s="842"/>
      <c r="G56" s="842"/>
      <c r="H56" s="842"/>
    </row>
    <row r="57" spans="1:8">
      <c r="A57" s="50"/>
      <c r="B57" s="842"/>
      <c r="C57" s="842"/>
      <c r="D57" s="842"/>
      <c r="E57" s="842"/>
      <c r="F57" s="842"/>
      <c r="G57" s="842"/>
      <c r="H57" s="842"/>
    </row>
    <row r="58" spans="1:8">
      <c r="A58" s="50"/>
      <c r="B58" s="842"/>
      <c r="C58" s="842"/>
      <c r="D58" s="842"/>
      <c r="E58" s="842"/>
      <c r="F58" s="842"/>
      <c r="G58" s="842"/>
      <c r="H58" s="842"/>
    </row>
    <row r="59" spans="1:8" ht="15.75" customHeight="1">
      <c r="A59" s="50" t="s">
        <v>839</v>
      </c>
      <c r="B59" s="842" t="s">
        <v>445</v>
      </c>
      <c r="C59" s="842"/>
      <c r="D59" s="842"/>
      <c r="E59" s="842"/>
      <c r="F59" s="842"/>
      <c r="G59" s="842"/>
      <c r="H59" s="842"/>
    </row>
    <row r="60" spans="1:8">
      <c r="B60" s="842"/>
      <c r="C60" s="842"/>
      <c r="D60" s="842"/>
      <c r="E60" s="842"/>
      <c r="F60" s="842"/>
      <c r="G60" s="842"/>
      <c r="H60" s="842"/>
    </row>
    <row r="61" spans="1:8">
      <c r="B61" s="842"/>
      <c r="C61" s="842"/>
      <c r="D61" s="842"/>
      <c r="E61" s="842"/>
      <c r="F61" s="842"/>
      <c r="G61" s="842"/>
      <c r="H61" s="842"/>
    </row>
    <row r="62" spans="1:8">
      <c r="B62" s="842"/>
      <c r="C62" s="842"/>
      <c r="D62" s="842"/>
      <c r="E62" s="842"/>
      <c r="F62" s="842"/>
      <c r="G62" s="842"/>
      <c r="H62" s="842"/>
    </row>
    <row r="63" spans="1:8" ht="15">
      <c r="A63" s="50" t="s">
        <v>874</v>
      </c>
      <c r="B63" s="842" t="s">
        <v>595</v>
      </c>
      <c r="C63" s="842"/>
      <c r="D63" s="842"/>
      <c r="E63" s="842"/>
      <c r="F63" s="842"/>
      <c r="G63" s="842"/>
      <c r="H63" s="842"/>
    </row>
    <row r="64" spans="1:8">
      <c r="B64" s="842"/>
      <c r="C64" s="842"/>
      <c r="D64" s="842"/>
      <c r="E64" s="842"/>
      <c r="F64" s="842"/>
      <c r="G64" s="842"/>
      <c r="H64" s="842"/>
    </row>
    <row r="65" spans="1:8">
      <c r="B65" s="116"/>
      <c r="C65" s="116"/>
      <c r="D65" s="116"/>
      <c r="E65" s="116"/>
      <c r="F65" s="116"/>
      <c r="G65" s="116"/>
      <c r="H65" s="116"/>
    </row>
    <row r="66" spans="1:8">
      <c r="A66" s="1" t="s">
        <v>355</v>
      </c>
      <c r="B66" t="s">
        <v>620</v>
      </c>
    </row>
    <row r="67" spans="1:8">
      <c r="A67" s="23" t="s">
        <v>224</v>
      </c>
      <c r="B67" t="s">
        <v>620</v>
      </c>
    </row>
    <row r="68" spans="1:8" ht="15">
      <c r="A68" s="1" t="s">
        <v>744</v>
      </c>
      <c r="B68" t="s">
        <v>620</v>
      </c>
    </row>
    <row r="71" spans="1:8" ht="16">
      <c r="A71" s="4" t="s">
        <v>542</v>
      </c>
    </row>
    <row r="72" spans="1:8">
      <c r="A72" s="10" t="s">
        <v>937</v>
      </c>
    </row>
    <row r="73" spans="1:8">
      <c r="A73" s="26" t="s">
        <v>657</v>
      </c>
      <c r="B73" s="899" t="s">
        <v>972</v>
      </c>
      <c r="C73" s="899"/>
      <c r="D73" s="899"/>
      <c r="E73" s="899"/>
      <c r="F73" s="899"/>
      <c r="G73" s="899"/>
      <c r="H73" s="899"/>
    </row>
    <row r="74" spans="1:8" s="126" customFormat="1">
      <c r="A74" s="26"/>
      <c r="B74" s="833"/>
      <c r="C74" s="833"/>
      <c r="D74" s="833"/>
      <c r="E74" s="833"/>
      <c r="F74" s="833"/>
      <c r="G74" s="833"/>
      <c r="H74" s="833"/>
    </row>
    <row r="75" spans="1:8" s="126" customFormat="1" ht="12" customHeight="1">
      <c r="A75" s="26"/>
      <c r="B75" s="833"/>
      <c r="C75" s="833"/>
      <c r="D75" s="833"/>
      <c r="E75" s="833"/>
      <c r="F75" s="833"/>
      <c r="G75" s="833"/>
      <c r="H75" s="833"/>
    </row>
    <row r="76" spans="1:8" s="126" customFormat="1" ht="12.75" customHeight="1">
      <c r="A76" s="88" t="s">
        <v>1038</v>
      </c>
      <c r="B76" s="898" t="s">
        <v>967</v>
      </c>
      <c r="C76" s="898"/>
      <c r="D76" s="898"/>
      <c r="E76" s="898"/>
      <c r="F76" s="898"/>
      <c r="G76" s="898"/>
      <c r="H76" s="898"/>
    </row>
    <row r="77" spans="1:8" s="126" customFormat="1" ht="11" customHeight="1">
      <c r="A77" s="88"/>
      <c r="B77" s="535"/>
      <c r="C77" s="535"/>
      <c r="D77" s="535"/>
      <c r="E77" s="535"/>
      <c r="F77" s="535"/>
      <c r="G77" s="535"/>
      <c r="H77" s="535"/>
    </row>
    <row r="78" spans="1:8" s="126" customFormat="1" ht="12.75" customHeight="1">
      <c r="A78" s="536" t="s">
        <v>968</v>
      </c>
      <c r="B78" s="900" t="s">
        <v>989</v>
      </c>
      <c r="C78" s="901"/>
      <c r="D78" s="901"/>
      <c r="E78" s="901"/>
      <c r="F78" s="901"/>
      <c r="G78" s="901"/>
      <c r="H78" s="901"/>
    </row>
    <row r="79" spans="1:8" s="126" customFormat="1">
      <c r="A79" s="536"/>
      <c r="B79" s="901"/>
      <c r="C79" s="901"/>
      <c r="D79" s="901"/>
      <c r="E79" s="901"/>
      <c r="F79" s="901"/>
      <c r="G79" s="901"/>
      <c r="H79" s="901"/>
    </row>
    <row r="80" spans="1:8" s="126" customFormat="1">
      <c r="A80" s="536"/>
      <c r="B80" s="901"/>
      <c r="C80" s="901"/>
      <c r="D80" s="901"/>
      <c r="E80" s="901"/>
      <c r="F80" s="901"/>
      <c r="G80" s="901"/>
      <c r="H80" s="901"/>
    </row>
    <row r="81" spans="1:8" s="126" customFormat="1">
      <c r="A81" s="126" t="s">
        <v>568</v>
      </c>
      <c r="B81" s="29" t="s">
        <v>725</v>
      </c>
      <c r="C81" s="29"/>
      <c r="D81" s="29"/>
      <c r="E81" s="29"/>
      <c r="F81" s="29"/>
      <c r="G81" s="29"/>
      <c r="H81" s="29"/>
    </row>
    <row r="82" spans="1:8" s="126" customFormat="1">
      <c r="A82" s="121" t="s">
        <v>338</v>
      </c>
      <c r="B82" t="s">
        <v>725</v>
      </c>
      <c r="C82"/>
      <c r="D82"/>
      <c r="E82"/>
      <c r="F82"/>
      <c r="G82"/>
      <c r="H82"/>
    </row>
    <row r="83" spans="1:8" s="126" customFormat="1" ht="15">
      <c r="A83" s="50" t="s">
        <v>856</v>
      </c>
      <c r="B83" t="s">
        <v>725</v>
      </c>
      <c r="C83"/>
      <c r="D83"/>
      <c r="E83"/>
      <c r="F83"/>
      <c r="G83"/>
      <c r="H83"/>
    </row>
    <row r="84" spans="1:8" s="126" customFormat="1">
      <c r="A84" s="50"/>
      <c r="B84"/>
      <c r="C84"/>
      <c r="D84"/>
      <c r="E84"/>
      <c r="F84"/>
      <c r="G84"/>
      <c r="H84"/>
    </row>
    <row r="85" spans="1:8" s="126" customFormat="1" ht="16">
      <c r="A85" s="19" t="s">
        <v>257</v>
      </c>
      <c r="B85"/>
      <c r="C85"/>
      <c r="D85"/>
      <c r="E85"/>
      <c r="F85"/>
      <c r="G85"/>
      <c r="H85"/>
    </row>
    <row r="86" spans="1:8" s="126" customFormat="1">
      <c r="A86" s="869" t="s">
        <v>599</v>
      </c>
      <c r="B86" s="869"/>
      <c r="C86" s="869"/>
      <c r="D86" s="869"/>
      <c r="E86" s="869"/>
      <c r="F86" s="869"/>
      <c r="G86" s="869"/>
      <c r="H86" s="869"/>
    </row>
    <row r="87" spans="1:8" s="126" customFormat="1">
      <c r="A87" s="869"/>
      <c r="B87" s="869"/>
      <c r="C87" s="869"/>
      <c r="D87" s="869"/>
      <c r="E87" s="869"/>
      <c r="F87" s="869"/>
      <c r="G87" s="869"/>
      <c r="H87" s="869"/>
    </row>
    <row r="88" spans="1:8" s="126" customFormat="1">
      <c r="A88" s="869"/>
      <c r="B88" s="869"/>
      <c r="C88" s="869"/>
      <c r="D88" s="869"/>
      <c r="E88" s="869"/>
      <c r="F88" s="869"/>
      <c r="G88" s="869"/>
      <c r="H88" s="869"/>
    </row>
    <row r="89" spans="1:8" s="126" customFormat="1">
      <c r="A89" s="869"/>
      <c r="B89" s="869"/>
      <c r="C89" s="869"/>
      <c r="D89" s="869"/>
      <c r="E89" s="869"/>
      <c r="F89" s="869"/>
      <c r="G89" s="869"/>
      <c r="H89" s="869"/>
    </row>
    <row r="90" spans="1:8" s="126" customFormat="1">
      <c r="A90" s="869"/>
      <c r="B90" s="869"/>
      <c r="C90" s="869"/>
      <c r="D90" s="869"/>
      <c r="E90" s="869"/>
      <c r="F90" s="869"/>
      <c r="G90" s="869"/>
      <c r="H90" s="869"/>
    </row>
    <row r="91" spans="1:8" s="126" customFormat="1">
      <c r="A91" s="29"/>
      <c r="B91" s="29"/>
      <c r="C91" s="29"/>
      <c r="D91" s="29"/>
      <c r="E91" s="29"/>
      <c r="F91" s="29"/>
      <c r="G91" s="29"/>
      <c r="H91" s="29"/>
    </row>
    <row r="92" spans="1:8" s="126" customFormat="1">
      <c r="A92" s="29"/>
      <c r="B92" s="29"/>
      <c r="C92" s="29"/>
      <c r="D92" s="29"/>
      <c r="E92" s="29"/>
      <c r="F92" s="29"/>
      <c r="G92" s="29"/>
      <c r="H92" s="29"/>
    </row>
    <row r="93" spans="1:8" s="126" customFormat="1">
      <c r="A93" s="29"/>
      <c r="B93" s="29"/>
      <c r="C93" s="29"/>
      <c r="D93" s="29"/>
      <c r="E93" s="29"/>
      <c r="F93" s="29"/>
      <c r="G93" s="29"/>
      <c r="H93" s="29"/>
    </row>
    <row r="94" spans="1:8" s="126" customFormat="1">
      <c r="B94" s="29"/>
      <c r="C94" s="29"/>
      <c r="D94" s="29"/>
      <c r="E94" s="29"/>
      <c r="F94" s="29"/>
      <c r="G94" s="29"/>
      <c r="H94" s="29"/>
    </row>
    <row r="95" spans="1:8" s="126" customFormat="1">
      <c r="A95" s="69"/>
      <c r="B95" s="70"/>
      <c r="C95" s="29"/>
      <c r="D95" s="29"/>
      <c r="E95" s="29"/>
      <c r="F95" s="29"/>
      <c r="G95" s="29"/>
      <c r="H95" s="29"/>
    </row>
    <row r="96" spans="1:8" s="126" customFormat="1">
      <c r="A96" s="127"/>
      <c r="B96" s="29"/>
      <c r="C96" s="29"/>
      <c r="D96" s="29"/>
      <c r="E96" s="29"/>
      <c r="F96" s="29"/>
      <c r="G96" s="29"/>
      <c r="H96" s="29"/>
    </row>
    <row r="97" spans="1:8" s="126" customFormat="1">
      <c r="B97" s="70"/>
      <c r="C97" s="70"/>
      <c r="D97" s="29"/>
      <c r="E97" s="29"/>
      <c r="F97" s="29"/>
      <c r="G97" s="29"/>
      <c r="H97" s="29"/>
    </row>
    <row r="98" spans="1:8" s="126" customFormat="1">
      <c r="A98" s="127"/>
      <c r="B98" s="29"/>
      <c r="C98" s="29"/>
      <c r="D98" s="29"/>
      <c r="E98" s="29"/>
      <c r="F98" s="29"/>
      <c r="G98" s="29"/>
      <c r="H98" s="29"/>
    </row>
    <row r="99" spans="1:8" s="126" customFormat="1">
      <c r="A99" s="63"/>
      <c r="B99" s="29"/>
      <c r="H99" s="29"/>
    </row>
    <row r="100" spans="1:8" s="126" customFormat="1"/>
    <row r="101" spans="1:8" s="126" customFormat="1">
      <c r="A101" s="29"/>
      <c r="B101" s="29"/>
    </row>
    <row r="102" spans="1:8" s="126" customFormat="1">
      <c r="A102"/>
      <c r="B102"/>
      <c r="C102"/>
      <c r="D102"/>
      <c r="E102"/>
      <c r="F102"/>
      <c r="G102"/>
      <c r="H102" s="50"/>
    </row>
    <row r="103" spans="1:8" s="126" customFormat="1">
      <c r="A103"/>
      <c r="B103"/>
      <c r="C103"/>
      <c r="D103"/>
      <c r="E103"/>
      <c r="F103"/>
      <c r="G103"/>
      <c r="H103"/>
    </row>
    <row r="104" spans="1:8" s="126" customFormat="1">
      <c r="A104" s="50"/>
      <c r="B104"/>
      <c r="C104"/>
      <c r="D104"/>
      <c r="E104"/>
      <c r="F104"/>
      <c r="G104"/>
      <c r="H104"/>
    </row>
    <row r="105" spans="1:8" s="126" customFormat="1">
      <c r="A105" s="1"/>
      <c r="B105"/>
      <c r="C105"/>
      <c r="D105"/>
      <c r="E105"/>
      <c r="F105"/>
      <c r="G105"/>
      <c r="H105"/>
    </row>
    <row r="106" spans="1:8" s="126" customFormat="1">
      <c r="A106" s="50"/>
      <c r="B106"/>
      <c r="C106"/>
      <c r="D106"/>
      <c r="E106"/>
      <c r="F106"/>
      <c r="G106"/>
      <c r="H106"/>
    </row>
    <row r="107" spans="1:8" s="126" customFormat="1">
      <c r="A107" s="127"/>
      <c r="B107"/>
      <c r="C107"/>
      <c r="D107"/>
      <c r="E107"/>
      <c r="F107"/>
      <c r="G107"/>
      <c r="H107"/>
    </row>
    <row r="108" spans="1:8" s="126" customFormat="1">
      <c r="A108" s="10"/>
      <c r="B108"/>
      <c r="C108"/>
      <c r="D108"/>
      <c r="E108"/>
      <c r="F108"/>
      <c r="G108"/>
      <c r="H108"/>
    </row>
    <row r="109" spans="1:8" s="126" customFormat="1">
      <c r="A109"/>
      <c r="B109"/>
      <c r="C109"/>
      <c r="D109"/>
      <c r="E109"/>
      <c r="F109"/>
      <c r="G109"/>
      <c r="H109"/>
    </row>
    <row r="110" spans="1:8" s="126" customFormat="1">
      <c r="A110" s="50"/>
      <c r="B110"/>
      <c r="C110"/>
      <c r="D110"/>
      <c r="E110"/>
      <c r="F110"/>
      <c r="G110"/>
      <c r="H110"/>
    </row>
    <row r="111" spans="1:8" s="126" customFormat="1">
      <c r="A111" s="1"/>
      <c r="B111"/>
      <c r="C111"/>
      <c r="D111"/>
      <c r="E111"/>
      <c r="F111"/>
      <c r="G111"/>
      <c r="H111"/>
    </row>
    <row r="112" spans="1:8" s="126" customFormat="1">
      <c r="A112" s="50"/>
      <c r="B112"/>
      <c r="C112"/>
      <c r="D112"/>
      <c r="E112"/>
      <c r="F112"/>
      <c r="G112"/>
      <c r="H112"/>
    </row>
    <row r="113" spans="1:8" s="126" customFormat="1">
      <c r="A113" s="127"/>
      <c r="B113"/>
      <c r="C113"/>
      <c r="D113"/>
      <c r="E113"/>
      <c r="F113"/>
      <c r="G113"/>
      <c r="H113"/>
    </row>
    <row r="114" spans="1:8" s="126" customFormat="1">
      <c r="A114" s="10"/>
      <c r="B114"/>
      <c r="C114"/>
      <c r="D114"/>
      <c r="E114"/>
      <c r="F114"/>
      <c r="G114"/>
      <c r="H114"/>
    </row>
    <row r="115" spans="1:8" s="126" customFormat="1">
      <c r="A115"/>
      <c r="B115"/>
      <c r="C115"/>
      <c r="D115"/>
      <c r="E115"/>
      <c r="F115"/>
      <c r="G115"/>
      <c r="H115"/>
    </row>
    <row r="116" spans="1:8" s="126" customFormat="1">
      <c r="A116" s="10"/>
      <c r="B116"/>
      <c r="C116"/>
      <c r="D116"/>
      <c r="E116"/>
      <c r="F116"/>
      <c r="G116"/>
      <c r="H116"/>
    </row>
    <row r="117" spans="1:8" s="126" customFormat="1">
      <c r="A117"/>
      <c r="B117"/>
      <c r="C117"/>
      <c r="D117"/>
      <c r="E117"/>
      <c r="F117"/>
      <c r="G117"/>
      <c r="H117"/>
    </row>
    <row r="118" spans="1:8" s="126" customFormat="1">
      <c r="A118"/>
      <c r="B118"/>
      <c r="C118"/>
      <c r="D118"/>
      <c r="E118"/>
      <c r="F118"/>
      <c r="G118"/>
      <c r="H118"/>
    </row>
    <row r="119" spans="1:8" s="126" customFormat="1">
      <c r="A119"/>
      <c r="B119"/>
      <c r="C119"/>
      <c r="D119"/>
      <c r="E119"/>
      <c r="F119"/>
      <c r="G119"/>
      <c r="H119"/>
    </row>
    <row r="120" spans="1:8" s="126" customFormat="1">
      <c r="A120"/>
      <c r="B120"/>
      <c r="C120"/>
      <c r="D120"/>
      <c r="E120"/>
      <c r="F120"/>
      <c r="G120"/>
      <c r="H120"/>
    </row>
    <row r="121" spans="1:8" s="126" customFormat="1">
      <c r="A121"/>
      <c r="B121" s="6"/>
      <c r="C121"/>
      <c r="D121"/>
      <c r="E121"/>
      <c r="F121"/>
      <c r="G121"/>
      <c r="H121"/>
    </row>
    <row r="122" spans="1:8" s="126" customFormat="1">
      <c r="A122"/>
      <c r="B122" s="29"/>
      <c r="C122" s="29"/>
      <c r="D122" s="29"/>
      <c r="E122" s="29"/>
      <c r="F122" s="29"/>
      <c r="G122" s="29"/>
      <c r="H122"/>
    </row>
    <row r="123" spans="1:8" s="126" customFormat="1">
      <c r="A123" s="29"/>
      <c r="B123"/>
      <c r="C123"/>
      <c r="D123"/>
      <c r="E123"/>
      <c r="F123"/>
      <c r="G123"/>
      <c r="H123" s="29"/>
    </row>
    <row r="124" spans="1:8" s="126" customFormat="1">
      <c r="A124"/>
      <c r="B124"/>
      <c r="C124"/>
      <c r="D124"/>
      <c r="E124"/>
      <c r="F124"/>
      <c r="G124"/>
      <c r="H124"/>
    </row>
    <row r="125" spans="1:8" s="126" customFormat="1">
      <c r="A125"/>
      <c r="B125"/>
      <c r="C125"/>
      <c r="D125"/>
      <c r="E125"/>
      <c r="F125"/>
      <c r="G125"/>
      <c r="H125"/>
    </row>
    <row r="126" spans="1:8" s="126" customFormat="1">
      <c r="A126"/>
      <c r="B126"/>
      <c r="C126"/>
      <c r="D126"/>
      <c r="E126"/>
      <c r="F126"/>
      <c r="G126"/>
      <c r="H126"/>
    </row>
    <row r="127" spans="1:8" s="126" customFormat="1">
      <c r="A127"/>
      <c r="B127"/>
      <c r="C127"/>
      <c r="D127"/>
      <c r="E127"/>
      <c r="F127"/>
      <c r="G127"/>
      <c r="H127"/>
    </row>
    <row r="128" spans="1:8" s="126" customFormat="1">
      <c r="A128" s="50"/>
      <c r="B128"/>
      <c r="C128"/>
      <c r="D128"/>
      <c r="E128"/>
      <c r="F128"/>
      <c r="G128"/>
      <c r="H128"/>
    </row>
    <row r="129" spans="1:8" s="126" customFormat="1">
      <c r="A129" s="23"/>
      <c r="B129"/>
      <c r="C129"/>
      <c r="D129"/>
      <c r="E129"/>
      <c r="F129"/>
      <c r="G129"/>
      <c r="H129"/>
    </row>
    <row r="130" spans="1:8" s="126" customFormat="1">
      <c r="A130" s="50"/>
      <c r="B130"/>
      <c r="C130"/>
      <c r="D130"/>
      <c r="E130"/>
      <c r="F130"/>
      <c r="G130"/>
      <c r="H130"/>
    </row>
    <row r="131" spans="1:8" s="126" customFormat="1">
      <c r="A131" s="23"/>
      <c r="B131"/>
      <c r="C131" s="9"/>
      <c r="D131" s="9"/>
      <c r="E131" s="9"/>
      <c r="F131" s="9"/>
      <c r="G131" s="9"/>
      <c r="H131"/>
    </row>
    <row r="132" spans="1:8" s="126" customFormat="1">
      <c r="A132" s="50"/>
      <c r="B132" s="24"/>
      <c r="C132" s="24"/>
      <c r="D132" s="24"/>
      <c r="E132" s="24"/>
      <c r="F132" s="24"/>
      <c r="G132" s="24"/>
      <c r="H132"/>
    </row>
    <row r="133" spans="1:8" s="126" customFormat="1">
      <c r="A133" s="23"/>
      <c r="B133"/>
      <c r="C133"/>
      <c r="D133"/>
      <c r="E133"/>
      <c r="F133"/>
      <c r="G133"/>
      <c r="H133"/>
    </row>
    <row r="134" spans="1:8" s="126" customFormat="1">
      <c r="A134"/>
      <c r="B134"/>
      <c r="C134"/>
      <c r="D134"/>
      <c r="E134"/>
      <c r="F134"/>
      <c r="G134"/>
      <c r="H134"/>
    </row>
    <row r="135" spans="1:8" s="126" customFormat="1">
      <c r="A135" s="50"/>
      <c r="B135"/>
      <c r="C135"/>
      <c r="D135"/>
      <c r="E135"/>
      <c r="F135"/>
      <c r="G135"/>
      <c r="H135"/>
    </row>
    <row r="136" spans="1:8" s="126" customFormat="1">
      <c r="A136" s="1"/>
      <c r="B136"/>
      <c r="C136"/>
      <c r="D136"/>
      <c r="E136"/>
      <c r="F136"/>
      <c r="G136"/>
      <c r="H136"/>
    </row>
    <row r="137" spans="1:8" s="126" customFormat="1">
      <c r="A137" s="50"/>
      <c r="B137"/>
      <c r="C137"/>
      <c r="D137"/>
      <c r="E137"/>
      <c r="F137"/>
      <c r="G137"/>
      <c r="H137"/>
    </row>
    <row r="138" spans="1:8" s="126" customFormat="1">
      <c r="A138" s="50"/>
      <c r="B138"/>
      <c r="C138"/>
      <c r="D138"/>
      <c r="E138"/>
      <c r="F138"/>
      <c r="G138"/>
      <c r="H138"/>
    </row>
    <row r="139" spans="1:8" s="126" customFormat="1">
      <c r="A139" s="23"/>
      <c r="B139"/>
      <c r="C139"/>
      <c r="D139"/>
      <c r="E139"/>
      <c r="F139"/>
      <c r="G139"/>
      <c r="H139"/>
    </row>
    <row r="140" spans="1:8" s="126" customFormat="1">
      <c r="A140"/>
      <c r="B140"/>
      <c r="C140"/>
      <c r="D140"/>
      <c r="E140"/>
      <c r="F140"/>
      <c r="G140"/>
      <c r="H140"/>
    </row>
    <row r="141" spans="1:8" s="126" customFormat="1">
      <c r="A141" s="50"/>
      <c r="B141"/>
      <c r="C141"/>
      <c r="D141"/>
      <c r="E141"/>
      <c r="F141"/>
      <c r="G141"/>
      <c r="H141"/>
    </row>
    <row r="142" spans="1:8" s="126" customFormat="1">
      <c r="A142" s="1"/>
      <c r="B142"/>
      <c r="C142"/>
      <c r="D142"/>
      <c r="E142"/>
      <c r="F142"/>
      <c r="G142"/>
      <c r="H142"/>
    </row>
    <row r="143" spans="1:8" s="126" customFormat="1">
      <c r="A143" s="50"/>
      <c r="B143"/>
      <c r="C143"/>
      <c r="D143"/>
      <c r="E143"/>
      <c r="F143"/>
      <c r="G143"/>
      <c r="H143"/>
    </row>
    <row r="144" spans="1:8" s="126" customFormat="1">
      <c r="A144" s="50"/>
      <c r="B144"/>
      <c r="C144"/>
      <c r="D144"/>
      <c r="E144"/>
      <c r="F144"/>
      <c r="G144"/>
      <c r="H144"/>
    </row>
    <row r="145" spans="1:8" s="126" customFormat="1">
      <c r="A145" s="23"/>
      <c r="B145"/>
      <c r="C145"/>
      <c r="D145"/>
      <c r="E145"/>
      <c r="F145"/>
      <c r="G145"/>
      <c r="H145"/>
    </row>
    <row r="146" spans="1:8" s="126" customFormat="1">
      <c r="A146"/>
      <c r="B146"/>
      <c r="C146"/>
      <c r="D146"/>
      <c r="E146"/>
      <c r="F146"/>
      <c r="G146"/>
      <c r="H146"/>
    </row>
    <row r="147" spans="1:8" s="126" customFormat="1">
      <c r="A147" s="10"/>
      <c r="B147"/>
      <c r="C147"/>
      <c r="D147"/>
      <c r="E147"/>
      <c r="F147"/>
      <c r="G147"/>
      <c r="H147"/>
    </row>
    <row r="148" spans="1:8" s="126" customFormat="1">
      <c r="A148"/>
      <c r="B148"/>
      <c r="C148"/>
      <c r="D148"/>
      <c r="E148"/>
      <c r="F148"/>
      <c r="G148"/>
      <c r="H148"/>
    </row>
    <row r="149" spans="1:8" s="126" customFormat="1">
      <c r="A149"/>
      <c r="B149"/>
      <c r="C149"/>
      <c r="D149"/>
      <c r="E149"/>
      <c r="F149"/>
      <c r="G149"/>
      <c r="H149"/>
    </row>
    <row r="150" spans="1:8" s="126" customFormat="1">
      <c r="A150"/>
      <c r="B150"/>
      <c r="C150"/>
      <c r="D150"/>
      <c r="E150"/>
      <c r="F150"/>
      <c r="G150"/>
      <c r="H150"/>
    </row>
    <row r="151" spans="1:8" s="126" customFormat="1" ht="16">
      <c r="A151" s="19" t="s">
        <v>257</v>
      </c>
      <c r="B151"/>
      <c r="C151"/>
      <c r="D151"/>
      <c r="E151"/>
      <c r="F151"/>
      <c r="G151"/>
      <c r="H151"/>
    </row>
    <row r="152" spans="1:8" s="126" customFormat="1" ht="16">
      <c r="A152" s="20" t="s">
        <v>621</v>
      </c>
      <c r="B152"/>
      <c r="C152"/>
      <c r="D152"/>
      <c r="E152"/>
      <c r="F152"/>
      <c r="G152"/>
      <c r="H152"/>
    </row>
    <row r="153" spans="1:8" s="126" customFormat="1" ht="16">
      <c r="A153" s="21" t="s">
        <v>533</v>
      </c>
      <c r="B153"/>
      <c r="C153"/>
      <c r="D153"/>
      <c r="E153"/>
      <c r="F153"/>
      <c r="G153"/>
      <c r="H153"/>
    </row>
    <row r="154" spans="1:8" s="126" customFormat="1" ht="16">
      <c r="A154" s="12" t="s">
        <v>67</v>
      </c>
      <c r="B154"/>
      <c r="C154"/>
      <c r="D154"/>
      <c r="E154"/>
      <c r="F154"/>
      <c r="G154"/>
      <c r="H154"/>
    </row>
    <row r="155" spans="1:8" s="126" customFormat="1" ht="16">
      <c r="A155" s="21" t="s">
        <v>556</v>
      </c>
      <c r="B155"/>
      <c r="C155"/>
      <c r="D155"/>
      <c r="E155"/>
      <c r="F155"/>
      <c r="G155"/>
      <c r="H155"/>
    </row>
    <row r="156" spans="1:8" s="126" customFormat="1" ht="16">
      <c r="A156" s="12" t="s">
        <v>217</v>
      </c>
      <c r="B156"/>
      <c r="C156"/>
      <c r="D156"/>
      <c r="E156"/>
      <c r="F156"/>
      <c r="G156"/>
      <c r="H156"/>
    </row>
    <row r="157" spans="1:8" s="126" customFormat="1" ht="16">
      <c r="A157" s="12"/>
      <c r="B157"/>
      <c r="C157"/>
      <c r="D157"/>
      <c r="E157"/>
      <c r="F157"/>
      <c r="G157"/>
      <c r="H157"/>
    </row>
    <row r="158" spans="1:8" s="126" customFormat="1" ht="16">
      <c r="A158" s="20" t="s">
        <v>218</v>
      </c>
      <c r="B158"/>
      <c r="C158"/>
      <c r="D158"/>
      <c r="E158"/>
      <c r="F158"/>
      <c r="G158"/>
      <c r="H158"/>
    </row>
    <row r="159" spans="1:8" s="126" customFormat="1" ht="16">
      <c r="A159" s="21" t="s">
        <v>500</v>
      </c>
      <c r="B159"/>
      <c r="C159"/>
      <c r="D159"/>
      <c r="E159"/>
      <c r="F159"/>
      <c r="G159"/>
      <c r="H159"/>
    </row>
    <row r="160" spans="1:8" s="126" customFormat="1" ht="16">
      <c r="A160" s="12" t="s">
        <v>578</v>
      </c>
      <c r="B160"/>
      <c r="C160"/>
      <c r="D160"/>
      <c r="E160"/>
      <c r="F160"/>
      <c r="G160"/>
      <c r="H160"/>
    </row>
    <row r="161" spans="1:8" s="126" customFormat="1" ht="16">
      <c r="A161" s="21" t="s">
        <v>723</v>
      </c>
      <c r="B161"/>
      <c r="C161"/>
      <c r="D161"/>
      <c r="E161"/>
      <c r="F161"/>
      <c r="G161"/>
      <c r="H161"/>
    </row>
    <row r="162" spans="1:8" s="29" customFormat="1" ht="12.75" customHeight="1">
      <c r="A162" s="12" t="s">
        <v>217</v>
      </c>
      <c r="B162"/>
      <c r="C162"/>
      <c r="D162"/>
      <c r="E162"/>
      <c r="F162"/>
      <c r="G162"/>
      <c r="H162"/>
    </row>
    <row r="163" spans="1:8" s="29" customFormat="1" ht="12.75" customHeight="1">
      <c r="A163"/>
      <c r="B163"/>
      <c r="C163"/>
      <c r="D163"/>
      <c r="E163"/>
      <c r="F163"/>
      <c r="G163"/>
      <c r="H163"/>
    </row>
    <row r="164" spans="1:8" s="29" customFormat="1" ht="12.75" customHeight="1">
      <c r="A164"/>
      <c r="B164"/>
      <c r="C164"/>
      <c r="D164"/>
      <c r="E164"/>
      <c r="F164"/>
      <c r="G164"/>
      <c r="H164"/>
    </row>
    <row r="165" spans="1:8" s="29" customFormat="1" ht="12.75" customHeight="1">
      <c r="A165"/>
      <c r="B165"/>
      <c r="C165"/>
      <c r="D165"/>
      <c r="E165"/>
      <c r="F165"/>
      <c r="G165"/>
      <c r="H165"/>
    </row>
    <row r="166" spans="1:8" s="29" customFormat="1" ht="12.75" customHeight="1">
      <c r="A166"/>
      <c r="B166"/>
      <c r="C166"/>
      <c r="D166"/>
      <c r="E166"/>
      <c r="F166"/>
      <c r="G166"/>
      <c r="H166"/>
    </row>
    <row r="167" spans="1:8" s="29" customFormat="1" ht="12.75" customHeight="1">
      <c r="A167"/>
      <c r="B167"/>
      <c r="C167"/>
      <c r="D167"/>
      <c r="E167"/>
      <c r="F167"/>
      <c r="G167"/>
      <c r="H167"/>
    </row>
    <row r="168" spans="1:8" s="29" customFormat="1" ht="12.75" customHeight="1">
      <c r="A168"/>
      <c r="B168"/>
      <c r="C168"/>
      <c r="D168"/>
      <c r="E168"/>
      <c r="F168"/>
      <c r="G168"/>
      <c r="H168"/>
    </row>
    <row r="169" spans="1:8" s="29" customFormat="1" ht="12.75" customHeight="1">
      <c r="A169"/>
      <c r="B169"/>
      <c r="C169"/>
      <c r="D169"/>
      <c r="E169"/>
      <c r="F169"/>
      <c r="G169"/>
      <c r="H169"/>
    </row>
    <row r="170" spans="1:8" s="29" customFormat="1" ht="12.75" customHeight="1">
      <c r="A170"/>
      <c r="B170"/>
      <c r="C170"/>
      <c r="D170"/>
      <c r="E170"/>
      <c r="F170"/>
      <c r="G170"/>
      <c r="H170"/>
    </row>
    <row r="175" spans="1:8" s="29" customFormat="1" ht="15.75" customHeight="1">
      <c r="A175"/>
      <c r="B175"/>
      <c r="C175"/>
      <c r="D175"/>
      <c r="E175"/>
      <c r="F175"/>
      <c r="G175"/>
      <c r="H175"/>
    </row>
    <row r="176" spans="1:8" s="29" customFormat="1" ht="12.75" customHeight="1">
      <c r="A176"/>
      <c r="B176"/>
      <c r="C176"/>
      <c r="D176"/>
      <c r="E176"/>
      <c r="F176"/>
      <c r="G176"/>
      <c r="H176"/>
    </row>
    <row r="177" spans="1:8" s="29" customFormat="1" ht="13.5" customHeight="1">
      <c r="A177"/>
      <c r="B177"/>
      <c r="C177"/>
      <c r="D177"/>
      <c r="E177"/>
      <c r="F177"/>
      <c r="G177"/>
      <c r="H177"/>
    </row>
    <row r="178" spans="1:8" s="29" customFormat="1" ht="12.75" customHeight="1">
      <c r="A178"/>
      <c r="B178"/>
      <c r="C178"/>
      <c r="D178"/>
      <c r="E178"/>
      <c r="F178"/>
      <c r="G178"/>
      <c r="H178"/>
    </row>
    <row r="179" spans="1:8" s="29" customFormat="1">
      <c r="A179"/>
      <c r="B179"/>
      <c r="C179"/>
      <c r="D179"/>
      <c r="E179"/>
      <c r="F179"/>
      <c r="G179"/>
      <c r="H179"/>
    </row>
    <row r="180" spans="1:8" s="29" customFormat="1">
      <c r="A180"/>
      <c r="B180"/>
      <c r="C180"/>
      <c r="D180"/>
      <c r="E180"/>
      <c r="F180"/>
      <c r="G180"/>
      <c r="H180"/>
    </row>
    <row r="181" spans="1:8" s="29" customFormat="1">
      <c r="A181"/>
      <c r="B181"/>
      <c r="C181"/>
      <c r="D181"/>
      <c r="E181"/>
      <c r="F181"/>
      <c r="G181"/>
      <c r="H181"/>
    </row>
    <row r="182" spans="1:8" s="29" customFormat="1">
      <c r="A182"/>
      <c r="B182"/>
      <c r="C182"/>
      <c r="D182"/>
      <c r="E182"/>
      <c r="F182"/>
      <c r="G182"/>
      <c r="H182"/>
    </row>
    <row r="183" spans="1:8" s="29" customFormat="1">
      <c r="A183"/>
      <c r="B183"/>
      <c r="C183"/>
      <c r="D183"/>
      <c r="E183"/>
      <c r="F183"/>
      <c r="G183"/>
      <c r="H183"/>
    </row>
    <row r="184" spans="1:8" s="29" customFormat="1">
      <c r="A184"/>
      <c r="B184"/>
      <c r="C184"/>
      <c r="D184"/>
      <c r="E184"/>
      <c r="F184"/>
      <c r="G184"/>
      <c r="H184"/>
    </row>
    <row r="185" spans="1:8" s="29" customFormat="1">
      <c r="A185"/>
      <c r="B185"/>
      <c r="C185"/>
      <c r="D185"/>
      <c r="E185"/>
      <c r="F185"/>
      <c r="G185"/>
      <c r="H185"/>
    </row>
    <row r="186" spans="1:8" s="29" customFormat="1">
      <c r="A186"/>
      <c r="B186"/>
      <c r="C186"/>
      <c r="D186"/>
      <c r="E186"/>
      <c r="F186"/>
      <c r="G186"/>
      <c r="H186"/>
    </row>
    <row r="187" spans="1:8" s="29" customFormat="1">
      <c r="A187"/>
      <c r="B187"/>
      <c r="C187"/>
      <c r="D187"/>
      <c r="E187"/>
      <c r="F187"/>
      <c r="G187"/>
      <c r="H187"/>
    </row>
    <row r="188" spans="1:8" s="29" customFormat="1">
      <c r="A188"/>
      <c r="B188"/>
      <c r="C188"/>
      <c r="D188"/>
      <c r="E188"/>
      <c r="F188"/>
      <c r="G188"/>
      <c r="H188"/>
    </row>
    <row r="189" spans="1:8" s="126" customFormat="1">
      <c r="A189"/>
      <c r="B189"/>
      <c r="C189"/>
      <c r="D189"/>
      <c r="E189"/>
      <c r="F189"/>
      <c r="G189"/>
      <c r="H189"/>
    </row>
    <row r="190" spans="1:8" s="126" customFormat="1">
      <c r="A190"/>
      <c r="B190"/>
      <c r="C190"/>
      <c r="D190"/>
      <c r="E190"/>
      <c r="F190"/>
      <c r="G190"/>
      <c r="H190"/>
    </row>
    <row r="191" spans="1:8" s="50" customFormat="1">
      <c r="A191"/>
      <c r="B191"/>
      <c r="C191"/>
      <c r="D191"/>
      <c r="E191"/>
      <c r="F191"/>
      <c r="G191"/>
      <c r="H191"/>
    </row>
    <row r="192" spans="1:8" ht="5.25" customHeight="1"/>
    <row r="212" spans="1:8" s="29" customFormat="1">
      <c r="A212"/>
      <c r="B212"/>
      <c r="C212"/>
      <c r="D212"/>
      <c r="E212"/>
      <c r="F212"/>
      <c r="G212"/>
      <c r="H212"/>
    </row>
  </sheetData>
  <mergeCells count="16">
    <mergeCell ref="A1:H1"/>
    <mergeCell ref="A2:H4"/>
    <mergeCell ref="A21:H22"/>
    <mergeCell ref="A37:H38"/>
    <mergeCell ref="B41:H43"/>
    <mergeCell ref="B44:H45"/>
    <mergeCell ref="A86:H90"/>
    <mergeCell ref="B76:H76"/>
    <mergeCell ref="B73:H75"/>
    <mergeCell ref="B78:H80"/>
    <mergeCell ref="B46:H47"/>
    <mergeCell ref="B48:H49"/>
    <mergeCell ref="B51:H54"/>
    <mergeCell ref="B56:H58"/>
    <mergeCell ref="B59:H62"/>
    <mergeCell ref="B63:H64"/>
  </mergeCells>
  <phoneticPr fontId="54" type="noConversion"/>
  <pageMargins left="0.5" right="0.5" top="0.5" bottom="0.5" header="0.5" footer="0.5"/>
  <pageSetup orientation="portrait" horizontalDpi="4294967293" verticalDpi="4294967293"/>
  <headerFooter alignWithMargins="0"/>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112"/>
  <sheetViews>
    <sheetView topLeftCell="A21" zoomScale="125" zoomScaleNormal="125" workbookViewId="0">
      <selection activeCell="S7" sqref="S7"/>
    </sheetView>
  </sheetViews>
  <sheetFormatPr baseColWidth="10" defaultColWidth="8.83203125" defaultRowHeight="13"/>
  <cols>
    <col min="1" max="1" width="69.33203125" bestFit="1" customWidth="1"/>
    <col min="2" max="2" width="16.83203125" customWidth="1"/>
    <col min="3" max="7" width="12.83203125" hidden="1" customWidth="1"/>
    <col min="8" max="8" width="11.1640625" bestFit="1" customWidth="1"/>
    <col min="9" max="9" width="12" bestFit="1" customWidth="1"/>
    <col min="10" max="12" width="9.5" bestFit="1" customWidth="1"/>
    <col min="13" max="13" width="10" customWidth="1"/>
    <col min="14" max="14" width="9.5" bestFit="1" customWidth="1"/>
    <col min="15" max="15" width="11" customWidth="1"/>
    <col min="16" max="16" width="10.5" customWidth="1"/>
    <col min="17" max="17" width="15.1640625" customWidth="1"/>
    <col min="18" max="18" width="11.83203125" customWidth="1"/>
    <col min="19" max="19" width="16.1640625" customWidth="1"/>
    <col min="20" max="20" width="14.6640625" customWidth="1"/>
    <col min="21" max="21" width="12" customWidth="1"/>
    <col min="22" max="22" width="13.83203125" customWidth="1"/>
    <col min="23" max="23" width="16.33203125" customWidth="1"/>
  </cols>
  <sheetData>
    <row r="1" spans="1:20" ht="27.75" customHeight="1">
      <c r="A1" s="902" t="s">
        <v>867</v>
      </c>
      <c r="B1" s="840"/>
      <c r="C1" s="840"/>
      <c r="D1" s="840"/>
      <c r="E1" s="840"/>
      <c r="F1" s="840"/>
      <c r="G1" s="840"/>
      <c r="H1" s="840"/>
      <c r="I1" s="840"/>
      <c r="J1" s="394"/>
      <c r="K1" s="29"/>
      <c r="L1" s="29"/>
      <c r="M1" s="29"/>
      <c r="N1" s="29"/>
      <c r="O1" s="29"/>
      <c r="P1" s="29"/>
      <c r="Q1" s="223"/>
    </row>
    <row r="2" spans="1:20" s="2" customFormat="1" ht="12.75" customHeight="1">
      <c r="A2" s="839" t="s">
        <v>753</v>
      </c>
      <c r="B2" s="839"/>
      <c r="C2" s="839"/>
      <c r="D2" s="839"/>
      <c r="E2" s="839"/>
      <c r="F2" s="839"/>
      <c r="G2" s="839"/>
      <c r="H2" s="839"/>
      <c r="I2" s="839"/>
      <c r="J2" s="839"/>
    </row>
    <row r="3" spans="1:20">
      <c r="A3" s="839"/>
      <c r="B3" s="839"/>
      <c r="C3" s="839"/>
      <c r="D3" s="839"/>
      <c r="E3" s="839"/>
      <c r="F3" s="839"/>
      <c r="G3" s="839"/>
      <c r="H3" s="839"/>
      <c r="I3" s="839"/>
      <c r="J3" s="839"/>
      <c r="K3" s="10"/>
      <c r="L3" s="10"/>
      <c r="M3" s="10"/>
      <c r="N3" s="10"/>
      <c r="O3" s="10"/>
      <c r="P3" s="10"/>
    </row>
    <row r="4" spans="1:20">
      <c r="A4" s="839"/>
      <c r="B4" s="839"/>
      <c r="C4" s="839"/>
      <c r="D4" s="839"/>
      <c r="E4" s="839"/>
      <c r="F4" s="839"/>
      <c r="G4" s="839"/>
      <c r="H4" s="839"/>
      <c r="I4" s="839"/>
      <c r="J4" s="839"/>
      <c r="K4" s="22"/>
      <c r="L4" s="22"/>
      <c r="M4" s="22"/>
      <c r="N4" s="22"/>
      <c r="O4" s="22"/>
      <c r="P4" s="22"/>
      <c r="Q4" s="22"/>
      <c r="R4" s="22"/>
      <c r="S4" s="22"/>
      <c r="T4" s="22"/>
    </row>
    <row r="5" spans="1:20" ht="29" customHeight="1">
      <c r="A5" s="37"/>
      <c r="B5" s="37"/>
      <c r="C5" s="37"/>
      <c r="D5" s="37"/>
      <c r="E5" s="37"/>
      <c r="F5" s="37"/>
      <c r="G5" s="37"/>
      <c r="H5" s="37"/>
      <c r="I5" s="37"/>
      <c r="J5" s="22"/>
      <c r="K5" s="22"/>
      <c r="L5" s="22"/>
      <c r="M5" s="22"/>
      <c r="N5" s="22"/>
      <c r="O5" s="22"/>
      <c r="P5" s="22"/>
      <c r="Q5" s="22"/>
      <c r="R5" s="22"/>
      <c r="S5" s="22"/>
      <c r="T5" s="22"/>
    </row>
    <row r="6" spans="1:20" ht="17">
      <c r="A6" s="147" t="s">
        <v>1137</v>
      </c>
      <c r="B6" s="37"/>
      <c r="C6" s="37"/>
      <c r="D6" s="37"/>
      <c r="E6" s="37"/>
      <c r="F6" s="37"/>
      <c r="G6" s="37"/>
      <c r="H6" s="37" t="s">
        <v>629</v>
      </c>
      <c r="I6" s="37"/>
      <c r="J6" s="22"/>
      <c r="K6" s="22"/>
      <c r="L6" s="22"/>
      <c r="M6" s="22"/>
      <c r="N6" s="22"/>
      <c r="O6" s="22"/>
      <c r="P6" s="22"/>
      <c r="Q6" s="22"/>
      <c r="R6" s="22"/>
      <c r="S6" s="22"/>
      <c r="T6" s="22"/>
    </row>
    <row r="7" spans="1:20" ht="16">
      <c r="A7" s="147"/>
      <c r="B7" s="37"/>
      <c r="C7" s="37" t="s">
        <v>608</v>
      </c>
      <c r="D7" s="37" t="s">
        <v>609</v>
      </c>
      <c r="E7" s="37" t="s">
        <v>515</v>
      </c>
      <c r="F7" s="37" t="s">
        <v>409</v>
      </c>
      <c r="G7" s="37" t="s">
        <v>488</v>
      </c>
      <c r="H7" s="226" t="s">
        <v>310</v>
      </c>
      <c r="I7" s="226" t="s">
        <v>339</v>
      </c>
      <c r="J7" s="22" t="s">
        <v>731</v>
      </c>
      <c r="K7" s="22" t="s">
        <v>24</v>
      </c>
      <c r="L7" s="22" t="s">
        <v>1005</v>
      </c>
      <c r="M7" s="22" t="s">
        <v>970</v>
      </c>
      <c r="N7" s="22" t="s">
        <v>1008</v>
      </c>
      <c r="O7" s="22" t="s">
        <v>1124</v>
      </c>
      <c r="P7" s="22" t="s">
        <v>1154</v>
      </c>
      <c r="Q7" s="22" t="s">
        <v>1197</v>
      </c>
      <c r="R7" s="22"/>
      <c r="S7" s="22"/>
      <c r="T7" s="22"/>
    </row>
    <row r="8" spans="1:20">
      <c r="A8" s="470" t="s">
        <v>878</v>
      </c>
      <c r="B8" s="497"/>
      <c r="C8" s="498" t="e">
        <f>Summary!#REF!+Summary!#REF!</f>
        <v>#REF!</v>
      </c>
      <c r="D8" s="498" t="e">
        <f>Summary!#REF!+Summary!#REF!</f>
        <v>#REF!</v>
      </c>
      <c r="E8" s="498" t="e">
        <f>Summary!#REF!+Summary!#REF!</f>
        <v>#REF!</v>
      </c>
      <c r="F8" s="498" t="e">
        <f>Summary!#REF!+Summary!#REF!</f>
        <v>#REF!</v>
      </c>
      <c r="G8" s="498" t="e">
        <f>Summary!#REF!+Summary!#REF!</f>
        <v>#REF!</v>
      </c>
      <c r="H8" s="499">
        <f>Summary!B27+Summary!B29</f>
        <v>27226.466880000004</v>
      </c>
      <c r="I8" s="499">
        <f>Summary!C27+Summary!C29</f>
        <v>28624.410479999999</v>
      </c>
      <c r="J8" s="499">
        <f>Summary!D27+Summary!D29</f>
        <v>25726.735239999998</v>
      </c>
      <c r="K8" s="499">
        <f>Summary!E27+Summary!E29</f>
        <v>16347.210520000001</v>
      </c>
      <c r="L8" s="499">
        <f>Summary!F27+Summary!F29</f>
        <v>14358.198600000002</v>
      </c>
      <c r="M8" s="499">
        <f>Summary!G27+Summary!G29</f>
        <v>14125.438200000001</v>
      </c>
      <c r="N8" s="499">
        <f>Summary!H27+Summary!H29</f>
        <v>9854.4332799999993</v>
      </c>
      <c r="O8" s="499">
        <f>Summary!I27+Summary!I29</f>
        <v>10485.983920000001</v>
      </c>
      <c r="P8" s="499">
        <f>Summary!J27+Summary!J29</f>
        <v>10664.60664</v>
      </c>
      <c r="Q8" s="499">
        <f>Summary!K27+Summary!K29</f>
        <v>9694.936990000002</v>
      </c>
      <c r="R8" s="5"/>
      <c r="S8" s="5"/>
      <c r="T8" s="17"/>
    </row>
    <row r="9" spans="1:20">
      <c r="A9" s="63"/>
      <c r="B9" s="29"/>
      <c r="C9" s="651"/>
      <c r="D9" s="651"/>
      <c r="E9" s="651"/>
      <c r="F9" s="651"/>
      <c r="G9" s="651"/>
      <c r="H9" s="65"/>
      <c r="I9" s="65"/>
      <c r="J9" s="65"/>
      <c r="K9" s="469"/>
      <c r="L9" s="469"/>
      <c r="M9" s="469"/>
      <c r="N9" s="469"/>
      <c r="O9" s="469"/>
      <c r="P9" s="469"/>
      <c r="Q9" s="469"/>
      <c r="R9" s="5"/>
      <c r="S9" s="5"/>
      <c r="T9" s="17"/>
    </row>
    <row r="10" spans="1:20">
      <c r="A10" s="652" t="s">
        <v>1136</v>
      </c>
      <c r="B10" s="653"/>
      <c r="C10" s="654"/>
      <c r="D10" s="654"/>
      <c r="E10" s="654"/>
      <c r="F10" s="654"/>
      <c r="G10" s="654"/>
      <c r="H10" s="655">
        <f>Summary!B17</f>
        <v>28553.947315489033</v>
      </c>
      <c r="I10" s="655">
        <f>Summary!C17</f>
        <v>30643.66105534634</v>
      </c>
      <c r="J10" s="655">
        <f>Summary!D17</f>
        <v>27359.62008639325</v>
      </c>
      <c r="K10" s="655">
        <f>Summary!E17</f>
        <v>18115.573755487334</v>
      </c>
      <c r="L10" s="655">
        <f>Summary!F17</f>
        <v>16788.613884884111</v>
      </c>
      <c r="M10" s="655">
        <f>Summary!G17</f>
        <v>16785.945169875282</v>
      </c>
      <c r="N10" s="655">
        <f>Summary!H17</f>
        <v>12840.502877740069</v>
      </c>
      <c r="O10" s="655">
        <f>Summary!I17</f>
        <v>14075.112685750062</v>
      </c>
      <c r="P10" s="655">
        <f>Summary!J17</f>
        <v>14040.668310087089</v>
      </c>
      <c r="Q10" s="655">
        <f>Summary!K17</f>
        <v>12831.927677301308</v>
      </c>
      <c r="R10" s="5"/>
      <c r="S10" s="5"/>
      <c r="T10" s="17"/>
    </row>
    <row r="11" spans="1:20">
      <c r="A11" s="63"/>
      <c r="B11" s="29"/>
      <c r="C11" s="651"/>
      <c r="D11" s="651"/>
      <c r="E11" s="651"/>
      <c r="F11" s="651"/>
      <c r="G11" s="651"/>
      <c r="H11" s="65"/>
      <c r="I11" s="65"/>
      <c r="J11" s="65"/>
      <c r="K11" s="469"/>
      <c r="L11" s="469"/>
      <c r="M11" s="469"/>
      <c r="N11" s="469"/>
      <c r="O11" s="469"/>
      <c r="P11" s="5"/>
      <c r="Q11" s="5"/>
      <c r="R11" s="5"/>
      <c r="S11" s="5"/>
      <c r="T11" s="17"/>
    </row>
    <row r="12" spans="1:20" ht="15.75" customHeight="1">
      <c r="K12" s="84"/>
      <c r="L12" s="84"/>
    </row>
    <row r="13" spans="1:20" ht="16">
      <c r="A13" s="387" t="s">
        <v>78</v>
      </c>
      <c r="B13" s="37"/>
      <c r="C13" s="2" t="s">
        <v>629</v>
      </c>
      <c r="E13" s="37"/>
      <c r="F13" s="37"/>
      <c r="G13" s="37"/>
      <c r="H13" t="s">
        <v>629</v>
      </c>
    </row>
    <row r="14" spans="1:20" ht="15" customHeight="1">
      <c r="B14" s="209"/>
      <c r="C14" s="210" t="s">
        <v>901</v>
      </c>
      <c r="D14" s="209" t="s">
        <v>902</v>
      </c>
      <c r="E14" s="209" t="s">
        <v>903</v>
      </c>
      <c r="F14" s="209" t="s">
        <v>904</v>
      </c>
      <c r="G14" s="210" t="s">
        <v>905</v>
      </c>
      <c r="H14" s="22" t="s">
        <v>877</v>
      </c>
      <c r="I14" s="22" t="s">
        <v>339</v>
      </c>
      <c r="J14" s="10" t="s">
        <v>731</v>
      </c>
      <c r="K14" s="10" t="s">
        <v>24</v>
      </c>
      <c r="L14" s="10" t="s">
        <v>1005</v>
      </c>
      <c r="M14" s="10" t="s">
        <v>970</v>
      </c>
      <c r="N14" s="10" t="s">
        <v>1009</v>
      </c>
      <c r="O14" s="10" t="s">
        <v>1124</v>
      </c>
      <c r="P14" s="10" t="s">
        <v>1154</v>
      </c>
    </row>
    <row r="15" spans="1:20" ht="18" hidden="1" customHeight="1">
      <c r="A15" s="209"/>
      <c r="B15" s="209"/>
      <c r="C15" s="209"/>
      <c r="D15" s="209"/>
    </row>
    <row r="16" spans="1:20">
      <c r="A16" s="203" t="s">
        <v>125</v>
      </c>
      <c r="B16" s="212"/>
      <c r="C16" s="208"/>
      <c r="D16" s="213"/>
      <c r="E16" s="5">
        <v>2391</v>
      </c>
      <c r="F16" s="5">
        <v>2331</v>
      </c>
      <c r="G16" s="5">
        <v>2420</v>
      </c>
      <c r="H16" s="5">
        <v>2360</v>
      </c>
      <c r="I16" s="5">
        <v>2464</v>
      </c>
      <c r="J16" s="5">
        <v>2418</v>
      </c>
      <c r="K16" s="5">
        <v>2456</v>
      </c>
      <c r="L16" s="5">
        <f>AVERAGE(2462,2505)</f>
        <v>2483.5</v>
      </c>
      <c r="M16" s="572">
        <v>2480</v>
      </c>
      <c r="N16" s="384">
        <v>2493</v>
      </c>
      <c r="O16" s="384">
        <v>2477</v>
      </c>
      <c r="P16" s="384">
        <v>2508</v>
      </c>
    </row>
    <row r="17" spans="1:19">
      <c r="A17" s="203" t="s">
        <v>126</v>
      </c>
      <c r="B17" s="212"/>
      <c r="C17" s="214"/>
      <c r="D17" s="214"/>
      <c r="E17">
        <v>33</v>
      </c>
      <c r="F17">
        <v>26</v>
      </c>
      <c r="G17">
        <v>35</v>
      </c>
      <c r="H17" s="5">
        <v>32.5</v>
      </c>
      <c r="I17" s="5">
        <v>24.5</v>
      </c>
      <c r="J17" s="5">
        <v>20.5</v>
      </c>
      <c r="K17" s="5">
        <v>26</v>
      </c>
      <c r="L17" s="5">
        <f>AVERAGE(27,31)</f>
        <v>29</v>
      </c>
      <c r="M17" s="572">
        <v>27</v>
      </c>
      <c r="N17" s="384">
        <v>23</v>
      </c>
      <c r="O17" s="384">
        <v>18</v>
      </c>
      <c r="P17" s="384">
        <v>25</v>
      </c>
    </row>
    <row r="18" spans="1:19" s="47" customFormat="1">
      <c r="A18" s="126" t="s">
        <v>296</v>
      </c>
      <c r="B18" s="215"/>
      <c r="C18" s="216"/>
      <c r="D18" s="216"/>
      <c r="E18" s="5">
        <f t="shared" ref="E18:J18" si="0">SUM(E16:E17)</f>
        <v>2424</v>
      </c>
      <c r="F18" s="5">
        <f t="shared" si="0"/>
        <v>2357</v>
      </c>
      <c r="G18" s="5">
        <f t="shared" si="0"/>
        <v>2455</v>
      </c>
      <c r="H18" s="639">
        <f t="shared" si="0"/>
        <v>2392.5</v>
      </c>
      <c r="I18" s="639">
        <f t="shared" si="0"/>
        <v>2488.5</v>
      </c>
      <c r="J18" s="639">
        <f t="shared" si="0"/>
        <v>2438.5</v>
      </c>
      <c r="K18" s="640">
        <v>2482</v>
      </c>
      <c r="L18" s="640">
        <f>SUM(L16:L17)</f>
        <v>2512.5</v>
      </c>
      <c r="M18" s="641">
        <f>SUM(M16:M17)</f>
        <v>2507</v>
      </c>
      <c r="N18" s="639">
        <f>N17+N16</f>
        <v>2516</v>
      </c>
      <c r="O18" s="639">
        <f>O17+O16</f>
        <v>2495</v>
      </c>
      <c r="P18" s="593">
        <f>P16+P17</f>
        <v>2533</v>
      </c>
    </row>
    <row r="19" spans="1:19" s="47" customFormat="1">
      <c r="A19" s="63" t="s">
        <v>945</v>
      </c>
      <c r="B19" s="63"/>
      <c r="C19" s="468"/>
      <c r="D19" s="468"/>
      <c r="E19" s="63">
        <f t="shared" ref="E19:J19" si="1">E16+E17/3</f>
        <v>2402</v>
      </c>
      <c r="F19" s="63">
        <f t="shared" si="1"/>
        <v>2339.6666666666665</v>
      </c>
      <c r="G19" s="63">
        <f t="shared" si="1"/>
        <v>2431.6666666666665</v>
      </c>
      <c r="H19" s="660">
        <f t="shared" si="1"/>
        <v>2370.8333333333335</v>
      </c>
      <c r="I19" s="660">
        <f t="shared" si="1"/>
        <v>2472.1666666666665</v>
      </c>
      <c r="J19" s="660">
        <f t="shared" si="1"/>
        <v>2424.8333333333335</v>
      </c>
      <c r="K19" s="661">
        <f t="shared" ref="K19:P19" si="2">K16+K17/3</f>
        <v>2464.6666666666665</v>
      </c>
      <c r="L19" s="661">
        <f t="shared" si="2"/>
        <v>2493.1666666666665</v>
      </c>
      <c r="M19" s="661">
        <f t="shared" si="2"/>
        <v>2489</v>
      </c>
      <c r="N19" s="660">
        <f t="shared" si="2"/>
        <v>2500.6666666666665</v>
      </c>
      <c r="O19" s="660">
        <f t="shared" si="2"/>
        <v>2483</v>
      </c>
      <c r="P19" s="660">
        <f t="shared" si="2"/>
        <v>2516.3333333333335</v>
      </c>
    </row>
    <row r="20" spans="1:19">
      <c r="A20" s="470" t="s">
        <v>1138</v>
      </c>
      <c r="B20" s="501"/>
      <c r="C20" s="502"/>
      <c r="D20" s="502"/>
      <c r="E20" s="503" t="e">
        <f t="shared" ref="E20:J20" si="3">E8/E19</f>
        <v>#REF!</v>
      </c>
      <c r="F20" s="503" t="e">
        <f t="shared" si="3"/>
        <v>#REF!</v>
      </c>
      <c r="G20" s="503" t="e">
        <f t="shared" si="3"/>
        <v>#REF!</v>
      </c>
      <c r="H20" s="504">
        <f>H8/H19</f>
        <v>11.483922761335677</v>
      </c>
      <c r="I20" s="504">
        <f t="shared" si="3"/>
        <v>11.578673422773546</v>
      </c>
      <c r="J20" s="504">
        <f t="shared" si="3"/>
        <v>10.609692174032578</v>
      </c>
      <c r="K20" s="505">
        <f t="shared" ref="K20:P20" si="4">K8/K19</f>
        <v>6.632625312415473</v>
      </c>
      <c r="L20" s="505">
        <f t="shared" si="4"/>
        <v>5.7590207634200157</v>
      </c>
      <c r="M20" s="505">
        <f t="shared" si="4"/>
        <v>5.6751459220570508</v>
      </c>
      <c r="N20" s="505">
        <f t="shared" si="4"/>
        <v>3.9407224526792857</v>
      </c>
      <c r="O20" s="505">
        <f t="shared" si="4"/>
        <v>4.2231107209021346</v>
      </c>
      <c r="P20" s="505">
        <f t="shared" si="4"/>
        <v>4.238153387203603</v>
      </c>
    </row>
    <row r="21" spans="1:19">
      <c r="A21" s="652" t="s">
        <v>1139</v>
      </c>
      <c r="B21" s="656"/>
      <c r="C21" s="657"/>
      <c r="D21" s="657"/>
      <c r="E21" s="658"/>
      <c r="F21" s="658"/>
      <c r="G21" s="658"/>
      <c r="H21" s="659">
        <f>H10/H19</f>
        <v>12.043844210399591</v>
      </c>
      <c r="I21" s="659">
        <f t="shared" ref="I21:O21" si="5">I10/I19</f>
        <v>12.395467291315178</v>
      </c>
      <c r="J21" s="659">
        <f t="shared" si="5"/>
        <v>11.283093031710735</v>
      </c>
      <c r="K21" s="659">
        <f t="shared" si="5"/>
        <v>7.3501110720127141</v>
      </c>
      <c r="L21" s="659">
        <f t="shared" si="5"/>
        <v>6.7338514144865744</v>
      </c>
      <c r="M21" s="659">
        <f t="shared" si="5"/>
        <v>6.7440518962938052</v>
      </c>
      <c r="N21" s="659">
        <f t="shared" si="5"/>
        <v>5.1348318625993352</v>
      </c>
      <c r="O21" s="659">
        <f t="shared" si="5"/>
        <v>5.6685914964760622</v>
      </c>
      <c r="P21" s="659">
        <f>P10/P19</f>
        <v>5.5798125487165535</v>
      </c>
    </row>
    <row r="23" spans="1:19" ht="16">
      <c r="A23" s="387" t="s">
        <v>917</v>
      </c>
      <c r="H23" s="37" t="s">
        <v>629</v>
      </c>
      <c r="I23" s="37"/>
      <c r="J23" s="22"/>
      <c r="K23" s="22"/>
      <c r="L23" s="22"/>
    </row>
    <row r="24" spans="1:19" ht="14">
      <c r="H24" s="226" t="s">
        <v>310</v>
      </c>
      <c r="I24" s="226" t="s">
        <v>339</v>
      </c>
      <c r="J24" s="22" t="s">
        <v>731</v>
      </c>
      <c r="K24" s="22" t="s">
        <v>24</v>
      </c>
      <c r="L24" s="22" t="s">
        <v>1005</v>
      </c>
      <c r="M24" s="22" t="s">
        <v>970</v>
      </c>
      <c r="N24" s="10" t="s">
        <v>1030</v>
      </c>
      <c r="O24" s="22" t="s">
        <v>1124</v>
      </c>
      <c r="P24" s="22" t="s">
        <v>1135</v>
      </c>
    </row>
    <row r="25" spans="1:19">
      <c r="H25" s="37"/>
      <c r="I25" s="37"/>
      <c r="J25" s="390"/>
      <c r="K25" s="390"/>
      <c r="L25" s="390"/>
      <c r="Q25">
        <f>2516+286</f>
        <v>2802</v>
      </c>
      <c r="S25">
        <f>R25+R29+R31+R37+R39+R43+R47+R49+R51+R53</f>
        <v>0</v>
      </c>
    </row>
    <row r="26" spans="1:19">
      <c r="A26" t="s">
        <v>1040</v>
      </c>
      <c r="H26" s="643">
        <v>0</v>
      </c>
      <c r="I26" s="643">
        <v>0</v>
      </c>
      <c r="J26" s="643">
        <v>0</v>
      </c>
      <c r="K26" s="643">
        <v>0</v>
      </c>
      <c r="L26" s="643">
        <v>0</v>
      </c>
      <c r="M26" s="643">
        <v>0</v>
      </c>
      <c r="N26" s="643">
        <v>0</v>
      </c>
      <c r="O26" s="643">
        <v>20</v>
      </c>
      <c r="P26" s="643">
        <v>27</v>
      </c>
    </row>
    <row r="27" spans="1:19">
      <c r="A27" t="s">
        <v>1041</v>
      </c>
      <c r="H27" s="643">
        <f>H26*(2/36)</f>
        <v>0</v>
      </c>
      <c r="I27" s="643">
        <f t="shared" ref="I27:P27" si="6">I26*(2/36)</f>
        <v>0</v>
      </c>
      <c r="J27" s="643">
        <f t="shared" si="6"/>
        <v>0</v>
      </c>
      <c r="K27" s="643">
        <f t="shared" si="6"/>
        <v>0</v>
      </c>
      <c r="L27" s="643">
        <f t="shared" si="6"/>
        <v>0</v>
      </c>
      <c r="M27" s="643">
        <f t="shared" si="6"/>
        <v>0</v>
      </c>
      <c r="N27" s="643">
        <f t="shared" si="6"/>
        <v>0</v>
      </c>
      <c r="O27" s="643">
        <f t="shared" si="6"/>
        <v>1.1111111111111112</v>
      </c>
      <c r="P27" s="643">
        <f t="shared" si="6"/>
        <v>1.5</v>
      </c>
    </row>
    <row r="28" spans="1:19">
      <c r="A28" t="s">
        <v>919</v>
      </c>
      <c r="H28" s="14">
        <v>10</v>
      </c>
      <c r="I28" s="14">
        <v>4</v>
      </c>
      <c r="J28" s="14">
        <v>14</v>
      </c>
      <c r="K28" s="14">
        <v>6</v>
      </c>
      <c r="L28" s="14">
        <v>5</v>
      </c>
      <c r="M28" s="644">
        <v>7</v>
      </c>
      <c r="N28" s="645">
        <v>7</v>
      </c>
      <c r="O28" s="645">
        <v>4</v>
      </c>
      <c r="P28" s="645">
        <v>14</v>
      </c>
    </row>
    <row r="29" spans="1:19">
      <c r="A29" t="s">
        <v>922</v>
      </c>
      <c r="H29" s="14">
        <f>H28*(3/36)</f>
        <v>0.83333333333333326</v>
      </c>
      <c r="I29" s="14">
        <f t="shared" ref="I29:P29" si="7">I28*(3/36)</f>
        <v>0.33333333333333331</v>
      </c>
      <c r="J29" s="14">
        <f t="shared" si="7"/>
        <v>1.1666666666666665</v>
      </c>
      <c r="K29" s="14">
        <f t="shared" si="7"/>
        <v>0.5</v>
      </c>
      <c r="L29" s="14">
        <f t="shared" si="7"/>
        <v>0.41666666666666663</v>
      </c>
      <c r="M29" s="14">
        <f t="shared" si="7"/>
        <v>0.58333333333333326</v>
      </c>
      <c r="N29" s="14">
        <f t="shared" si="7"/>
        <v>0.58333333333333326</v>
      </c>
      <c r="O29" s="14">
        <f t="shared" si="7"/>
        <v>0.33333333333333331</v>
      </c>
      <c r="P29" s="14">
        <f t="shared" si="7"/>
        <v>1.1666666666666665</v>
      </c>
    </row>
    <row r="30" spans="1:19">
      <c r="A30" t="s">
        <v>72</v>
      </c>
      <c r="H30" s="14">
        <v>0</v>
      </c>
      <c r="I30" s="14">
        <v>0</v>
      </c>
      <c r="J30" s="14">
        <v>0</v>
      </c>
      <c r="K30" s="14">
        <v>0</v>
      </c>
      <c r="L30" s="14">
        <v>0</v>
      </c>
      <c r="M30" s="646">
        <v>0</v>
      </c>
      <c r="N30" s="14">
        <v>19</v>
      </c>
      <c r="O30" s="14">
        <v>9</v>
      </c>
      <c r="P30" s="14">
        <v>0</v>
      </c>
    </row>
    <row r="31" spans="1:19">
      <c r="A31" t="s">
        <v>73</v>
      </c>
      <c r="H31" s="14">
        <f>H30*(4/36)</f>
        <v>0</v>
      </c>
      <c r="I31" s="14">
        <f t="shared" ref="I31:P31" si="8">I30*(4/36)</f>
        <v>0</v>
      </c>
      <c r="J31" s="14">
        <f t="shared" si="8"/>
        <v>0</v>
      </c>
      <c r="K31" s="14">
        <f t="shared" si="8"/>
        <v>0</v>
      </c>
      <c r="L31" s="14">
        <f t="shared" si="8"/>
        <v>0</v>
      </c>
      <c r="M31" s="14">
        <f t="shared" si="8"/>
        <v>0</v>
      </c>
      <c r="N31" s="14">
        <f t="shared" si="8"/>
        <v>2.1111111111111112</v>
      </c>
      <c r="O31" s="14">
        <f t="shared" si="8"/>
        <v>1</v>
      </c>
      <c r="P31" s="14">
        <f t="shared" si="8"/>
        <v>0</v>
      </c>
    </row>
    <row r="32" spans="1:19">
      <c r="A32" t="s">
        <v>918</v>
      </c>
      <c r="H32" s="14">
        <v>420</v>
      </c>
      <c r="I32" s="14">
        <v>460</v>
      </c>
      <c r="J32" s="14">
        <v>419</v>
      </c>
      <c r="K32" s="14">
        <v>462</v>
      </c>
      <c r="L32" s="14">
        <v>424</v>
      </c>
      <c r="M32" s="644">
        <v>441</v>
      </c>
      <c r="N32" s="645">
        <v>459</v>
      </c>
      <c r="O32" s="645">
        <v>445</v>
      </c>
      <c r="P32" s="645">
        <v>431</v>
      </c>
    </row>
    <row r="33" spans="1:16">
      <c r="A33" t="s">
        <v>1033</v>
      </c>
      <c r="H33" s="14">
        <f>H32*(6/36)</f>
        <v>70</v>
      </c>
      <c r="I33" s="14">
        <f t="shared" ref="I33:P33" si="9">I32*(6/36)</f>
        <v>76.666666666666657</v>
      </c>
      <c r="J33" s="14">
        <f t="shared" si="9"/>
        <v>69.833333333333329</v>
      </c>
      <c r="K33" s="14">
        <f t="shared" si="9"/>
        <v>77</v>
      </c>
      <c r="L33" s="14">
        <f t="shared" si="9"/>
        <v>70.666666666666657</v>
      </c>
      <c r="M33" s="14">
        <f t="shared" si="9"/>
        <v>73.5</v>
      </c>
      <c r="N33" s="14">
        <f t="shared" si="9"/>
        <v>76.5</v>
      </c>
      <c r="O33" s="14">
        <f t="shared" si="9"/>
        <v>74.166666666666657</v>
      </c>
      <c r="P33" s="14">
        <f t="shared" si="9"/>
        <v>71.833333333333329</v>
      </c>
    </row>
    <row r="34" spans="1:16">
      <c r="A34" t="s">
        <v>920</v>
      </c>
      <c r="H34" s="14">
        <v>461</v>
      </c>
      <c r="I34" s="14">
        <v>445</v>
      </c>
      <c r="J34" s="14">
        <v>481</v>
      </c>
      <c r="K34" s="14">
        <v>499</v>
      </c>
      <c r="L34" s="14">
        <v>542</v>
      </c>
      <c r="M34" s="644">
        <v>530</v>
      </c>
      <c r="N34" s="645">
        <v>495</v>
      </c>
      <c r="O34" s="645">
        <v>516</v>
      </c>
      <c r="P34" s="645">
        <v>511</v>
      </c>
    </row>
    <row r="35" spans="1:16">
      <c r="A35" t="s">
        <v>1034</v>
      </c>
      <c r="H35" s="14">
        <f>H34*(7/36)</f>
        <v>89.638888888888886</v>
      </c>
      <c r="I35" s="14">
        <f t="shared" ref="I35:P35" si="10">I34*(7/36)</f>
        <v>86.527777777777786</v>
      </c>
      <c r="J35" s="14">
        <f t="shared" si="10"/>
        <v>93.527777777777786</v>
      </c>
      <c r="K35" s="14">
        <f t="shared" si="10"/>
        <v>97.027777777777786</v>
      </c>
      <c r="L35" s="14">
        <f t="shared" si="10"/>
        <v>105.38888888888889</v>
      </c>
      <c r="M35" s="14">
        <f t="shared" si="10"/>
        <v>103.05555555555556</v>
      </c>
      <c r="N35" s="14">
        <f t="shared" si="10"/>
        <v>96.25</v>
      </c>
      <c r="O35" s="14">
        <f t="shared" si="10"/>
        <v>100.33333333333333</v>
      </c>
      <c r="P35" s="14">
        <f t="shared" si="10"/>
        <v>99.361111111111114</v>
      </c>
    </row>
    <row r="36" spans="1:16">
      <c r="A36" t="s">
        <v>1000</v>
      </c>
      <c r="H36" s="14">
        <v>0</v>
      </c>
      <c r="I36" s="14">
        <v>0</v>
      </c>
      <c r="J36" s="14">
        <v>0</v>
      </c>
      <c r="K36" s="14">
        <v>0</v>
      </c>
      <c r="L36" s="14">
        <v>0</v>
      </c>
      <c r="M36" s="14">
        <v>536</v>
      </c>
      <c r="N36" s="14">
        <v>514</v>
      </c>
      <c r="O36" s="14">
        <v>539</v>
      </c>
      <c r="P36" s="14">
        <v>505</v>
      </c>
    </row>
    <row r="37" spans="1:16">
      <c r="A37" t="s">
        <v>954</v>
      </c>
      <c r="H37" s="14">
        <f>H36*(8/36)</f>
        <v>0</v>
      </c>
      <c r="I37" s="14">
        <f t="shared" ref="I37:P37" si="11">I36*(8/36)</f>
        <v>0</v>
      </c>
      <c r="J37" s="14">
        <f t="shared" si="11"/>
        <v>0</v>
      </c>
      <c r="K37" s="14">
        <f t="shared" si="11"/>
        <v>0</v>
      </c>
      <c r="L37" s="14">
        <f t="shared" si="11"/>
        <v>0</v>
      </c>
      <c r="M37" s="14">
        <f t="shared" si="11"/>
        <v>119.1111111111111</v>
      </c>
      <c r="N37" s="14">
        <f t="shared" si="11"/>
        <v>114.22222222222221</v>
      </c>
      <c r="O37" s="14">
        <f t="shared" si="11"/>
        <v>119.77777777777777</v>
      </c>
      <c r="P37" s="14">
        <f t="shared" si="11"/>
        <v>112.22222222222221</v>
      </c>
    </row>
    <row r="38" spans="1:16">
      <c r="A38" t="s">
        <v>921</v>
      </c>
      <c r="H38" s="14">
        <v>439</v>
      </c>
      <c r="I38" s="14">
        <v>435</v>
      </c>
      <c r="J38" s="14">
        <v>440</v>
      </c>
      <c r="K38" s="14">
        <v>516</v>
      </c>
      <c r="L38" s="14">
        <v>536</v>
      </c>
      <c r="M38" s="14">
        <v>0</v>
      </c>
      <c r="N38" s="14">
        <v>0</v>
      </c>
      <c r="O38" s="14">
        <v>0</v>
      </c>
      <c r="P38" s="14">
        <v>0</v>
      </c>
    </row>
    <row r="39" spans="1:16">
      <c r="A39" t="s">
        <v>1035</v>
      </c>
      <c r="H39" s="647">
        <f>H38*(9/36)</f>
        <v>109.75</v>
      </c>
      <c r="I39" s="647">
        <f t="shared" ref="I39:P39" si="12">I38*(9/36)</f>
        <v>108.75</v>
      </c>
      <c r="J39" s="647">
        <f t="shared" si="12"/>
        <v>110</v>
      </c>
      <c r="K39" s="647">
        <f t="shared" si="12"/>
        <v>129</v>
      </c>
      <c r="L39" s="647">
        <f t="shared" si="12"/>
        <v>134</v>
      </c>
      <c r="M39" s="647">
        <f t="shared" si="12"/>
        <v>0</v>
      </c>
      <c r="N39" s="647">
        <f t="shared" si="12"/>
        <v>0</v>
      </c>
      <c r="O39" s="647">
        <f t="shared" si="12"/>
        <v>0</v>
      </c>
      <c r="P39" s="647">
        <f t="shared" si="12"/>
        <v>0</v>
      </c>
    </row>
    <row r="40" spans="1:16" ht="17" customHeight="1">
      <c r="A40" s="10" t="s">
        <v>908</v>
      </c>
      <c r="B40" s="8"/>
      <c r="C40" s="213"/>
      <c r="D40" s="213"/>
      <c r="E40" s="213"/>
      <c r="F40" s="213"/>
      <c r="G40" s="213"/>
      <c r="H40" s="648">
        <f>H39+H37+H35+H33+H31+H29+H27</f>
        <v>270.22222222222223</v>
      </c>
      <c r="I40" s="648">
        <f t="shared" ref="I40:P40" si="13">I39+I37+I35+I33+I31+I29+I27</f>
        <v>272.27777777777777</v>
      </c>
      <c r="J40" s="648">
        <f t="shared" si="13"/>
        <v>274.52777777777777</v>
      </c>
      <c r="K40" s="648">
        <f t="shared" si="13"/>
        <v>303.52777777777777</v>
      </c>
      <c r="L40" s="648">
        <f t="shared" si="13"/>
        <v>310.47222222222223</v>
      </c>
      <c r="M40" s="648">
        <f t="shared" si="13"/>
        <v>296.24999999999994</v>
      </c>
      <c r="N40" s="648">
        <f t="shared" si="13"/>
        <v>289.66666666666663</v>
      </c>
      <c r="O40" s="648">
        <f t="shared" si="13"/>
        <v>296.72222222222211</v>
      </c>
      <c r="P40" s="648">
        <f t="shared" si="13"/>
        <v>286.08333333333331</v>
      </c>
    </row>
    <row r="41" spans="1:16" ht="9.75" customHeight="1">
      <c r="A41" s="10"/>
      <c r="B41" s="8"/>
      <c r="C41" s="213"/>
      <c r="D41" s="213"/>
      <c r="E41" s="213"/>
      <c r="F41" s="213"/>
      <c r="G41" s="213"/>
      <c r="H41" s="14"/>
      <c r="I41" s="14"/>
      <c r="J41" s="14"/>
      <c r="K41" s="14"/>
      <c r="L41" s="14"/>
      <c r="M41" s="14"/>
      <c r="N41" s="14"/>
      <c r="O41" s="14"/>
      <c r="P41" s="14"/>
    </row>
    <row r="42" spans="1:16" ht="17" customHeight="1">
      <c r="A42" s="10" t="s">
        <v>1039</v>
      </c>
      <c r="B42" s="8"/>
      <c r="C42" s="213"/>
      <c r="D42" s="213"/>
      <c r="E42" s="213"/>
      <c r="F42" s="213"/>
      <c r="G42" s="213"/>
      <c r="H42" s="647">
        <v>229</v>
      </c>
      <c r="I42" s="647">
        <v>234</v>
      </c>
      <c r="J42" s="662">
        <v>245</v>
      </c>
      <c r="K42" s="647">
        <v>276</v>
      </c>
      <c r="L42" s="662">
        <v>282</v>
      </c>
      <c r="M42" s="662">
        <v>286</v>
      </c>
      <c r="N42" s="647">
        <v>292</v>
      </c>
      <c r="O42" s="663">
        <v>304</v>
      </c>
      <c r="P42" s="647">
        <v>285</v>
      </c>
    </row>
    <row r="43" spans="1:16" ht="5" customHeight="1">
      <c r="A43" s="10"/>
      <c r="B43" s="8"/>
      <c r="C43" s="213"/>
      <c r="D43" s="213"/>
      <c r="E43" s="213"/>
      <c r="F43" s="213"/>
      <c r="G43" s="213"/>
      <c r="H43" s="648"/>
      <c r="I43" s="648"/>
      <c r="J43" s="14"/>
      <c r="K43" s="648"/>
      <c r="L43" s="648"/>
      <c r="M43" s="14"/>
      <c r="N43" s="14"/>
      <c r="O43" s="14"/>
      <c r="P43" s="14"/>
    </row>
    <row r="44" spans="1:16" ht="17" customHeight="1">
      <c r="A44" s="652" t="s">
        <v>1140</v>
      </c>
      <c r="B44" s="664"/>
      <c r="C44" s="665"/>
      <c r="D44" s="665"/>
      <c r="E44" s="665"/>
      <c r="F44" s="665"/>
      <c r="G44" s="665"/>
      <c r="H44" s="666">
        <f t="shared" ref="H44:P44" si="14">H8/(H19+H40)</f>
        <v>10.308933798355035</v>
      </c>
      <c r="I44" s="666">
        <f t="shared" si="14"/>
        <v>10.429947138461538</v>
      </c>
      <c r="J44" s="666">
        <f t="shared" si="14"/>
        <v>9.5306756602899849</v>
      </c>
      <c r="K44" s="666">
        <f t="shared" si="14"/>
        <v>5.9053693113240682</v>
      </c>
      <c r="L44" s="666">
        <f t="shared" si="14"/>
        <v>5.1212724494952004</v>
      </c>
      <c r="M44" s="666">
        <f t="shared" si="14"/>
        <v>5.0715153756395299</v>
      </c>
      <c r="N44" s="666">
        <f t="shared" si="14"/>
        <v>3.5316329996416198</v>
      </c>
      <c r="O44" s="666">
        <f t="shared" si="14"/>
        <v>3.7723135916858204</v>
      </c>
      <c r="P44" s="666">
        <f t="shared" si="14"/>
        <v>3.8055035737012695</v>
      </c>
    </row>
    <row r="45" spans="1:16" ht="17" customHeight="1">
      <c r="A45" s="652" t="s">
        <v>1141</v>
      </c>
      <c r="B45" s="664"/>
      <c r="C45" s="665"/>
      <c r="D45" s="665"/>
      <c r="E45" s="665"/>
      <c r="F45" s="665"/>
      <c r="G45" s="665"/>
      <c r="H45" s="667">
        <f>H10/(H19+H40)</f>
        <v>10.811566328252647</v>
      </c>
      <c r="I45" s="667">
        <f t="shared" ref="I45:P45" si="15">I10/(I19+I40)</f>
        <v>11.165706457413647</v>
      </c>
      <c r="J45" s="667">
        <f t="shared" si="15"/>
        <v>10.135590964015734</v>
      </c>
      <c r="K45" s="667">
        <f t="shared" si="15"/>
        <v>6.5441839867296574</v>
      </c>
      <c r="L45" s="667">
        <f t="shared" si="15"/>
        <v>5.9881513098634516</v>
      </c>
      <c r="M45" s="667">
        <f t="shared" si="15"/>
        <v>6.0267283618616938</v>
      </c>
      <c r="N45" s="667">
        <f t="shared" si="15"/>
        <v>4.6017809859300218</v>
      </c>
      <c r="O45" s="667">
        <f t="shared" si="15"/>
        <v>5.0634961195863122</v>
      </c>
      <c r="P45" s="667">
        <f t="shared" si="15"/>
        <v>5.0102001165971348</v>
      </c>
    </row>
    <row r="46" spans="1:16" ht="17" customHeight="1">
      <c r="A46" s="10"/>
      <c r="B46" s="8"/>
      <c r="C46" s="213"/>
      <c r="D46" s="213"/>
      <c r="E46" s="213"/>
      <c r="F46" s="213"/>
      <c r="G46" s="213"/>
      <c r="H46" s="31"/>
      <c r="I46" s="31"/>
      <c r="J46" s="31"/>
      <c r="K46" s="31"/>
      <c r="L46" s="31"/>
      <c r="M46" s="31"/>
    </row>
    <row r="47" spans="1:16" ht="16">
      <c r="A47" s="387" t="s">
        <v>124</v>
      </c>
      <c r="B47" s="217"/>
      <c r="C47" s="218" t="s">
        <v>629</v>
      </c>
      <c r="D47" s="218"/>
      <c r="E47" s="218"/>
      <c r="F47" s="218"/>
      <c r="G47" s="218"/>
      <c r="H47" s="218" t="s">
        <v>629</v>
      </c>
      <c r="I47" s="214"/>
    </row>
    <row r="48" spans="1:16" ht="16">
      <c r="A48" s="387"/>
      <c r="B48" s="217"/>
      <c r="C48" s="218" t="s">
        <v>608</v>
      </c>
      <c r="D48" s="37" t="s">
        <v>609</v>
      </c>
      <c r="E48" s="37" t="s">
        <v>515</v>
      </c>
      <c r="F48" s="37" t="s">
        <v>409</v>
      </c>
      <c r="G48" s="37" t="s">
        <v>488</v>
      </c>
      <c r="H48" s="226" t="s">
        <v>310</v>
      </c>
      <c r="I48" s="226" t="s">
        <v>339</v>
      </c>
      <c r="J48" s="22" t="s">
        <v>731</v>
      </c>
      <c r="K48" s="22" t="s">
        <v>1029</v>
      </c>
      <c r="L48" s="22" t="s">
        <v>953</v>
      </c>
      <c r="M48" s="22" t="s">
        <v>998</v>
      </c>
      <c r="N48" s="10" t="s">
        <v>1030</v>
      </c>
      <c r="O48" s="22" t="s">
        <v>1124</v>
      </c>
      <c r="P48" s="10" t="s">
        <v>1154</v>
      </c>
    </row>
    <row r="49" spans="1:17" ht="6.75" customHeight="1">
      <c r="A49" s="212"/>
      <c r="B49" s="212"/>
      <c r="C49" s="214"/>
      <c r="D49" s="214"/>
      <c r="E49" s="214"/>
      <c r="F49" s="214"/>
      <c r="G49" s="214"/>
      <c r="H49" s="214"/>
      <c r="I49" s="214"/>
    </row>
    <row r="50" spans="1:17">
      <c r="A50" s="203" t="s">
        <v>334</v>
      </c>
      <c r="B50" s="219"/>
      <c r="C50" s="220"/>
      <c r="D50" s="220"/>
      <c r="E50" s="220">
        <v>282</v>
      </c>
      <c r="F50" s="220">
        <v>283</v>
      </c>
      <c r="G50" s="220">
        <v>305</v>
      </c>
      <c r="H50" s="220">
        <v>286</v>
      </c>
      <c r="I50" s="220">
        <v>319</v>
      </c>
      <c r="J50" s="220">
        <v>290</v>
      </c>
      <c r="K50" s="220">
        <v>320</v>
      </c>
      <c r="L50" s="220">
        <v>312</v>
      </c>
      <c r="M50" s="572">
        <v>332</v>
      </c>
      <c r="N50" s="575">
        <v>310</v>
      </c>
      <c r="O50">
        <v>335</v>
      </c>
      <c r="P50" s="685">
        <v>305</v>
      </c>
      <c r="Q50" s="5">
        <f>P50+P51+P54</f>
        <v>396.84615384615387</v>
      </c>
    </row>
    <row r="51" spans="1:17">
      <c r="A51" s="225" t="s">
        <v>335</v>
      </c>
      <c r="B51" s="219"/>
      <c r="C51" s="220"/>
      <c r="D51" s="220"/>
      <c r="E51" s="220">
        <v>30</v>
      </c>
      <c r="F51" s="220">
        <v>32</v>
      </c>
      <c r="G51" s="220">
        <v>15</v>
      </c>
      <c r="H51" s="220">
        <v>15</v>
      </c>
      <c r="I51" s="220">
        <v>14</v>
      </c>
      <c r="J51" s="220">
        <v>19</v>
      </c>
      <c r="K51" s="220">
        <v>17</v>
      </c>
      <c r="L51" s="220">
        <v>17</v>
      </c>
      <c r="M51" s="572">
        <v>17</v>
      </c>
      <c r="N51" s="220">
        <v>25</v>
      </c>
      <c r="O51">
        <v>16</v>
      </c>
      <c r="P51" s="685">
        <v>48</v>
      </c>
    </row>
    <row r="52" spans="1:17">
      <c r="A52" s="203" t="s">
        <v>332</v>
      </c>
      <c r="B52" s="219"/>
      <c r="C52" s="220"/>
      <c r="D52" s="220"/>
      <c r="E52" s="220">
        <v>747</v>
      </c>
      <c r="F52" s="386">
        <v>755</v>
      </c>
      <c r="G52" s="220">
        <v>797</v>
      </c>
      <c r="H52" s="220">
        <v>812</v>
      </c>
      <c r="I52" s="220">
        <v>795</v>
      </c>
      <c r="J52" s="220">
        <v>839</v>
      </c>
      <c r="K52" s="220">
        <v>757</v>
      </c>
      <c r="L52" s="220">
        <v>719</v>
      </c>
      <c r="M52" s="572">
        <v>728</v>
      </c>
      <c r="N52" s="220">
        <v>787</v>
      </c>
      <c r="O52">
        <v>790</v>
      </c>
      <c r="P52" s="685">
        <v>838</v>
      </c>
    </row>
    <row r="53" spans="1:17">
      <c r="A53" s="203" t="s">
        <v>123</v>
      </c>
      <c r="B53" s="219"/>
      <c r="C53" s="220"/>
      <c r="D53" s="220"/>
      <c r="E53" s="220">
        <v>414</v>
      </c>
      <c r="F53" s="220">
        <v>472</v>
      </c>
      <c r="G53" s="220">
        <v>62</v>
      </c>
      <c r="H53" s="220">
        <v>73</v>
      </c>
      <c r="I53" s="220">
        <v>94</v>
      </c>
      <c r="J53" s="220">
        <v>69</v>
      </c>
      <c r="K53" s="220">
        <v>108</v>
      </c>
      <c r="L53" s="220">
        <v>66</v>
      </c>
      <c r="M53" s="572">
        <v>75</v>
      </c>
      <c r="N53" s="220">
        <v>66</v>
      </c>
      <c r="O53">
        <v>62</v>
      </c>
      <c r="P53" s="685">
        <v>60</v>
      </c>
    </row>
    <row r="54" spans="1:17">
      <c r="A54" s="570" t="s">
        <v>1042</v>
      </c>
      <c r="B54" s="219"/>
      <c r="C54" s="220"/>
      <c r="D54" s="220"/>
      <c r="E54" s="220"/>
      <c r="F54" s="220"/>
      <c r="G54" s="220"/>
      <c r="H54" s="642">
        <f t="shared" ref="H54:P54" si="16">H42*(8/52)</f>
        <v>35.230769230769234</v>
      </c>
      <c r="I54" s="642">
        <f t="shared" si="16"/>
        <v>36</v>
      </c>
      <c r="J54" s="642">
        <f t="shared" si="16"/>
        <v>37.692307692307693</v>
      </c>
      <c r="K54" s="642">
        <f t="shared" si="16"/>
        <v>42.461538461538467</v>
      </c>
      <c r="L54" s="642">
        <f t="shared" si="16"/>
        <v>43.384615384615387</v>
      </c>
      <c r="M54" s="642">
        <f t="shared" si="16"/>
        <v>44</v>
      </c>
      <c r="N54" s="642">
        <f t="shared" si="16"/>
        <v>44.923076923076927</v>
      </c>
      <c r="O54" s="642">
        <f t="shared" si="16"/>
        <v>46.769230769230774</v>
      </c>
      <c r="P54" s="642">
        <f t="shared" si="16"/>
        <v>43.846153846153847</v>
      </c>
    </row>
    <row r="55" spans="1:17">
      <c r="A55" s="10" t="s">
        <v>296</v>
      </c>
      <c r="B55" s="221"/>
      <c r="C55" s="222"/>
      <c r="D55" s="222"/>
      <c r="E55" s="51">
        <v>1473</v>
      </c>
      <c r="F55" s="51">
        <v>1542</v>
      </c>
      <c r="G55" s="51">
        <v>1179</v>
      </c>
      <c r="H55" s="11">
        <v>1186</v>
      </c>
      <c r="I55" s="11">
        <v>1222</v>
      </c>
      <c r="J55" s="11">
        <f>SUM(J50:J53)</f>
        <v>1217</v>
      </c>
      <c r="K55" s="11">
        <f>SUM(K50:K53)</f>
        <v>1202</v>
      </c>
      <c r="L55" s="11">
        <f>SUM(L50:L53)</f>
        <v>1114</v>
      </c>
      <c r="M55" s="649">
        <f>SUM(M50:M53)</f>
        <v>1152</v>
      </c>
      <c r="N55" s="11">
        <f>SUM(N50:N54)</f>
        <v>1232.9230769230769</v>
      </c>
      <c r="O55" s="11">
        <f>SUM(O50:O54)</f>
        <v>1249.7692307692307</v>
      </c>
      <c r="P55" s="11">
        <f>SUM(P50:P54)</f>
        <v>1294.8461538461538</v>
      </c>
    </row>
    <row r="56" spans="1:17">
      <c r="A56" s="470" t="s">
        <v>880</v>
      </c>
      <c r="B56" s="497"/>
      <c r="C56" s="497"/>
      <c r="D56" s="497"/>
      <c r="E56" s="500">
        <f t="shared" ref="E56:K56" si="17">E50+(E51)/3+E52+(E53)/3</f>
        <v>1177</v>
      </c>
      <c r="F56" s="500">
        <f t="shared" si="17"/>
        <v>1206</v>
      </c>
      <c r="G56" s="500">
        <f t="shared" si="17"/>
        <v>1127.6666666666667</v>
      </c>
      <c r="H56" s="472">
        <f t="shared" si="17"/>
        <v>1127.3333333333333</v>
      </c>
      <c r="I56" s="472">
        <f t="shared" si="17"/>
        <v>1150</v>
      </c>
      <c r="J56" s="472">
        <f t="shared" si="17"/>
        <v>1158.3333333333333</v>
      </c>
      <c r="K56" s="472">
        <f t="shared" si="17"/>
        <v>1118.6666666666667</v>
      </c>
      <c r="L56" s="472">
        <f>L50+(L51)/3+L52+(L53)/3</f>
        <v>1058.6666666666667</v>
      </c>
      <c r="M56" s="472">
        <f>M50+(M51)/3+M52+(M53)/3</f>
        <v>1090.6666666666667</v>
      </c>
      <c r="N56" s="472">
        <f>N50+(N51)/3+N52+(N53)/3</f>
        <v>1127.3333333333333</v>
      </c>
      <c r="O56" s="472">
        <f>O50+(O51)/3+O52+(O53)/3</f>
        <v>1151</v>
      </c>
      <c r="P56" s="472">
        <f>P50+(P51)/3+P52+(P53)/3</f>
        <v>1179</v>
      </c>
    </row>
    <row r="57" spans="1:17">
      <c r="A57" s="470" t="s">
        <v>1142</v>
      </c>
      <c r="B57" s="497"/>
      <c r="C57" s="497"/>
      <c r="D57" s="497"/>
      <c r="E57" s="500"/>
      <c r="F57" s="500"/>
      <c r="G57" s="500"/>
      <c r="H57" s="472">
        <f t="shared" ref="H57:M57" si="18">H8/H56</f>
        <v>24.151212489651098</v>
      </c>
      <c r="I57" s="472">
        <f t="shared" si="18"/>
        <v>24.890791721739131</v>
      </c>
      <c r="J57" s="472">
        <f t="shared" si="18"/>
        <v>22.210131142446041</v>
      </c>
      <c r="K57" s="472">
        <f t="shared" si="18"/>
        <v>14.613120250297973</v>
      </c>
      <c r="L57" s="472">
        <f t="shared" si="18"/>
        <v>13.56253016372796</v>
      </c>
      <c r="M57" s="472">
        <f t="shared" si="18"/>
        <v>12.951196393643031</v>
      </c>
      <c r="N57" s="472">
        <f>N8/N56</f>
        <v>8.7413660082791242</v>
      </c>
      <c r="O57" s="472">
        <f>O8/O56</f>
        <v>9.1103248653344924</v>
      </c>
      <c r="P57" s="472">
        <f>P8/P56</f>
        <v>9.0454678880407116</v>
      </c>
    </row>
    <row r="58" spans="1:17">
      <c r="A58" s="470" t="s">
        <v>1143</v>
      </c>
      <c r="B58" s="497"/>
      <c r="C58" s="497"/>
      <c r="D58" s="497"/>
      <c r="E58" s="500"/>
      <c r="F58" s="500"/>
      <c r="G58" s="500"/>
      <c r="H58" s="472">
        <f>H10/H56</f>
        <v>25.328752793159996</v>
      </c>
      <c r="I58" s="472">
        <f t="shared" ref="I58:O58" si="19">I10/I56</f>
        <v>26.646661787257688</v>
      </c>
      <c r="J58" s="472">
        <f t="shared" si="19"/>
        <v>23.61981590192223</v>
      </c>
      <c r="K58" s="472">
        <f t="shared" si="19"/>
        <v>16.193897874392729</v>
      </c>
      <c r="L58" s="472">
        <f t="shared" si="19"/>
        <v>15.858262485721767</v>
      </c>
      <c r="M58" s="472">
        <f t="shared" si="19"/>
        <v>15.390536524946773</v>
      </c>
      <c r="N58" s="472">
        <f t="shared" si="19"/>
        <v>11.390156307871145</v>
      </c>
      <c r="O58" s="472">
        <f t="shared" si="19"/>
        <v>12.228594861642105</v>
      </c>
      <c r="P58" s="472">
        <f>P10/P56</f>
        <v>11.908963791422467</v>
      </c>
    </row>
    <row r="59" spans="1:17" ht="21" customHeight="1">
      <c r="A59" s="126"/>
      <c r="B59" s="29"/>
      <c r="C59" s="29"/>
      <c r="D59" s="29"/>
      <c r="E59" s="126"/>
      <c r="F59" s="126"/>
      <c r="G59" s="126"/>
      <c r="H59" s="444"/>
      <c r="I59" s="126"/>
      <c r="J59" s="444"/>
      <c r="M59" s="10"/>
      <c r="N59" s="10"/>
      <c r="O59" s="10"/>
    </row>
    <row r="60" spans="1:17" ht="16">
      <c r="A60" s="387" t="s">
        <v>946</v>
      </c>
      <c r="B60" s="29"/>
      <c r="C60" s="29"/>
      <c r="D60" s="29"/>
      <c r="E60" s="126"/>
      <c r="F60" s="126"/>
      <c r="G60" s="126"/>
      <c r="H60" s="218" t="s">
        <v>629</v>
      </c>
      <c r="I60" s="126"/>
      <c r="J60" s="444"/>
      <c r="M60" s="10"/>
      <c r="N60" s="10"/>
      <c r="O60" s="10"/>
    </row>
    <row r="61" spans="1:17" ht="16">
      <c r="A61" s="387"/>
      <c r="B61" s="29"/>
      <c r="C61" s="29"/>
      <c r="D61" s="29"/>
      <c r="E61" s="126"/>
      <c r="F61" s="126"/>
      <c r="G61" s="126"/>
      <c r="H61" s="226" t="s">
        <v>310</v>
      </c>
      <c r="I61" s="226" t="s">
        <v>339</v>
      </c>
      <c r="J61" s="22" t="s">
        <v>731</v>
      </c>
      <c r="K61" s="10" t="s">
        <v>24</v>
      </c>
      <c r="L61" s="10" t="s">
        <v>1005</v>
      </c>
      <c r="M61" s="10" t="s">
        <v>93</v>
      </c>
      <c r="N61" s="10" t="s">
        <v>956</v>
      </c>
      <c r="O61" s="10" t="s">
        <v>1124</v>
      </c>
      <c r="P61" s="10" t="s">
        <v>1135</v>
      </c>
    </row>
    <row r="62" spans="1:17" ht="8" customHeight="1">
      <c r="A62" s="387"/>
      <c r="B62" s="29"/>
      <c r="C62" s="29"/>
      <c r="D62" s="29"/>
      <c r="E62" s="126"/>
      <c r="F62" s="126"/>
      <c r="G62" s="126"/>
      <c r="H62" s="444"/>
      <c r="I62" s="126"/>
      <c r="J62" s="444"/>
      <c r="M62" s="10"/>
      <c r="N62" s="10"/>
      <c r="O62" s="10"/>
      <c r="P62" s="10"/>
    </row>
    <row r="63" spans="1:17">
      <c r="A63" s="500" t="s">
        <v>879</v>
      </c>
      <c r="B63" s="497"/>
      <c r="C63" s="497"/>
      <c r="D63" s="497"/>
      <c r="E63" s="500">
        <f>E56+E19</f>
        <v>3579</v>
      </c>
      <c r="F63" s="500">
        <f>F56+F19</f>
        <v>3545.6666666666665</v>
      </c>
      <c r="G63" s="500">
        <f>G56+G19</f>
        <v>3559.333333333333</v>
      </c>
      <c r="H63" s="650">
        <f t="shared" ref="H63:M63" si="20">H56+H40+H19</f>
        <v>3768.3888888888887</v>
      </c>
      <c r="I63" s="650">
        <f t="shared" si="20"/>
        <v>3894.4444444444443</v>
      </c>
      <c r="J63" s="650">
        <f t="shared" si="20"/>
        <v>3857.6944444444443</v>
      </c>
      <c r="K63" s="650">
        <f t="shared" si="20"/>
        <v>3886.8611111111113</v>
      </c>
      <c r="L63" s="650">
        <f t="shared" si="20"/>
        <v>3862.3055555555557</v>
      </c>
      <c r="M63" s="650">
        <f t="shared" si="20"/>
        <v>3875.916666666667</v>
      </c>
      <c r="N63" s="667">
        <f>N56+N40+N19</f>
        <v>3917.6666666666665</v>
      </c>
      <c r="O63" s="667">
        <f>O56+O40+O19</f>
        <v>3930.7222222222222</v>
      </c>
      <c r="P63" s="667">
        <f>P56+P40+P19</f>
        <v>3981.416666666667</v>
      </c>
    </row>
    <row r="64" spans="1:17">
      <c r="A64" s="470" t="s">
        <v>1145</v>
      </c>
      <c r="B64" s="497"/>
      <c r="C64" s="497"/>
      <c r="D64" s="497"/>
      <c r="E64" s="506" t="e">
        <f t="shared" ref="E64:O64" si="21">E8/E63</f>
        <v>#REF!</v>
      </c>
      <c r="F64" s="506" t="e">
        <f t="shared" si="21"/>
        <v>#REF!</v>
      </c>
      <c r="G64" s="506" t="e">
        <f t="shared" si="21"/>
        <v>#REF!</v>
      </c>
      <c r="H64" s="650">
        <f t="shared" si="21"/>
        <v>7.2249620946175064</v>
      </c>
      <c r="I64" s="650">
        <f t="shared" si="21"/>
        <v>7.3500626054208276</v>
      </c>
      <c r="J64" s="650">
        <f t="shared" si="21"/>
        <v>6.6689406355264005</v>
      </c>
      <c r="K64" s="650">
        <f t="shared" si="21"/>
        <v>4.2057614235994478</v>
      </c>
      <c r="L64" s="650">
        <f t="shared" si="21"/>
        <v>3.7175201167984007</v>
      </c>
      <c r="M64" s="650">
        <f t="shared" si="21"/>
        <v>3.6444122551654448</v>
      </c>
      <c r="N64" s="650">
        <f t="shared" si="21"/>
        <v>2.5153832927763125</v>
      </c>
      <c r="O64" s="650">
        <f t="shared" si="21"/>
        <v>2.6676990454115024</v>
      </c>
      <c r="P64" s="650">
        <f>P8/P63</f>
        <v>2.6785959704460303</v>
      </c>
    </row>
    <row r="65" spans="1:18">
      <c r="A65" s="470" t="s">
        <v>1144</v>
      </c>
      <c r="B65" s="497"/>
      <c r="C65" s="497"/>
      <c r="D65" s="497"/>
      <c r="E65" s="506"/>
      <c r="F65" s="506"/>
      <c r="G65" s="506"/>
      <c r="H65" s="650">
        <f>H10/H63</f>
        <v>7.5772294626174261</v>
      </c>
      <c r="I65" s="650">
        <f t="shared" ref="I65:O65" si="22">I10/I63</f>
        <v>7.8685577602886463</v>
      </c>
      <c r="J65" s="650">
        <f t="shared" si="22"/>
        <v>7.0922206204782432</v>
      </c>
      <c r="K65" s="650">
        <f t="shared" si="22"/>
        <v>4.6607206271666222</v>
      </c>
      <c r="L65" s="650">
        <f t="shared" si="22"/>
        <v>4.3467855257425976</v>
      </c>
      <c r="M65" s="650">
        <f t="shared" si="22"/>
        <v>4.3308323200641432</v>
      </c>
      <c r="N65" s="650">
        <f t="shared" si="22"/>
        <v>3.2775894353118531</v>
      </c>
      <c r="O65" s="650">
        <f t="shared" si="22"/>
        <v>3.5807955612271019</v>
      </c>
      <c r="P65" s="650">
        <f>P10/P63</f>
        <v>3.5265508449891172</v>
      </c>
    </row>
    <row r="66" spans="1:18" ht="15.75" customHeight="1">
      <c r="A66" s="21"/>
    </row>
    <row r="67" spans="1:18" ht="16">
      <c r="A67" s="4" t="s">
        <v>77</v>
      </c>
      <c r="C67" t="s">
        <v>629</v>
      </c>
      <c r="H67" t="s">
        <v>629</v>
      </c>
      <c r="J67" s="3"/>
    </row>
    <row r="68" spans="1:18" ht="16">
      <c r="A68" s="4"/>
      <c r="C68" s="37" t="s">
        <v>609</v>
      </c>
      <c r="D68" s="37" t="s">
        <v>515</v>
      </c>
      <c r="E68" s="37" t="s">
        <v>409</v>
      </c>
      <c r="F68" s="37" t="s">
        <v>488</v>
      </c>
      <c r="G68" s="37" t="s">
        <v>310</v>
      </c>
      <c r="H68" s="226" t="s">
        <v>310</v>
      </c>
      <c r="I68" s="22" t="s">
        <v>339</v>
      </c>
      <c r="J68" s="22" t="s">
        <v>731</v>
      </c>
      <c r="K68" s="226" t="s">
        <v>24</v>
      </c>
      <c r="L68" s="226" t="s">
        <v>1005</v>
      </c>
      <c r="M68" s="226" t="s">
        <v>970</v>
      </c>
      <c r="N68" s="226" t="s">
        <v>1009</v>
      </c>
      <c r="O68" s="226" t="s">
        <v>1124</v>
      </c>
      <c r="P68" s="226" t="s">
        <v>1154</v>
      </c>
      <c r="Q68" s="10" t="s">
        <v>1197</v>
      </c>
    </row>
    <row r="69" spans="1:18" ht="8" customHeight="1">
      <c r="A69" s="224"/>
      <c r="F69" s="50"/>
      <c r="J69" s="29"/>
    </row>
    <row r="70" spans="1:18">
      <c r="A70" s="50" t="s">
        <v>732</v>
      </c>
      <c r="I70">
        <v>6050</v>
      </c>
      <c r="J70" s="29">
        <v>6395</v>
      </c>
      <c r="K70" s="29">
        <v>5706</v>
      </c>
      <c r="L70" s="29">
        <v>6542</v>
      </c>
      <c r="M70" s="29">
        <v>7030</v>
      </c>
      <c r="N70">
        <f>72+352+571+1053+1261+1548+1331+1242+854+432+240</f>
        <v>8956</v>
      </c>
      <c r="O70">
        <v>7695</v>
      </c>
      <c r="P70">
        <v>7626</v>
      </c>
      <c r="Q70">
        <v>6351</v>
      </c>
    </row>
    <row r="71" spans="1:18">
      <c r="A71" s="50" t="s">
        <v>733</v>
      </c>
      <c r="I71">
        <v>729</v>
      </c>
      <c r="J71" s="29">
        <v>576</v>
      </c>
      <c r="K71" s="29">
        <v>746</v>
      </c>
      <c r="L71" s="29">
        <v>866</v>
      </c>
      <c r="M71" s="29">
        <v>573</v>
      </c>
      <c r="N71">
        <f>334+154+3+16</f>
        <v>507</v>
      </c>
      <c r="O71">
        <v>763</v>
      </c>
      <c r="P71">
        <v>742</v>
      </c>
      <c r="Q71">
        <v>919</v>
      </c>
      <c r="R71" s="703"/>
    </row>
    <row r="72" spans="1:18" ht="16">
      <c r="A72" s="470" t="s">
        <v>787</v>
      </c>
      <c r="B72" s="497"/>
      <c r="C72" s="497"/>
      <c r="D72" s="497"/>
      <c r="E72" s="497"/>
      <c r="F72" s="507"/>
      <c r="G72" s="497"/>
      <c r="H72" s="669">
        <f t="shared" ref="H72:N72" si="23">SUM(H70:H71)</f>
        <v>0</v>
      </c>
      <c r="I72" s="669">
        <f t="shared" si="23"/>
        <v>6779</v>
      </c>
      <c r="J72" s="669">
        <f t="shared" si="23"/>
        <v>6971</v>
      </c>
      <c r="K72" s="669">
        <f t="shared" si="23"/>
        <v>6452</v>
      </c>
      <c r="L72" s="669">
        <f t="shared" si="23"/>
        <v>7408</v>
      </c>
      <c r="M72" s="669">
        <f t="shared" si="23"/>
        <v>7603</v>
      </c>
      <c r="N72" s="669">
        <f t="shared" si="23"/>
        <v>9463</v>
      </c>
      <c r="O72" s="669">
        <f>SUM(O70:O71)</f>
        <v>8458</v>
      </c>
      <c r="P72" s="669">
        <f>SUM(P70:P71)</f>
        <v>8368</v>
      </c>
      <c r="Q72" s="669">
        <f>SUM(Q70:Q71)</f>
        <v>7270</v>
      </c>
    </row>
    <row r="73" spans="1:18" ht="6.75" customHeight="1">
      <c r="Q73" s="703"/>
    </row>
    <row r="74" spans="1:18">
      <c r="A74" s="470" t="s">
        <v>1146</v>
      </c>
      <c r="B74" s="497"/>
      <c r="C74" s="497"/>
      <c r="D74" s="497"/>
      <c r="E74" s="497"/>
      <c r="F74" s="497"/>
      <c r="G74" s="497"/>
      <c r="H74" s="508"/>
      <c r="I74" s="668">
        <f t="shared" ref="I74:O74" si="24">I8/I72</f>
        <v>4.2225122407434723</v>
      </c>
      <c r="J74" s="668">
        <f t="shared" si="24"/>
        <v>3.6905372600774635</v>
      </c>
      <c r="K74" s="668">
        <f t="shared" si="24"/>
        <v>2.5336656106633604</v>
      </c>
      <c r="L74" s="668">
        <f t="shared" si="24"/>
        <v>1.9382017548596115</v>
      </c>
      <c r="M74" s="668">
        <f t="shared" si="24"/>
        <v>1.8578769170064449</v>
      </c>
      <c r="N74" s="668">
        <f t="shared" si="24"/>
        <v>1.0413646074183662</v>
      </c>
      <c r="O74" s="668">
        <f t="shared" si="24"/>
        <v>1.2397710948214709</v>
      </c>
      <c r="P74" s="668">
        <f>P8/P72</f>
        <v>1.2744510803059272</v>
      </c>
      <c r="Q74" s="704"/>
    </row>
    <row r="75" spans="1:18">
      <c r="A75" s="470" t="s">
        <v>1147</v>
      </c>
      <c r="B75" s="497"/>
      <c r="C75" s="497"/>
      <c r="D75" s="497"/>
      <c r="E75" s="497"/>
      <c r="F75" s="497"/>
      <c r="G75" s="497"/>
      <c r="H75" s="509"/>
      <c r="I75" s="688">
        <f t="shared" ref="I75:O75" si="25">I74/I19</f>
        <v>1.7080208618931326E-3</v>
      </c>
      <c r="J75" s="688">
        <f t="shared" si="25"/>
        <v>1.5219756382201374E-3</v>
      </c>
      <c r="K75" s="688">
        <f t="shared" si="25"/>
        <v>1.0279952437097757E-3</v>
      </c>
      <c r="L75" s="688">
        <f t="shared" si="25"/>
        <v>7.7740561061285314E-4</v>
      </c>
      <c r="M75" s="688">
        <f t="shared" si="25"/>
        <v>7.4643508115968058E-4</v>
      </c>
      <c r="N75" s="688">
        <f t="shared" si="25"/>
        <v>4.1643479368902946E-4</v>
      </c>
      <c r="O75" s="688">
        <f t="shared" si="25"/>
        <v>4.9930370310973448E-4</v>
      </c>
      <c r="P75" s="688">
        <f>P74/P19</f>
        <v>5.064714850864726E-4</v>
      </c>
      <c r="Q75" s="703"/>
    </row>
    <row r="76" spans="1:18">
      <c r="A76" s="470" t="s">
        <v>1148</v>
      </c>
      <c r="B76" s="497"/>
      <c r="C76" s="497"/>
      <c r="D76" s="497"/>
      <c r="E76" s="497"/>
      <c r="F76" s="497"/>
      <c r="G76" s="497"/>
      <c r="H76" s="509"/>
      <c r="I76" s="688">
        <f t="shared" ref="I76:O76" si="26">I74/I63</f>
        <v>1.0842399476944722E-3</v>
      </c>
      <c r="J76" s="688">
        <f t="shared" si="26"/>
        <v>9.5666914869120654E-4</v>
      </c>
      <c r="K76" s="688">
        <f t="shared" si="26"/>
        <v>6.5185390942334911E-4</v>
      </c>
      <c r="L76" s="688">
        <f t="shared" si="26"/>
        <v>5.0182506976220319E-4</v>
      </c>
      <c r="M76" s="688">
        <f t="shared" si="26"/>
        <v>4.7933871566032413E-4</v>
      </c>
      <c r="N76" s="688">
        <f t="shared" si="26"/>
        <v>2.6581245828767965E-4</v>
      </c>
      <c r="O76" s="688">
        <f t="shared" si="26"/>
        <v>3.1540542036078296E-4</v>
      </c>
      <c r="P76" s="688">
        <f>P74/P63</f>
        <v>3.2009990086592137E-4</v>
      </c>
      <c r="Q76" s="703"/>
    </row>
    <row r="77" spans="1:18">
      <c r="A77" s="470" t="s">
        <v>1149</v>
      </c>
      <c r="B77" s="652"/>
      <c r="C77" s="652"/>
      <c r="D77" s="652"/>
      <c r="E77" s="652"/>
      <c r="F77" s="652"/>
      <c r="G77" s="652"/>
      <c r="H77" s="652"/>
      <c r="I77" s="689">
        <f>I10/I72</f>
        <v>4.5203807427860063</v>
      </c>
      <c r="J77" s="689">
        <f t="shared" ref="J77:O77" si="27">J10/J72</f>
        <v>3.9247769454014132</v>
      </c>
      <c r="K77" s="689">
        <f t="shared" si="27"/>
        <v>2.8077454673724942</v>
      </c>
      <c r="L77" s="689">
        <f t="shared" si="27"/>
        <v>2.2662815719336002</v>
      </c>
      <c r="M77" s="689">
        <f t="shared" si="27"/>
        <v>2.2078054938675895</v>
      </c>
      <c r="N77" s="689">
        <f t="shared" si="27"/>
        <v>1.3569167153904755</v>
      </c>
      <c r="O77" s="689">
        <f t="shared" si="27"/>
        <v>1.6641183123374395</v>
      </c>
      <c r="P77" s="689">
        <f>P10/P72</f>
        <v>1.6779001326585909</v>
      </c>
      <c r="Q77" s="703"/>
    </row>
    <row r="78" spans="1:18">
      <c r="A78" s="470" t="s">
        <v>1150</v>
      </c>
      <c r="B78" s="652"/>
      <c r="C78" s="652"/>
      <c r="D78" s="652"/>
      <c r="E78" s="652"/>
      <c r="F78" s="652"/>
      <c r="G78" s="652"/>
      <c r="H78" s="652"/>
      <c r="I78" s="689">
        <f>I77/I19</f>
        <v>1.8285097051652423E-3</v>
      </c>
      <c r="J78" s="689">
        <f t="shared" ref="J78:O78" si="28">J77/J19</f>
        <v>1.618575962087324E-3</v>
      </c>
      <c r="K78" s="689">
        <f t="shared" si="28"/>
        <v>1.1391988642301166E-3</v>
      </c>
      <c r="L78" s="689">
        <f t="shared" si="28"/>
        <v>9.0899722117799338E-4</v>
      </c>
      <c r="M78" s="689">
        <f t="shared" si="28"/>
        <v>8.8702510802233408E-4</v>
      </c>
      <c r="N78" s="689">
        <f t="shared" si="28"/>
        <v>5.4262198695966771E-4</v>
      </c>
      <c r="O78" s="689">
        <f t="shared" si="28"/>
        <v>6.7020471701064821E-4</v>
      </c>
      <c r="P78" s="689">
        <f>P77/P19</f>
        <v>6.6680360285809677E-4</v>
      </c>
      <c r="Q78" s="703"/>
    </row>
    <row r="79" spans="1:18">
      <c r="A79" s="470" t="s">
        <v>1151</v>
      </c>
      <c r="B79" s="652"/>
      <c r="C79" s="652"/>
      <c r="D79" s="652"/>
      <c r="E79" s="652"/>
      <c r="F79" s="652"/>
      <c r="G79" s="652"/>
      <c r="H79" s="652"/>
      <c r="I79" s="689">
        <f>I77/I63</f>
        <v>1.1607254403730115E-3</v>
      </c>
      <c r="J79" s="689">
        <f t="shared" ref="J79:O79" si="29">J77/J63</f>
        <v>1.0173892727697955E-3</v>
      </c>
      <c r="K79" s="689">
        <f t="shared" si="29"/>
        <v>7.2236835510951984E-4</v>
      </c>
      <c r="L79" s="689">
        <f t="shared" si="29"/>
        <v>5.8676910444689493E-4</v>
      </c>
      <c r="M79" s="689">
        <f t="shared" si="29"/>
        <v>5.6962150730818675E-4</v>
      </c>
      <c r="N79" s="689">
        <f t="shared" si="29"/>
        <v>3.463583890216478E-4</v>
      </c>
      <c r="O79" s="689">
        <f t="shared" si="29"/>
        <v>4.2336197224250436E-4</v>
      </c>
      <c r="P79" s="689">
        <f>P77/P63</f>
        <v>4.214329403667683E-4</v>
      </c>
      <c r="Q79" s="703"/>
    </row>
    <row r="81" spans="1:21" ht="16">
      <c r="A81" s="4" t="s">
        <v>26</v>
      </c>
      <c r="C81" s="4"/>
      <c r="H81" t="s">
        <v>629</v>
      </c>
    </row>
    <row r="82" spans="1:21">
      <c r="H82" s="10" t="s">
        <v>310</v>
      </c>
      <c r="I82" s="10" t="s">
        <v>339</v>
      </c>
      <c r="J82" s="10" t="s">
        <v>731</v>
      </c>
      <c r="K82" s="10" t="s">
        <v>24</v>
      </c>
      <c r="L82" s="10" t="s">
        <v>1005</v>
      </c>
      <c r="M82" s="10" t="s">
        <v>970</v>
      </c>
      <c r="N82" s="10" t="s">
        <v>955</v>
      </c>
      <c r="O82" s="10" t="s">
        <v>1123</v>
      </c>
      <c r="P82" s="10" t="s">
        <v>1135</v>
      </c>
    </row>
    <row r="83" spans="1:21">
      <c r="K83" s="5"/>
      <c r="L83" s="5"/>
      <c r="M83" s="5"/>
      <c r="N83" s="5"/>
      <c r="O83" s="5"/>
    </row>
    <row r="84" spans="1:21">
      <c r="A84" t="s">
        <v>212</v>
      </c>
      <c r="E84" s="5"/>
      <c r="F84" s="5"/>
      <c r="G84" s="5"/>
      <c r="H84" s="5"/>
      <c r="I84" s="5"/>
      <c r="J84" s="5"/>
      <c r="M84" s="89">
        <v>2279858</v>
      </c>
      <c r="N84" s="89">
        <v>2279858</v>
      </c>
      <c r="O84" s="89">
        <v>2279858</v>
      </c>
    </row>
    <row r="85" spans="1:21">
      <c r="A85" t="s">
        <v>213</v>
      </c>
      <c r="M85" s="89"/>
      <c r="N85" s="89"/>
      <c r="O85" s="89"/>
    </row>
    <row r="86" spans="1:21">
      <c r="A86" t="s">
        <v>214</v>
      </c>
      <c r="C86" s="63"/>
      <c r="D86" s="126"/>
      <c r="E86" s="386"/>
      <c r="F86" s="386"/>
      <c r="G86" s="386"/>
      <c r="H86" s="386"/>
      <c r="I86" s="386"/>
      <c r="J86" s="386"/>
      <c r="M86" s="573">
        <v>112650</v>
      </c>
      <c r="N86" s="573">
        <v>112650</v>
      </c>
      <c r="O86" s="573">
        <v>112650</v>
      </c>
    </row>
    <row r="87" spans="1:21">
      <c r="A87" t="s">
        <v>303</v>
      </c>
      <c r="C87" s="63"/>
      <c r="D87" s="126"/>
      <c r="E87" s="126"/>
      <c r="F87" s="126"/>
      <c r="G87" s="126"/>
      <c r="H87" s="126"/>
      <c r="I87" s="126"/>
      <c r="J87" s="126"/>
      <c r="M87" s="47">
        <v>7100</v>
      </c>
      <c r="N87" s="47">
        <v>7100</v>
      </c>
      <c r="O87" s="47">
        <v>7100</v>
      </c>
    </row>
    <row r="88" spans="1:21">
      <c r="A88" t="s">
        <v>83</v>
      </c>
      <c r="C88" s="126"/>
      <c r="D88" s="126"/>
      <c r="E88" s="126"/>
      <c r="F88" s="126"/>
      <c r="G88" s="126"/>
      <c r="H88" s="126"/>
      <c r="I88" s="126"/>
      <c r="J88" s="126"/>
      <c r="M88" s="47"/>
      <c r="N88" s="47"/>
      <c r="O88" s="47"/>
    </row>
    <row r="89" spans="1:21">
      <c r="A89" s="696" t="s">
        <v>1194</v>
      </c>
      <c r="B89" s="697"/>
      <c r="C89" s="697"/>
      <c r="D89" s="697"/>
      <c r="E89" s="697"/>
      <c r="F89" s="697"/>
      <c r="G89" s="697"/>
      <c r="H89" s="698">
        <v>2363057</v>
      </c>
      <c r="I89" s="698">
        <v>2375121</v>
      </c>
      <c r="J89" s="698">
        <v>2387758</v>
      </c>
      <c r="K89" s="698">
        <v>2398006</v>
      </c>
      <c r="L89" s="698">
        <v>2401752</v>
      </c>
      <c r="M89" s="699">
        <v>2399184</v>
      </c>
      <c r="N89" s="699">
        <v>2409126</v>
      </c>
      <c r="O89" s="699">
        <v>2383250</v>
      </c>
      <c r="P89" s="699">
        <v>2506262</v>
      </c>
    </row>
    <row r="90" spans="1:21">
      <c r="A90" s="696" t="s">
        <v>1186</v>
      </c>
      <c r="B90" s="696"/>
      <c r="C90" s="696"/>
      <c r="D90" s="696"/>
      <c r="E90" s="696"/>
      <c r="F90" s="696"/>
      <c r="G90" s="696"/>
      <c r="H90" s="700">
        <v>2514867</v>
      </c>
      <c r="I90" s="700">
        <v>2481021</v>
      </c>
      <c r="J90" s="700">
        <v>2564867</v>
      </c>
      <c r="K90" s="700">
        <v>2564867</v>
      </c>
      <c r="L90" s="700">
        <v>2564867</v>
      </c>
      <c r="M90" s="700">
        <v>2553553</v>
      </c>
      <c r="N90" s="700">
        <v>2553553</v>
      </c>
      <c r="O90" s="700">
        <f>2553553+19000</f>
        <v>2572553</v>
      </c>
      <c r="P90" s="700">
        <f>O90+79600</f>
        <v>2652153</v>
      </c>
      <c r="Q90" s="63"/>
      <c r="R90" s="47"/>
      <c r="S90" s="47"/>
      <c r="T90" s="47"/>
      <c r="U90" s="47"/>
    </row>
    <row r="91" spans="1:21">
      <c r="A91" s="696" t="s">
        <v>1152</v>
      </c>
      <c r="B91" s="696"/>
      <c r="C91" s="696"/>
      <c r="D91" s="696"/>
      <c r="E91" s="700"/>
      <c r="F91" s="700"/>
      <c r="G91" s="700"/>
      <c r="H91" s="701">
        <f t="shared" ref="H91:P91" si="30">H8/H90</f>
        <v>1.0826205473291432E-2</v>
      </c>
      <c r="I91" s="701">
        <f t="shared" si="30"/>
        <v>1.1537351146967316E-2</v>
      </c>
      <c r="J91" s="701">
        <f t="shared" si="30"/>
        <v>1.003043636960513E-2</v>
      </c>
      <c r="K91" s="701">
        <f t="shared" si="30"/>
        <v>6.3735119676770766E-3</v>
      </c>
      <c r="L91" s="701">
        <f t="shared" si="30"/>
        <v>5.5980285137591937E-3</v>
      </c>
      <c r="M91" s="701">
        <f t="shared" si="30"/>
        <v>5.5316800552015176E-3</v>
      </c>
      <c r="N91" s="701">
        <f t="shared" si="30"/>
        <v>3.8591066173288744E-3</v>
      </c>
      <c r="O91" s="701">
        <f t="shared" si="30"/>
        <v>4.0761002474973308E-3</v>
      </c>
      <c r="P91" s="701">
        <f t="shared" si="30"/>
        <v>4.0211128995951591E-3</v>
      </c>
      <c r="Q91" s="63"/>
      <c r="R91" s="47"/>
      <c r="S91" s="47"/>
      <c r="T91" s="47"/>
      <c r="U91" s="47"/>
    </row>
    <row r="92" spans="1:21">
      <c r="A92" s="696" t="s">
        <v>1153</v>
      </c>
      <c r="B92" s="696"/>
      <c r="C92" s="696"/>
      <c r="D92" s="696"/>
      <c r="E92" s="696"/>
      <c r="F92" s="696"/>
      <c r="G92" s="696"/>
      <c r="H92" s="701">
        <f t="shared" ref="H92:P92" si="31">H10/H90</f>
        <v>1.1354058610450983E-2</v>
      </c>
      <c r="I92" s="701">
        <f t="shared" si="31"/>
        <v>1.2351230019958049E-2</v>
      </c>
      <c r="J92" s="701">
        <f t="shared" si="31"/>
        <v>1.0667071659619486E-2</v>
      </c>
      <c r="K92" s="701">
        <f t="shared" si="31"/>
        <v>7.0629680819657842E-3</v>
      </c>
      <c r="L92" s="701">
        <f t="shared" si="31"/>
        <v>6.5456079729998128E-3</v>
      </c>
      <c r="M92" s="701">
        <f t="shared" si="31"/>
        <v>6.5735644295909588E-3</v>
      </c>
      <c r="N92" s="701">
        <f t="shared" si="31"/>
        <v>5.0284849688806421E-3</v>
      </c>
      <c r="O92" s="701">
        <f t="shared" si="31"/>
        <v>5.4712624718519162E-3</v>
      </c>
      <c r="P92" s="701">
        <f t="shared" si="31"/>
        <v>5.294064222572034E-3</v>
      </c>
      <c r="Q92" s="63"/>
      <c r="R92" s="10"/>
      <c r="S92" s="10"/>
      <c r="T92" s="63"/>
      <c r="U92" s="47"/>
    </row>
    <row r="93" spans="1:21">
      <c r="A93" s="696" t="s">
        <v>1195</v>
      </c>
      <c r="B93" s="697"/>
      <c r="C93" s="697"/>
      <c r="D93" s="697"/>
      <c r="E93" s="697"/>
      <c r="F93" s="697"/>
      <c r="G93" s="697"/>
      <c r="H93" s="702">
        <f>H8/H89</f>
        <v>1.1521713983200576E-2</v>
      </c>
      <c r="I93" s="702">
        <f t="shared" ref="I93:P93" si="32">I8/I89</f>
        <v>1.2051769354066592E-2</v>
      </c>
      <c r="J93" s="702">
        <f t="shared" si="32"/>
        <v>1.0774431596501823E-2</v>
      </c>
      <c r="K93" s="702">
        <f t="shared" si="32"/>
        <v>6.8170015087535233E-3</v>
      </c>
      <c r="L93" s="702">
        <f t="shared" si="32"/>
        <v>5.9782186503852192E-3</v>
      </c>
      <c r="M93" s="702">
        <f t="shared" si="32"/>
        <v>5.8876010343516796E-3</v>
      </c>
      <c r="N93" s="702">
        <f t="shared" si="32"/>
        <v>4.0904598929238237E-3</v>
      </c>
      <c r="O93" s="702">
        <f t="shared" si="32"/>
        <v>4.3998673743837202E-3</v>
      </c>
      <c r="P93" s="702">
        <f t="shared" si="32"/>
        <v>4.255184270439403E-3</v>
      </c>
      <c r="Q93" s="10"/>
      <c r="R93" s="5"/>
      <c r="S93" s="386"/>
      <c r="T93" s="5"/>
    </row>
    <row r="94" spans="1:21">
      <c r="K94" s="10"/>
      <c r="Q94" s="10"/>
      <c r="R94" s="204"/>
      <c r="S94" s="29"/>
      <c r="T94" s="5"/>
    </row>
    <row r="95" spans="1:21">
      <c r="O95" t="s">
        <v>1162</v>
      </c>
      <c r="P95" t="s">
        <v>1164</v>
      </c>
      <c r="Q95" s="10"/>
      <c r="U95" s="84"/>
    </row>
    <row r="96" spans="1:21">
      <c r="O96" t="s">
        <v>1163</v>
      </c>
      <c r="P96" t="s">
        <v>1167</v>
      </c>
      <c r="Q96" s="10"/>
    </row>
    <row r="97" spans="7:21">
      <c r="O97" t="s">
        <v>1165</v>
      </c>
      <c r="P97" t="s">
        <v>1166</v>
      </c>
      <c r="Q97" s="10"/>
    </row>
    <row r="98" spans="7:21">
      <c r="Q98" s="10"/>
      <c r="R98" s="10"/>
      <c r="S98" s="22"/>
      <c r="T98" s="10"/>
    </row>
    <row r="99" spans="7:21">
      <c r="I99" s="5"/>
      <c r="Q99" s="10"/>
      <c r="R99" s="5"/>
      <c r="S99" s="5"/>
      <c r="T99" s="5"/>
    </row>
    <row r="100" spans="7:21">
      <c r="J100" s="5"/>
      <c r="Q100" s="10"/>
      <c r="R100" s="204"/>
      <c r="S100" s="204"/>
      <c r="T100" s="5"/>
    </row>
    <row r="102" spans="7:21">
      <c r="J102" s="5"/>
      <c r="K102" s="211"/>
      <c r="Q102" s="220"/>
      <c r="R102" s="220"/>
      <c r="S102" s="220"/>
      <c r="T102" s="220"/>
      <c r="U102" s="84"/>
    </row>
    <row r="103" spans="7:21">
      <c r="G103" s="209"/>
      <c r="H103" s="209"/>
      <c r="I103" s="210"/>
      <c r="J103" s="211"/>
      <c r="K103" s="8"/>
    </row>
    <row r="104" spans="7:21">
      <c r="G104" s="209"/>
      <c r="H104" s="209"/>
      <c r="I104" s="209"/>
      <c r="J104" s="8"/>
      <c r="K104" s="213"/>
    </row>
    <row r="105" spans="7:21">
      <c r="G105" s="213"/>
      <c r="H105" s="213"/>
      <c r="I105" s="213"/>
      <c r="J105" s="213"/>
      <c r="K105" s="204"/>
      <c r="L105" s="213"/>
    </row>
    <row r="106" spans="7:21">
      <c r="G106" s="214"/>
      <c r="H106" s="214"/>
      <c r="I106" s="214"/>
      <c r="J106" s="214"/>
      <c r="K106" s="216"/>
      <c r="L106" s="204"/>
    </row>
    <row r="107" spans="7:21">
      <c r="G107" s="216"/>
      <c r="H107" s="216"/>
      <c r="I107" s="216"/>
      <c r="J107" s="216"/>
      <c r="K107" s="216"/>
      <c r="L107" s="216"/>
    </row>
    <row r="108" spans="7:21">
      <c r="G108" s="216"/>
      <c r="H108" s="216"/>
      <c r="I108" s="216"/>
      <c r="J108" s="216"/>
      <c r="L108" s="216"/>
    </row>
    <row r="109" spans="7:21">
      <c r="H109" s="5"/>
      <c r="I109" s="84"/>
    </row>
    <row r="110" spans="7:21">
      <c r="H110" s="5"/>
      <c r="I110" s="84"/>
    </row>
    <row r="111" spans="7:21">
      <c r="H111" s="5"/>
      <c r="I111" s="5"/>
    </row>
    <row r="112" spans="7:21">
      <c r="H112" s="5"/>
      <c r="I112" s="5"/>
    </row>
  </sheetData>
  <mergeCells count="2">
    <mergeCell ref="A1:I1"/>
    <mergeCell ref="A2:J4"/>
  </mergeCells>
  <phoneticPr fontId="54" type="noConversion"/>
  <pageMargins left="0.75" right="0.75" top="1" bottom="1" header="0.5" footer="0.5"/>
  <pageSetup orientation="landscape" horizontalDpi="4294967292" verticalDpi="4294967292"/>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23"/>
  </sheetPr>
  <dimension ref="A1:T84"/>
  <sheetViews>
    <sheetView zoomScale="64" zoomScaleNormal="100" workbookViewId="0">
      <selection activeCell="B21" sqref="B21"/>
    </sheetView>
  </sheetViews>
  <sheetFormatPr baseColWidth="10" defaultColWidth="8.83203125" defaultRowHeight="13"/>
  <cols>
    <col min="1" max="1" width="39" customWidth="1"/>
    <col min="2" max="6" width="9.33203125" customWidth="1"/>
    <col min="7" max="7" width="11.5" customWidth="1"/>
    <col min="8" max="9" width="9.33203125" customWidth="1"/>
    <col min="10" max="10" width="11" customWidth="1"/>
    <col min="11" max="12" width="13.6640625" customWidth="1"/>
    <col min="13" max="13" width="1.1640625" customWidth="1"/>
    <col min="14" max="14" width="11" customWidth="1"/>
    <col min="15" max="15" width="14" customWidth="1"/>
    <col min="16" max="16" width="15.1640625" customWidth="1"/>
    <col min="17" max="17" width="11.83203125" customWidth="1"/>
    <col min="18" max="18" width="16.1640625" customWidth="1"/>
    <col min="19" max="19" width="14.6640625" customWidth="1"/>
    <col min="20" max="20" width="12" customWidth="1"/>
    <col min="21" max="21" width="13.83203125" customWidth="1"/>
    <col min="22" max="22" width="16.33203125" customWidth="1"/>
  </cols>
  <sheetData>
    <row r="1" spans="1:19" ht="27.75" customHeight="1">
      <c r="A1" s="389" t="s">
        <v>867</v>
      </c>
      <c r="B1" s="389"/>
      <c r="C1" s="389"/>
      <c r="D1" s="389"/>
      <c r="E1" s="389"/>
      <c r="F1" s="389"/>
      <c r="G1" s="389"/>
      <c r="H1" s="395"/>
      <c r="I1" s="29"/>
      <c r="J1" s="29"/>
      <c r="K1" s="29"/>
      <c r="L1" s="29"/>
      <c r="M1" s="29"/>
      <c r="N1" s="29"/>
      <c r="O1" s="29"/>
      <c r="P1" s="223"/>
    </row>
    <row r="2" spans="1:19" s="2" customFormat="1" ht="12" customHeight="1">
      <c r="A2" s="903" t="s">
        <v>753</v>
      </c>
      <c r="B2" s="903"/>
      <c r="C2" s="903"/>
      <c r="D2" s="903"/>
      <c r="E2" s="903"/>
      <c r="F2" s="388"/>
      <c r="G2" s="388"/>
      <c r="H2" s="388"/>
    </row>
    <row r="3" spans="1:19" ht="12" customHeight="1">
      <c r="A3" s="903"/>
      <c r="B3" s="903"/>
      <c r="C3" s="903"/>
      <c r="D3" s="903"/>
      <c r="E3" s="903"/>
      <c r="F3" s="388"/>
      <c r="G3" s="388"/>
      <c r="H3" s="388"/>
      <c r="I3" s="10"/>
      <c r="J3" s="10"/>
      <c r="K3" s="10"/>
      <c r="L3" s="10"/>
      <c r="M3" s="10"/>
      <c r="N3" s="10"/>
      <c r="O3" s="10"/>
    </row>
    <row r="4" spans="1:19" ht="12" customHeight="1">
      <c r="A4" s="903"/>
      <c r="B4" s="903"/>
      <c r="C4" s="903"/>
      <c r="D4" s="903"/>
      <c r="E4" s="903"/>
      <c r="F4" s="388"/>
      <c r="G4" s="388"/>
      <c r="H4" s="388"/>
      <c r="I4" s="22"/>
      <c r="J4" s="22"/>
      <c r="K4" s="22"/>
      <c r="L4" s="22"/>
      <c r="M4" s="22"/>
      <c r="N4" s="22"/>
      <c r="O4" s="22"/>
      <c r="P4" s="22"/>
      <c r="Q4" s="22"/>
      <c r="R4" s="22"/>
      <c r="S4" s="22"/>
    </row>
    <row r="5" spans="1:19" ht="21" customHeight="1">
      <c r="A5" s="4" t="s">
        <v>79</v>
      </c>
      <c r="G5" s="5"/>
      <c r="H5" s="5"/>
      <c r="I5" s="22"/>
      <c r="J5" s="22"/>
      <c r="K5" s="22"/>
      <c r="L5" s="22"/>
      <c r="M5" s="22"/>
      <c r="N5" s="22"/>
      <c r="O5" s="22"/>
      <c r="P5" s="22"/>
      <c r="Q5" s="22"/>
      <c r="R5" s="22"/>
      <c r="S5" s="22"/>
    </row>
    <row r="6" spans="1:19" ht="12" customHeight="1">
      <c r="A6" t="s">
        <v>61</v>
      </c>
      <c r="B6" s="904" t="s">
        <v>29</v>
      </c>
      <c r="C6" s="904"/>
      <c r="D6" s="904"/>
      <c r="E6" s="904"/>
      <c r="F6" s="904"/>
      <c r="G6" s="904"/>
      <c r="H6" s="904"/>
      <c r="I6" s="904"/>
      <c r="J6" s="396"/>
      <c r="K6" s="5"/>
      <c r="L6" s="5"/>
      <c r="M6" s="5"/>
      <c r="N6" s="5"/>
      <c r="O6" s="5"/>
      <c r="P6" s="5"/>
      <c r="Q6" s="5"/>
      <c r="R6" s="5"/>
      <c r="S6" s="17"/>
    </row>
    <row r="7" spans="1:19" ht="12" customHeight="1">
      <c r="A7" s="147"/>
      <c r="B7" s="571" t="s">
        <v>999</v>
      </c>
      <c r="C7" s="397"/>
      <c r="D7" s="397"/>
      <c r="E7" s="397"/>
      <c r="F7" s="397"/>
      <c r="G7" s="397"/>
      <c r="H7" s="397"/>
      <c r="I7" s="397"/>
      <c r="J7" s="396"/>
    </row>
    <row r="8" spans="1:19" ht="14" customHeight="1">
      <c r="A8" s="387"/>
      <c r="B8" s="406" t="s">
        <v>32</v>
      </c>
      <c r="D8" s="37"/>
      <c r="E8" s="37"/>
      <c r="F8" s="37"/>
    </row>
    <row r="9" spans="1:19" ht="12" customHeight="1">
      <c r="B9" s="905" t="s">
        <v>30</v>
      </c>
      <c r="C9" s="906"/>
      <c r="D9" s="906"/>
      <c r="E9" s="906"/>
      <c r="F9" s="906"/>
      <c r="G9" s="906"/>
      <c r="H9" s="398"/>
      <c r="I9" s="398"/>
      <c r="J9" s="398"/>
    </row>
    <row r="10" spans="1:19" ht="12" customHeight="1">
      <c r="B10" s="905" t="s">
        <v>31</v>
      </c>
      <c r="C10" s="905"/>
      <c r="D10" s="905"/>
      <c r="E10" s="905"/>
      <c r="F10" s="905"/>
      <c r="G10" s="905"/>
      <c r="H10" s="398"/>
      <c r="I10" s="398"/>
      <c r="J10" s="398"/>
    </row>
    <row r="11" spans="1:19" s="47" customFormat="1" ht="12" customHeight="1">
      <c r="A11" s="215" t="s">
        <v>62</v>
      </c>
      <c r="B11" s="216" t="s">
        <v>911</v>
      </c>
      <c r="C11" s="216"/>
      <c r="D11" s="216"/>
      <c r="E11" s="216"/>
      <c r="F11" s="216"/>
      <c r="G11" s="216"/>
      <c r="H11" s="216"/>
    </row>
    <row r="12" spans="1:19" s="47" customFormat="1" ht="11" customHeight="1">
      <c r="A12" s="203" t="s">
        <v>917</v>
      </c>
      <c r="B12" s="47" t="s">
        <v>988</v>
      </c>
    </row>
    <row r="13" spans="1:19" ht="14" customHeight="1">
      <c r="A13" s="4" t="s">
        <v>156</v>
      </c>
      <c r="C13" s="213"/>
      <c r="D13" s="213"/>
      <c r="E13" s="213"/>
      <c r="F13" s="213"/>
      <c r="G13" s="89"/>
      <c r="H13" s="213"/>
    </row>
    <row r="14" spans="1:19" ht="12" customHeight="1">
      <c r="A14" s="50" t="s">
        <v>63</v>
      </c>
      <c r="B14" s="904" t="s">
        <v>65</v>
      </c>
      <c r="C14" s="904"/>
      <c r="D14" s="904"/>
      <c r="E14" s="904"/>
      <c r="F14" s="904"/>
      <c r="G14" s="904"/>
      <c r="H14" s="904"/>
      <c r="I14" s="904"/>
    </row>
    <row r="15" spans="1:19" ht="12" customHeight="1">
      <c r="A15" s="10"/>
      <c r="B15" s="397" t="s">
        <v>82</v>
      </c>
      <c r="C15" s="214"/>
      <c r="D15" s="214"/>
      <c r="E15" s="214"/>
      <c r="F15" s="214"/>
      <c r="G15" s="216"/>
      <c r="H15" s="214"/>
    </row>
    <row r="16" spans="1:19" ht="12" customHeight="1">
      <c r="A16" s="50" t="s">
        <v>64</v>
      </c>
      <c r="B16" t="s">
        <v>841</v>
      </c>
    </row>
    <row r="17" spans="1:15" ht="11" customHeight="1">
      <c r="A17" s="50"/>
      <c r="B17" s="214"/>
      <c r="C17" s="214"/>
      <c r="D17" s="214"/>
      <c r="E17" s="214"/>
      <c r="F17" s="214"/>
      <c r="G17" s="216"/>
      <c r="H17" s="214"/>
    </row>
    <row r="18" spans="1:15" ht="20" customHeight="1">
      <c r="A18" s="4" t="s">
        <v>157</v>
      </c>
      <c r="L18" s="10"/>
    </row>
    <row r="19" spans="1:15" ht="12" customHeight="1">
      <c r="A19" s="50" t="s">
        <v>732</v>
      </c>
      <c r="B19" s="220" t="s">
        <v>129</v>
      </c>
      <c r="L19" s="10"/>
    </row>
    <row r="20" spans="1:15" ht="12" customHeight="1">
      <c r="A20" s="203"/>
      <c r="B20" s="573" t="s">
        <v>1174</v>
      </c>
      <c r="L20" s="10"/>
    </row>
    <row r="21" spans="1:15" ht="12" customHeight="1">
      <c r="A21" s="50" t="s">
        <v>733</v>
      </c>
      <c r="B21" s="220" t="s">
        <v>211</v>
      </c>
      <c r="C21" s="214"/>
      <c r="D21" s="214"/>
      <c r="E21" s="214"/>
      <c r="F21" s="214"/>
      <c r="G21" s="216"/>
      <c r="H21" s="214"/>
      <c r="L21" s="10"/>
    </row>
    <row r="22" spans="1:15" ht="21.75" customHeight="1">
      <c r="A22" s="50"/>
      <c r="B22" s="220"/>
      <c r="C22" s="220"/>
      <c r="D22" s="220"/>
      <c r="E22" s="220"/>
      <c r="F22" s="220"/>
      <c r="G22" s="220"/>
      <c r="H22" s="220"/>
      <c r="I22" s="220"/>
      <c r="J22" s="220"/>
    </row>
    <row r="23" spans="1:15" ht="12" customHeight="1">
      <c r="A23" s="119" t="s">
        <v>26</v>
      </c>
      <c r="B23" s="573" t="s">
        <v>1173</v>
      </c>
      <c r="C23" s="220"/>
      <c r="D23" s="220"/>
      <c r="E23" s="220"/>
      <c r="F23" s="220"/>
      <c r="G23" s="220"/>
      <c r="H23" s="220"/>
      <c r="I23" s="220"/>
      <c r="J23" s="220"/>
      <c r="K23" s="220"/>
      <c r="L23" s="220"/>
      <c r="M23" s="220"/>
      <c r="N23" s="220"/>
      <c r="O23" s="220"/>
    </row>
    <row r="24" spans="1:15" ht="12" customHeight="1">
      <c r="A24" s="50"/>
      <c r="B24" s="220"/>
      <c r="C24" s="220"/>
      <c r="D24" s="220"/>
      <c r="E24" s="386"/>
      <c r="F24" s="220"/>
      <c r="G24" s="220"/>
      <c r="H24" s="220"/>
      <c r="I24" s="220"/>
      <c r="J24" s="220"/>
      <c r="K24" s="220"/>
      <c r="L24" s="220"/>
      <c r="M24" s="220"/>
      <c r="N24" s="220"/>
      <c r="O24" s="220"/>
    </row>
    <row r="25" spans="1:15" ht="12" customHeight="1">
      <c r="A25" s="10"/>
      <c r="B25" s="222"/>
      <c r="C25" s="222"/>
      <c r="D25" s="51"/>
      <c r="E25" s="51"/>
      <c r="F25" s="51"/>
      <c r="G25" s="51"/>
      <c r="H25" s="51"/>
      <c r="I25" s="51"/>
      <c r="J25" s="11"/>
      <c r="K25" s="11"/>
      <c r="L25" s="11"/>
      <c r="M25" s="11"/>
      <c r="N25" s="11"/>
      <c r="O25" s="11"/>
    </row>
    <row r="26" spans="1:15" ht="12" customHeight="1">
      <c r="A26" s="10"/>
      <c r="D26" s="50"/>
      <c r="E26" s="50"/>
      <c r="F26" s="50"/>
      <c r="G26" s="50"/>
      <c r="H26" s="50"/>
      <c r="I26" s="50"/>
      <c r="J26" s="10"/>
      <c r="L26" s="10"/>
      <c r="M26" s="10"/>
      <c r="N26" s="10"/>
      <c r="O26" s="10"/>
    </row>
    <row r="27" spans="1:15" ht="12" customHeight="1">
      <c r="A27" s="10"/>
      <c r="D27" s="50"/>
      <c r="E27" s="50"/>
      <c r="F27" s="50"/>
      <c r="G27" s="50"/>
      <c r="H27" s="50"/>
      <c r="I27" s="50"/>
      <c r="J27" s="10"/>
      <c r="L27" s="10"/>
      <c r="M27" s="10"/>
      <c r="N27" s="10"/>
      <c r="O27" s="10"/>
    </row>
    <row r="28" spans="1:15" ht="12" customHeight="1">
      <c r="A28" s="21"/>
      <c r="D28" s="50"/>
      <c r="E28" s="50"/>
      <c r="F28" s="50"/>
      <c r="G28" s="392"/>
      <c r="H28" s="392"/>
      <c r="I28" s="392"/>
      <c r="J28" s="10"/>
      <c r="L28" s="10"/>
      <c r="M28" s="10"/>
      <c r="N28" s="10"/>
      <c r="O28" s="10"/>
    </row>
    <row r="29" spans="1:15" ht="12" customHeight="1">
      <c r="A29" s="4"/>
      <c r="D29" s="50"/>
      <c r="E29" s="50"/>
      <c r="F29" s="50"/>
      <c r="G29" s="50"/>
      <c r="H29" s="50"/>
      <c r="I29" s="50"/>
      <c r="J29" s="10"/>
      <c r="L29" s="10"/>
      <c r="M29" s="10"/>
      <c r="N29" s="10"/>
      <c r="O29" s="10"/>
    </row>
    <row r="30" spans="1:15" ht="12" customHeight="1">
      <c r="A30" s="4"/>
      <c r="D30" s="50"/>
      <c r="E30" s="50"/>
      <c r="F30" s="50"/>
      <c r="G30" s="50"/>
      <c r="H30" s="50"/>
      <c r="I30" s="50"/>
      <c r="J30" s="10"/>
      <c r="L30" s="10"/>
      <c r="M30" s="10"/>
      <c r="N30" s="10"/>
      <c r="O30" s="10"/>
    </row>
    <row r="31" spans="1:15" ht="12" customHeight="1">
      <c r="A31" s="224"/>
      <c r="D31" s="50"/>
      <c r="E31" s="50"/>
      <c r="F31" s="50"/>
      <c r="G31" s="50"/>
      <c r="H31" s="50"/>
      <c r="I31" s="50"/>
      <c r="J31" s="10"/>
      <c r="L31" s="10"/>
      <c r="M31" s="10"/>
      <c r="N31" s="10"/>
      <c r="O31" s="10"/>
    </row>
    <row r="32" spans="1:15" ht="12" customHeight="1">
      <c r="A32" s="50"/>
    </row>
    <row r="33" spans="1:9" ht="12" customHeight="1">
      <c r="A33" s="50"/>
      <c r="D33" s="10"/>
      <c r="E33" s="50"/>
      <c r="I33" s="3"/>
    </row>
    <row r="34" spans="1:9" ht="12" customHeight="1">
      <c r="A34" s="50"/>
      <c r="I34" s="3"/>
    </row>
    <row r="35" spans="1:9" ht="12" customHeight="1">
      <c r="E35" s="50"/>
      <c r="I35" s="29"/>
    </row>
    <row r="36" spans="1:9" ht="12" customHeight="1">
      <c r="A36" s="10"/>
      <c r="I36" s="29"/>
    </row>
    <row r="37" spans="1:9" ht="12" customHeight="1">
      <c r="A37" s="10"/>
      <c r="I37" s="29"/>
    </row>
    <row r="38" spans="1:9" ht="12" customHeight="1">
      <c r="A38" s="10"/>
      <c r="E38" s="224"/>
      <c r="I38" s="29"/>
    </row>
    <row r="39" spans="1:9" ht="12" customHeight="1"/>
    <row r="40" spans="1:9" ht="12" customHeight="1">
      <c r="A40" s="10"/>
      <c r="B40" s="50"/>
      <c r="C40" s="50"/>
      <c r="D40" s="50"/>
      <c r="E40" s="50"/>
      <c r="F40" s="50"/>
      <c r="G40" s="50"/>
      <c r="H40" s="50"/>
    </row>
    <row r="41" spans="1:9" ht="12" customHeight="1">
      <c r="A41" s="10"/>
      <c r="B41" s="50"/>
      <c r="C41" s="50"/>
      <c r="D41" s="50"/>
      <c r="E41" s="50"/>
      <c r="F41" s="50"/>
      <c r="G41" s="50"/>
      <c r="H41" s="50"/>
    </row>
    <row r="42" spans="1:9" ht="12" customHeight="1">
      <c r="A42" s="10"/>
      <c r="B42" s="50"/>
      <c r="C42" s="50"/>
      <c r="D42" s="50"/>
      <c r="E42" s="50"/>
      <c r="F42" s="50"/>
      <c r="G42" s="50"/>
      <c r="H42" s="50"/>
    </row>
    <row r="43" spans="1:9" ht="12" customHeight="1"/>
    <row r="44" spans="1:9" ht="12" customHeight="1"/>
    <row r="45" spans="1:9" ht="12" customHeight="1">
      <c r="A45" s="10"/>
    </row>
    <row r="46" spans="1:9" ht="12" customHeight="1"/>
    <row r="47" spans="1:9" ht="12" customHeight="1"/>
    <row r="48" spans="1:9" ht="12" customHeight="1"/>
    <row r="49" spans="2:20" ht="12" customHeight="1">
      <c r="B49" s="4"/>
    </row>
    <row r="50" spans="2:20" ht="12" customHeight="1"/>
    <row r="51" spans="2:20" ht="12" customHeight="1"/>
    <row r="52" spans="2:20" ht="12" customHeight="1">
      <c r="D52" s="5"/>
      <c r="E52" s="5"/>
      <c r="F52" s="5"/>
      <c r="G52" s="5"/>
      <c r="H52" s="5"/>
      <c r="I52" s="5"/>
      <c r="J52" s="5"/>
      <c r="K52" s="5"/>
      <c r="L52" s="5"/>
    </row>
    <row r="53" spans="2:20" ht="12" customHeight="1"/>
    <row r="54" spans="2:20" ht="12" customHeight="1">
      <c r="B54" s="63"/>
      <c r="C54" s="47"/>
      <c r="D54" s="89"/>
      <c r="E54" s="89"/>
      <c r="F54" s="89"/>
      <c r="G54" s="89"/>
      <c r="H54" s="89"/>
      <c r="I54" s="89"/>
      <c r="J54" s="89"/>
      <c r="K54" s="89"/>
      <c r="L54" s="89"/>
    </row>
    <row r="55" spans="2:20" ht="12" customHeight="1">
      <c r="B55" s="63"/>
      <c r="C55" s="47"/>
      <c r="D55" s="47"/>
      <c r="E55" s="47"/>
      <c r="F55" s="47"/>
      <c r="G55" s="47"/>
      <c r="H55" s="47"/>
      <c r="I55" s="47"/>
      <c r="J55" s="47"/>
      <c r="K55" s="47"/>
      <c r="L55" s="47"/>
    </row>
    <row r="56" spans="2:20" ht="12" customHeight="1">
      <c r="B56" s="47"/>
      <c r="C56" s="47"/>
      <c r="D56" s="47"/>
      <c r="E56" s="47"/>
      <c r="F56" s="47"/>
      <c r="G56" s="47"/>
      <c r="H56" s="47"/>
      <c r="I56" s="47"/>
      <c r="J56" s="47"/>
      <c r="K56" s="47"/>
      <c r="L56" s="47"/>
    </row>
    <row r="57" spans="2:20" ht="12" customHeight="1">
      <c r="B57" s="63"/>
      <c r="C57" s="47"/>
      <c r="D57" s="47"/>
      <c r="E57" s="47"/>
      <c r="F57" s="47"/>
      <c r="G57" s="47"/>
      <c r="H57" s="47"/>
      <c r="I57" s="47"/>
      <c r="J57" s="47"/>
      <c r="K57" s="47"/>
      <c r="L57" s="47"/>
    </row>
    <row r="58" spans="2:20" ht="12" customHeight="1"/>
    <row r="59" spans="2:20" ht="12" customHeight="1">
      <c r="D59" s="5"/>
      <c r="E59" s="5"/>
      <c r="F59" s="5"/>
      <c r="P59" s="63"/>
      <c r="Q59" s="47"/>
      <c r="R59" s="47"/>
      <c r="S59" s="47"/>
      <c r="T59" s="47"/>
    </row>
    <row r="60" spans="2:20" ht="12" customHeight="1">
      <c r="P60" s="63"/>
      <c r="Q60" s="47"/>
      <c r="R60" s="47"/>
      <c r="S60" s="47"/>
      <c r="T60" s="47"/>
    </row>
    <row r="61" spans="2:20" ht="12" customHeight="1">
      <c r="B61" s="63"/>
      <c r="D61" s="5"/>
      <c r="E61" s="5"/>
      <c r="F61" s="5"/>
      <c r="P61" s="63"/>
      <c r="Q61" s="10"/>
      <c r="R61" s="10"/>
      <c r="S61" s="63"/>
      <c r="T61" s="47"/>
    </row>
    <row r="62" spans="2:20" ht="12" customHeight="1">
      <c r="P62" s="10"/>
      <c r="Q62" s="5"/>
      <c r="R62" s="386"/>
      <c r="S62" s="5"/>
    </row>
    <row r="63" spans="2:20" ht="12" customHeight="1">
      <c r="P63" s="10"/>
      <c r="Q63" s="204"/>
      <c r="R63" s="29"/>
      <c r="S63" s="5"/>
    </row>
    <row r="64" spans="2:20" ht="12" customHeight="1">
      <c r="J64" s="10"/>
      <c r="P64" s="10"/>
      <c r="T64" s="84"/>
    </row>
    <row r="65" spans="6:20" ht="12" customHeight="1">
      <c r="P65" s="10"/>
    </row>
    <row r="66" spans="6:20" ht="12" customHeight="1">
      <c r="P66" s="10"/>
    </row>
    <row r="67" spans="6:20" ht="12" customHeight="1">
      <c r="P67" s="10"/>
      <c r="Q67" s="10"/>
      <c r="R67" s="22"/>
      <c r="S67" s="10"/>
    </row>
    <row r="68" spans="6:20" ht="12" customHeight="1">
      <c r="P68" s="10"/>
      <c r="Q68" s="5"/>
      <c r="R68" s="5"/>
      <c r="S68" s="5"/>
    </row>
    <row r="69" spans="6:20" ht="12" customHeight="1">
      <c r="P69" s="10"/>
      <c r="Q69" s="204"/>
      <c r="R69" s="204"/>
      <c r="S69" s="5"/>
    </row>
    <row r="70" spans="6:20" ht="12" customHeight="1"/>
    <row r="71" spans="6:20" ht="12" customHeight="1">
      <c r="I71" s="5"/>
      <c r="P71" s="220"/>
      <c r="Q71" s="220"/>
      <c r="R71" s="220"/>
      <c r="S71" s="220"/>
      <c r="T71" s="84"/>
    </row>
    <row r="72" spans="6:20" ht="12" customHeight="1">
      <c r="F72" s="209"/>
      <c r="G72" s="209"/>
      <c r="H72" s="210"/>
      <c r="I72" s="211"/>
      <c r="J72" s="211"/>
    </row>
    <row r="73" spans="6:20" ht="12" customHeight="1">
      <c r="F73" s="209"/>
      <c r="G73" s="209"/>
      <c r="H73" s="209"/>
      <c r="I73" s="8"/>
      <c r="J73" s="8"/>
    </row>
    <row r="74" spans="6:20" ht="12" customHeight="1">
      <c r="F74" s="213"/>
      <c r="G74" s="213"/>
      <c r="H74" s="213"/>
      <c r="I74" s="213"/>
      <c r="J74" s="213"/>
      <c r="K74" s="213"/>
    </row>
    <row r="75" spans="6:20" ht="12" customHeight="1">
      <c r="F75" s="214"/>
      <c r="G75" s="214"/>
      <c r="H75" s="214"/>
      <c r="I75" s="214"/>
      <c r="J75" s="204"/>
      <c r="K75" s="204"/>
    </row>
    <row r="76" spans="6:20" ht="12" customHeight="1">
      <c r="F76" s="216"/>
      <c r="G76" s="216"/>
      <c r="H76" s="216"/>
      <c r="I76" s="216"/>
      <c r="J76" s="216"/>
      <c r="K76" s="216"/>
    </row>
    <row r="77" spans="6:20" ht="12" customHeight="1">
      <c r="F77" s="216"/>
      <c r="G77" s="216"/>
      <c r="H77" s="216"/>
      <c r="I77" s="216"/>
      <c r="J77" s="216"/>
      <c r="K77" s="216"/>
    </row>
    <row r="78" spans="6:20" ht="12" customHeight="1">
      <c r="G78" s="5"/>
      <c r="H78" s="84"/>
    </row>
    <row r="79" spans="6:20" ht="12" customHeight="1">
      <c r="G79" s="5"/>
      <c r="H79" s="84"/>
    </row>
    <row r="80" spans="6:20" ht="12" customHeight="1">
      <c r="G80" s="5"/>
      <c r="H80" s="5"/>
    </row>
    <row r="81" spans="7:8" ht="12" customHeight="1">
      <c r="G81" s="5"/>
      <c r="H81" s="5"/>
    </row>
    <row r="82" spans="7:8" ht="12" customHeight="1"/>
    <row r="83" spans="7:8" ht="12" customHeight="1"/>
    <row r="84" spans="7:8" ht="12" customHeight="1"/>
  </sheetData>
  <mergeCells count="5">
    <mergeCell ref="A2:E4"/>
    <mergeCell ref="B14:I14"/>
    <mergeCell ref="B6:I6"/>
    <mergeCell ref="B9:G9"/>
    <mergeCell ref="B10:G10"/>
  </mergeCells>
  <phoneticPr fontId="3" type="noConversion"/>
  <pageMargins left="0.75" right="0.75" top="1" bottom="1" header="0.5" footer="0.5"/>
  <pageSetup fitToWidth="2" pageOrder="overThenDown" orientation="portrait"/>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A33"/>
  <sheetViews>
    <sheetView workbookViewId="0">
      <selection activeCell="H36" sqref="H36"/>
    </sheetView>
  </sheetViews>
  <sheetFormatPr baseColWidth="10" defaultColWidth="8.83203125" defaultRowHeight="13"/>
  <cols>
    <col min="1" max="1" width="9.1640625" bestFit="1" customWidth="1"/>
  </cols>
  <sheetData>
    <row r="4" spans="1:1">
      <c r="A4" s="516">
        <v>40721</v>
      </c>
    </row>
    <row r="5" spans="1:1">
      <c r="A5" s="8" t="s">
        <v>935</v>
      </c>
    </row>
    <row r="6" spans="1:1">
      <c r="A6" s="8" t="s">
        <v>936</v>
      </c>
    </row>
    <row r="7" spans="1:1">
      <c r="A7" s="8" t="s">
        <v>938</v>
      </c>
    </row>
    <row r="9" spans="1:1">
      <c r="A9" s="516">
        <v>40723</v>
      </c>
    </row>
    <row r="10" spans="1:1">
      <c r="A10" s="8" t="s">
        <v>81</v>
      </c>
    </row>
    <row r="11" spans="1:1">
      <c r="A11" s="8" t="s">
        <v>96</v>
      </c>
    </row>
    <row r="12" spans="1:1">
      <c r="A12" s="8" t="s">
        <v>97</v>
      </c>
    </row>
    <row r="15" spans="1:1">
      <c r="A15" s="516">
        <v>40725</v>
      </c>
    </row>
    <row r="16" spans="1:1">
      <c r="A16" s="524" t="s">
        <v>1003</v>
      </c>
    </row>
    <row r="17" spans="1:1">
      <c r="A17" s="524" t="s">
        <v>1004</v>
      </c>
    </row>
    <row r="20" spans="1:1">
      <c r="A20" s="516">
        <v>40731</v>
      </c>
    </row>
    <row r="21" spans="1:1">
      <c r="A21" s="8" t="s">
        <v>948</v>
      </c>
    </row>
    <row r="24" spans="1:1">
      <c r="A24" s="516">
        <v>40735</v>
      </c>
    </row>
    <row r="25" spans="1:1">
      <c r="A25" s="8" t="s">
        <v>960</v>
      </c>
    </row>
    <row r="28" spans="1:1">
      <c r="A28" s="516">
        <v>40738</v>
      </c>
    </row>
    <row r="29" spans="1:1">
      <c r="A29" s="529" t="s">
        <v>174</v>
      </c>
    </row>
    <row r="30" spans="1:1">
      <c r="A30" s="8" t="s">
        <v>176</v>
      </c>
    </row>
    <row r="32" spans="1:1">
      <c r="A32" s="119" t="s">
        <v>177</v>
      </c>
    </row>
    <row r="33" spans="1:1">
      <c r="A33" s="8" t="s">
        <v>1011</v>
      </c>
    </row>
  </sheetData>
  <phoneticPr fontId="54" type="noConversion"/>
  <pageMargins left="0.75" right="0.75" top="1" bottom="1" header="0.3" footer="0.3"/>
  <pageSetup orientation="portrait" horizontalDpi="200" verticalDpi="200"/>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K537"/>
  <sheetViews>
    <sheetView zoomScaleNormal="100" workbookViewId="0">
      <selection activeCell="G299" sqref="G299"/>
    </sheetView>
  </sheetViews>
  <sheetFormatPr baseColWidth="10" defaultColWidth="11.5" defaultRowHeight="13"/>
  <sheetData>
    <row r="1" spans="1:5">
      <c r="A1" s="119" t="s">
        <v>893</v>
      </c>
    </row>
    <row r="2" spans="1:5">
      <c r="A2" s="22" t="s">
        <v>608</v>
      </c>
      <c r="B2" s="22" t="s">
        <v>609</v>
      </c>
      <c r="C2" s="22" t="s">
        <v>515</v>
      </c>
      <c r="D2" s="22" t="s">
        <v>409</v>
      </c>
      <c r="E2" s="22" t="s">
        <v>488</v>
      </c>
    </row>
    <row r="3" spans="1:5">
      <c r="A3" s="5">
        <f>A18</f>
        <v>18863.400000000001</v>
      </c>
      <c r="B3" s="5">
        <f>B18</f>
        <v>22165.5</v>
      </c>
      <c r="C3" s="5">
        <f>C18</f>
        <v>21972.9</v>
      </c>
      <c r="D3" s="5">
        <f>D18</f>
        <v>23752.5</v>
      </c>
      <c r="E3" s="5">
        <f>E18</f>
        <v>23371.9</v>
      </c>
    </row>
    <row r="4" spans="1:5">
      <c r="A4" s="5">
        <f>A35</f>
        <v>0</v>
      </c>
      <c r="B4" s="5">
        <f>B35</f>
        <v>1506.4</v>
      </c>
      <c r="C4" s="5">
        <f>C35</f>
        <v>1870</v>
      </c>
      <c r="D4" s="5">
        <f>D35</f>
        <v>1771.9</v>
      </c>
      <c r="E4" s="5">
        <f>E35</f>
        <v>1638.5</v>
      </c>
    </row>
    <row r="5" spans="1:5">
      <c r="A5" s="5">
        <f>A47</f>
        <v>0</v>
      </c>
      <c r="B5" s="5">
        <f>B47</f>
        <v>583.66696000000002</v>
      </c>
      <c r="C5" s="5">
        <f>C47</f>
        <v>633.96</v>
      </c>
      <c r="D5" s="5">
        <f>D47</f>
        <v>593.73824000000002</v>
      </c>
      <c r="E5" s="5">
        <f>E47</f>
        <v>548.34123999999997</v>
      </c>
    </row>
    <row r="6" spans="1:5">
      <c r="A6" s="476"/>
      <c r="B6" s="476">
        <f>SUM(B3:B5)</f>
        <v>24255.56696</v>
      </c>
      <c r="C6" s="476">
        <f>SUM(C3:C5)</f>
        <v>24476.86</v>
      </c>
      <c r="D6" s="476">
        <f>SUM(D3:D5)</f>
        <v>26118.13824</v>
      </c>
      <c r="E6" s="476">
        <f>SUM(E3:E5)</f>
        <v>25558.741240000003</v>
      </c>
    </row>
    <row r="7" spans="1:5">
      <c r="A7" s="24"/>
    </row>
    <row r="9" spans="1:5">
      <c r="A9" s="6" t="s">
        <v>629</v>
      </c>
    </row>
    <row r="10" spans="1:5">
      <c r="A10" s="108" t="s">
        <v>608</v>
      </c>
      <c r="B10" s="108" t="s">
        <v>609</v>
      </c>
      <c r="C10" s="108" t="s">
        <v>515</v>
      </c>
      <c r="D10" s="108" t="s">
        <v>409</v>
      </c>
      <c r="E10" s="108" t="s">
        <v>488</v>
      </c>
    </row>
    <row r="11" spans="1:5">
      <c r="A11" s="109">
        <v>1611776</v>
      </c>
      <c r="B11" s="109">
        <v>1893920</v>
      </c>
      <c r="C11" s="109">
        <v>1877462</v>
      </c>
      <c r="D11" s="109">
        <v>2029520</v>
      </c>
      <c r="E11" s="109">
        <v>1996996</v>
      </c>
    </row>
    <row r="12" spans="1:5">
      <c r="A12" s="123">
        <f>ROUND(A11*'Scope1A Stationary'!$C89,1)</f>
        <v>241267.5</v>
      </c>
      <c r="B12" s="123">
        <f>ROUND(B11*'Scope1A Stationary'!$C89,1)</f>
        <v>283501.8</v>
      </c>
      <c r="C12" s="123">
        <f>ROUND(C11*'Scope1A Stationary'!$C89,1)</f>
        <v>281038.2</v>
      </c>
      <c r="D12" s="123">
        <f>ROUND(D11*'Scope1A Stationary'!$C89,1)</f>
        <v>303799.8</v>
      </c>
      <c r="E12" s="123">
        <f>ROUND(E11*'Scope1A Stationary'!$C89,1)</f>
        <v>298931.3</v>
      </c>
    </row>
    <row r="13" spans="1:5">
      <c r="A13" s="115">
        <f>ROUND(A11*'Scope1A Stationary'!$C90,1)</f>
        <v>18808.400000000001</v>
      </c>
      <c r="B13" s="115">
        <f>ROUND(B11*'Scope1A Stationary'!$C90,1)</f>
        <v>22100.9</v>
      </c>
      <c r="C13" s="115">
        <f>ROUND(C11*'Scope1A Stationary'!$C90,1)</f>
        <v>21908.799999999999</v>
      </c>
      <c r="D13" s="115">
        <f>ROUND(D11*'Scope1A Stationary'!$C90,1)</f>
        <v>23683.200000000001</v>
      </c>
      <c r="E13" s="115">
        <f>ROUND(E11*'Scope1A Stationary'!$C90,1)</f>
        <v>23303.7</v>
      </c>
    </row>
    <row r="14" spans="1:5">
      <c r="A14" s="95">
        <f>('Scope1A Stationary'!$C95*A12*'Scope1A Stationary'!$C83)</f>
        <v>0.48253499999999999</v>
      </c>
      <c r="B14" s="95">
        <f>('Scope1A Stationary'!$C95*B12*'Scope1A Stationary'!$C83)</f>
        <v>0.56700359999999994</v>
      </c>
      <c r="C14" s="95">
        <f>('Scope1A Stationary'!$C95*C12*'Scope1A Stationary'!$C83)</f>
        <v>0.56207640000000003</v>
      </c>
      <c r="D14" s="95">
        <f>('Scope1A Stationary'!$C95*D12*'Scope1A Stationary'!$C83)</f>
        <v>0.60759959999999991</v>
      </c>
      <c r="E14" s="95">
        <f>('Scope1A Stationary'!$C95*E12*'Scope1A Stationary'!$C83)</f>
        <v>0.59786259999999991</v>
      </c>
    </row>
    <row r="15" spans="1:5">
      <c r="A15" s="111">
        <f>A12*'Scope1A Stationary'!$C95*'Scope1A Stationary'!$C83*'Scope1A Stationary'!$C85</f>
        <v>10.133234999999999</v>
      </c>
      <c r="B15" s="111">
        <f>B12*'Scope1A Stationary'!$C95*'Scope1A Stationary'!$C83*'Scope1A Stationary'!$C85</f>
        <v>11.907075599999999</v>
      </c>
      <c r="C15" s="111">
        <f>C12*'Scope1A Stationary'!$C95*'Scope1A Stationary'!$C83*'Scope1A Stationary'!$C85</f>
        <v>11.803604400000001</v>
      </c>
      <c r="D15" s="111">
        <f>D12*'Scope1A Stationary'!$C95*'Scope1A Stationary'!$C83*'Scope1A Stationary'!$C85</f>
        <v>12.759591599999998</v>
      </c>
      <c r="E15" s="111">
        <f>E12*'Scope1A Stationary'!$C95*'Scope1A Stationary'!$C83*'Scope1A Stationary'!$C85</f>
        <v>12.555114599999998</v>
      </c>
    </row>
    <row r="16" spans="1:5">
      <c r="A16" s="95">
        <f>('Scope1A Stationary'!$C96*A12*'Scope1A Stationary'!$C83)</f>
        <v>0.14476049999999999</v>
      </c>
      <c r="B16" s="95">
        <f>('Scope1A Stationary'!$C96*B12*'Scope1A Stationary'!$C83)</f>
        <v>0.17010107999999999</v>
      </c>
      <c r="C16" s="95">
        <f>('Scope1A Stationary'!$C96*C12*'Scope1A Stationary'!$C83)</f>
        <v>0.16862292000000001</v>
      </c>
      <c r="D16" s="95">
        <f>('Scope1A Stationary'!$C96*D12*'Scope1A Stationary'!$C83)</f>
        <v>0.18227987999999998</v>
      </c>
      <c r="E16" s="95">
        <f>('Scope1A Stationary'!$C96*E12*'Scope1A Stationary'!$C83)</f>
        <v>0.17935878</v>
      </c>
    </row>
    <row r="17" spans="1:5">
      <c r="A17" s="111">
        <f>A12*'Scope1A Stationary'!$C96*'Scope1A Stationary'!$C83*'Scope1A Stationary'!$C86</f>
        <v>44.875754999999998</v>
      </c>
      <c r="B17" s="111">
        <f>B12*'Scope1A Stationary'!$C96*'Scope1A Stationary'!$C83*'Scope1A Stationary'!$C86</f>
        <v>52.731334799999999</v>
      </c>
      <c r="C17" s="111">
        <f>C12*'Scope1A Stationary'!$C96*'Scope1A Stationary'!$C83*'Scope1A Stationary'!$C86</f>
        <v>52.273105200000003</v>
      </c>
      <c r="D17" s="111">
        <f>D12*'Scope1A Stationary'!$C96*'Scope1A Stationary'!$C83*'Scope1A Stationary'!$C86</f>
        <v>56.50676279999999</v>
      </c>
      <c r="E17" s="111">
        <f>E12*'Scope1A Stationary'!$C96*'Scope1A Stationary'!$C83*'Scope1A Stationary'!$C86</f>
        <v>55.601221799999998</v>
      </c>
    </row>
    <row r="18" spans="1:5">
      <c r="A18" s="472">
        <f>ROUND(A13+A15+A17,1)</f>
        <v>18863.400000000001</v>
      </c>
      <c r="B18" s="472">
        <f>ROUND(B13+B15+B17,1)</f>
        <v>22165.5</v>
      </c>
      <c r="C18" s="472">
        <f>ROUND(C13+C15+C17,1)</f>
        <v>21972.9</v>
      </c>
      <c r="D18" s="472">
        <f>ROUND(D13+D15+D17,1)</f>
        <v>23752.5</v>
      </c>
      <c r="E18" s="472">
        <f>ROUND(E13+E15+E17,1)</f>
        <v>23371.9</v>
      </c>
    </row>
    <row r="20" spans="1:5">
      <c r="A20" s="26" t="s">
        <v>671</v>
      </c>
      <c r="B20" s="382">
        <v>0</v>
      </c>
      <c r="C20" s="382">
        <v>0</v>
      </c>
      <c r="D20" s="26">
        <v>0</v>
      </c>
      <c r="E20" s="26">
        <v>0</v>
      </c>
    </row>
    <row r="21" spans="1:5">
      <c r="A21" s="6" t="s">
        <v>629</v>
      </c>
    </row>
    <row r="22" spans="1:5">
      <c r="A22" s="3" t="s">
        <v>608</v>
      </c>
      <c r="B22" s="3" t="s">
        <v>609</v>
      </c>
      <c r="C22" s="3" t="s">
        <v>515</v>
      </c>
      <c r="D22" s="3" t="s">
        <v>409</v>
      </c>
      <c r="E22" s="3" t="s">
        <v>488</v>
      </c>
    </row>
    <row r="23" spans="1:5">
      <c r="A23" s="28"/>
      <c r="B23" s="28">
        <v>149271.5</v>
      </c>
      <c r="C23" s="28">
        <v>185295.4</v>
      </c>
      <c r="D23" s="28">
        <v>175582</v>
      </c>
      <c r="E23" s="28">
        <v>3860.2</v>
      </c>
    </row>
    <row r="24" spans="1:5">
      <c r="A24" s="28"/>
      <c r="B24" s="28"/>
      <c r="C24" s="28"/>
      <c r="D24" s="28"/>
      <c r="E24" s="28">
        <v>94365.9</v>
      </c>
    </row>
    <row r="25" spans="1:5">
      <c r="A25" s="28"/>
      <c r="B25" s="28"/>
      <c r="C25" s="28"/>
      <c r="D25" s="28"/>
      <c r="E25" s="28">
        <v>48898.400000000001</v>
      </c>
    </row>
    <row r="26" spans="1:5">
      <c r="A26" s="112"/>
      <c r="B26" s="112"/>
      <c r="C26" s="112"/>
      <c r="D26" s="112"/>
      <c r="E26" s="112">
        <v>29735.7</v>
      </c>
    </row>
    <row r="27" spans="1:5">
      <c r="A27" s="134">
        <f>((A24*0.05)+(A25*0.2))</f>
        <v>0</v>
      </c>
      <c r="B27" s="134">
        <f>((B24*0.05)+(B25*0.2))</f>
        <v>0</v>
      </c>
      <c r="C27" s="134">
        <f>((C24*0.05)+(C25*0.2))</f>
        <v>0</v>
      </c>
      <c r="D27" s="134">
        <f>((D24*0.05)+(D25*0.2))</f>
        <v>0</v>
      </c>
      <c r="E27" s="134">
        <f>((E24*0.05)+(E25*0.2))</f>
        <v>14497.975</v>
      </c>
    </row>
    <row r="28" spans="1:5">
      <c r="A28" s="96">
        <f>(A23+(A24*0.95)+(A25*0.8)+A26)</f>
        <v>0</v>
      </c>
      <c r="B28" s="96">
        <f>(B23+(B24*0.95)+(B25*0.8)+B26)</f>
        <v>149271.5</v>
      </c>
      <c r="C28" s="96">
        <f>(C23+(C24*0.95)+(C25*0.8)+C26)</f>
        <v>185295.4</v>
      </c>
      <c r="D28" s="96">
        <f>(D23+(D24*0.95)+(D25*0.8)+D26)</f>
        <v>175582</v>
      </c>
      <c r="E28" s="96">
        <f>(E23+(E24*0.95)+(E25*0.8)+E26)</f>
        <v>162362.22500000001</v>
      </c>
    </row>
    <row r="29" spans="1:5">
      <c r="A29" s="123">
        <f>ROUND(A28*'Scope1A Stationary'!$C99,1)</f>
        <v>0</v>
      </c>
      <c r="B29" s="123">
        <f>ROUND(B28*'Scope1A Stationary'!$C99,1)</f>
        <v>20702.5</v>
      </c>
      <c r="C29" s="123">
        <f>ROUND(C28*'Scope1A Stationary'!$C99,1)</f>
        <v>25698.7</v>
      </c>
      <c r="D29" s="123">
        <f>ROUND(D28*'Scope1A Stationary'!$C99,1)</f>
        <v>24351.599999999999</v>
      </c>
      <c r="E29" s="123">
        <f>ROUND(E28*'Scope1A Stationary'!$C99,1)</f>
        <v>22518.1</v>
      </c>
    </row>
    <row r="30" spans="1:5">
      <c r="A30" s="115">
        <f>ROUND(A28*'Scope1A Stationary'!$C100,1)</f>
        <v>0</v>
      </c>
      <c r="B30" s="115">
        <f>ROUND(B28*'Scope1A Stationary'!$C100,1)</f>
        <v>1498.2</v>
      </c>
      <c r="C30" s="115">
        <f>ROUND(C28*'Scope1A Stationary'!$C100,1)</f>
        <v>1859.8</v>
      </c>
      <c r="D30" s="115">
        <f>ROUND(D28*'Scope1A Stationary'!$C100,1)</f>
        <v>1762.3</v>
      </c>
      <c r="E30" s="115">
        <f>ROUND(E28*'Scope1A Stationary'!$C100,1)</f>
        <v>1629.6</v>
      </c>
    </row>
    <row r="31" spans="1:5">
      <c r="A31" s="95">
        <f>('Scope1A Stationary'!$C104*A29*'Scope1A Stationary'!$C83)</f>
        <v>0</v>
      </c>
      <c r="B31" s="95">
        <f>('Scope1A Stationary'!$C104*B29*'Scope1A Stationary'!$C83)</f>
        <v>0.20702499999999999</v>
      </c>
      <c r="C31" s="95">
        <f>('Scope1A Stationary'!$C104*C29*'Scope1A Stationary'!$C83)</f>
        <v>0.25698699999999997</v>
      </c>
      <c r="D31" s="95">
        <f>('Scope1A Stationary'!$C104*D29*'Scope1A Stationary'!$C83)</f>
        <v>0.24351599999999998</v>
      </c>
      <c r="E31" s="95">
        <f>('Scope1A Stationary'!$C104*E29*'Scope1A Stationary'!$C83)</f>
        <v>0.22518099999999999</v>
      </c>
    </row>
    <row r="32" spans="1:5">
      <c r="A32" s="113">
        <f>A29*'Scope1A Stationary'!$C104*'Scope1A Stationary'!$C83*'Scope1A Stationary'!$C85</f>
        <v>0</v>
      </c>
      <c r="B32" s="113">
        <f>B29*'Scope1A Stationary'!$C104*'Scope1A Stationary'!$C83*'Scope1A Stationary'!$C85</f>
        <v>4.3475250000000001</v>
      </c>
      <c r="C32" s="113">
        <f>C29*'Scope1A Stationary'!$C104*'Scope1A Stationary'!$C83*'Scope1A Stationary'!$C85</f>
        <v>5.3967269999999994</v>
      </c>
      <c r="D32" s="113">
        <f>D29*'Scope1A Stationary'!$C104*'Scope1A Stationary'!$C83*'Scope1A Stationary'!$C85</f>
        <v>5.113836</v>
      </c>
      <c r="E32" s="113">
        <f>E29*'Scope1A Stationary'!$C104*'Scope1A Stationary'!$C83*'Scope1A Stationary'!$C85</f>
        <v>4.7288009999999998</v>
      </c>
    </row>
    <row r="33" spans="1:5">
      <c r="A33" s="95">
        <f>('Scope1A Stationary'!$C105*A29*'Scope1A Stationary'!$C83)</f>
        <v>0</v>
      </c>
      <c r="B33" s="95">
        <f>('Scope1A Stationary'!$C105*B29*'Scope1A Stationary'!$C83)</f>
        <v>1.24215E-2</v>
      </c>
      <c r="C33" s="95">
        <f>('Scope1A Stationary'!$C105*C29*'Scope1A Stationary'!$C83)</f>
        <v>1.5419219999999999E-2</v>
      </c>
      <c r="D33" s="95">
        <f>('Scope1A Stationary'!$C105*D29*'Scope1A Stationary'!$C83)</f>
        <v>1.4610959999999999E-2</v>
      </c>
      <c r="E33" s="95">
        <f>('Scope1A Stationary'!$C105*E29*'Scope1A Stationary'!$C83)</f>
        <v>1.3510859999999998E-2</v>
      </c>
    </row>
    <row r="34" spans="1:5">
      <c r="A34" s="18">
        <f>A29*'Scope1A Stationary'!$C105*'Scope1A Stationary'!$C83*'Scope1A Stationary'!$C86</f>
        <v>0</v>
      </c>
      <c r="B34" s="18">
        <f>B29*'Scope1A Stationary'!$C105*'Scope1A Stationary'!$C83*'Scope1A Stationary'!$C86</f>
        <v>3.8506650000000002</v>
      </c>
      <c r="C34" s="18">
        <f>C29*'Scope1A Stationary'!$C105*'Scope1A Stationary'!$C83*'Scope1A Stationary'!$C86</f>
        <v>4.7799581999999994</v>
      </c>
      <c r="D34" s="18">
        <f>D29*'Scope1A Stationary'!$C105*'Scope1A Stationary'!$C83*'Scope1A Stationary'!$C86</f>
        <v>4.5293975999999994</v>
      </c>
      <c r="E34" s="18">
        <f>E29*'Scope1A Stationary'!$C105*'Scope1A Stationary'!$C83*'Scope1A Stationary'!$C86</f>
        <v>4.1883665999999993</v>
      </c>
    </row>
    <row r="35" spans="1:5">
      <c r="A35" s="472">
        <f>ROUND(A30+A32+A34, 1)</f>
        <v>0</v>
      </c>
      <c r="B35" s="472">
        <f>ROUND(B30+B32+B34, 1)</f>
        <v>1506.4</v>
      </c>
      <c r="C35" s="472">
        <f>ROUND(C30+C32+C34, 1)</f>
        <v>1870</v>
      </c>
      <c r="D35" s="472">
        <f>ROUND(D30+D32+D34, 1)</f>
        <v>1771.9</v>
      </c>
      <c r="E35" s="472">
        <f>ROUND(E30+E32+E34, 1)</f>
        <v>1638.5</v>
      </c>
    </row>
    <row r="37" spans="1:5" s="29" customFormat="1">
      <c r="A37" s="236" t="s">
        <v>460</v>
      </c>
      <c r="B37" s="237">
        <v>0</v>
      </c>
      <c r="C37" s="382">
        <v>0</v>
      </c>
      <c r="D37" s="26">
        <v>0</v>
      </c>
      <c r="E37" s="26">
        <v>0</v>
      </c>
    </row>
    <row r="38" spans="1:5">
      <c r="A38" s="6" t="s">
        <v>629</v>
      </c>
    </row>
    <row r="39" spans="1:5">
      <c r="A39" s="3" t="s">
        <v>608</v>
      </c>
      <c r="B39" s="3" t="s">
        <v>609</v>
      </c>
      <c r="C39" s="3" t="s">
        <v>515</v>
      </c>
      <c r="D39" s="3" t="s">
        <v>409</v>
      </c>
      <c r="E39" s="3" t="s">
        <v>488</v>
      </c>
    </row>
    <row r="40" spans="1:5">
      <c r="A40" s="109"/>
      <c r="B40" s="109">
        <v>101680</v>
      </c>
      <c r="C40" s="109">
        <v>109785</v>
      </c>
      <c r="D40" s="109">
        <v>103700.3</v>
      </c>
      <c r="E40" s="109">
        <v>95439</v>
      </c>
    </row>
    <row r="41" spans="1:5">
      <c r="A41" s="123">
        <f>ROUND(A40*'Scope1A Stationary'!$C108,-1)</f>
        <v>0</v>
      </c>
      <c r="B41" s="123">
        <f>ROUND(B40*'Scope1A Stationary'!$C108,-1)</f>
        <v>9260</v>
      </c>
      <c r="C41" s="123">
        <f>ROUND(C40*'Scope1A Stationary'!$C108,-1)</f>
        <v>10000</v>
      </c>
      <c r="D41" s="123">
        <f>ROUND(D40*'Scope1A Stationary'!$C108,-1)</f>
        <v>9440</v>
      </c>
      <c r="E41" s="123">
        <f>ROUND(E40*'Scope1A Stationary'!$C108,-1)</f>
        <v>8690</v>
      </c>
    </row>
    <row r="42" spans="1:5">
      <c r="A42" s="115">
        <f>ROUND(A40*'Scope1A Stationary'!$C109,-1)</f>
        <v>0</v>
      </c>
      <c r="B42" s="115">
        <f>ROUND(B40*'Scope1A Stationary'!$C109,-1)</f>
        <v>580</v>
      </c>
      <c r="C42" s="115">
        <f>ROUND(C40*'Scope1A Stationary'!$C109,-1)</f>
        <v>630</v>
      </c>
      <c r="D42" s="115">
        <f>ROUND(D40*'Scope1A Stationary'!$C109,-1)</f>
        <v>590</v>
      </c>
      <c r="E42" s="115">
        <f>ROUND(E40*'Scope1A Stationary'!$C109,1)</f>
        <v>544.9</v>
      </c>
    </row>
    <row r="43" spans="1:5">
      <c r="A43" s="95">
        <f>('Scope1A Stationary'!$C114*A41*'Scope1A Stationary'!$C83)</f>
        <v>0</v>
      </c>
      <c r="B43" s="95">
        <f>('Scope1A Stationary'!$C114*B41*'Scope1A Stationary'!$C83)</f>
        <v>5.5560000000000002E-3</v>
      </c>
      <c r="C43" s="95">
        <f>('Scope1A Stationary'!$C114*C41*'Scope1A Stationary'!$C83)</f>
        <v>6.0000000000000001E-3</v>
      </c>
      <c r="D43" s="95">
        <f>('Scope1A Stationary'!$C114*D41*'Scope1A Stationary'!$C83)</f>
        <v>5.6639999999999998E-3</v>
      </c>
      <c r="E43" s="168">
        <f>('Scope1A Stationary'!$C113*E41*'Scope1A Stationary'!$C83)</f>
        <v>8.6899999999999991E-2</v>
      </c>
    </row>
    <row r="44" spans="1:5">
      <c r="A44" s="113">
        <f>A41*'Scope1A Stationary'!$C83*'Scope1A Stationary'!$C85*'Scope1A Stationary'!$C113</f>
        <v>0</v>
      </c>
      <c r="B44" s="113">
        <f>B41*'Scope1A Stationary'!$C83*'Scope1A Stationary'!$C85*'Scope1A Stationary'!$C113</f>
        <v>1.9445999999999999</v>
      </c>
      <c r="C44" s="113">
        <f>C41*'Scope1A Stationary'!$C83*'Scope1A Stationary'!$C85*'Scope1A Stationary'!$C113</f>
        <v>2.1</v>
      </c>
      <c r="D44" s="113">
        <f>D41*'Scope1A Stationary'!$C83*'Scope1A Stationary'!$C85*'Scope1A Stationary'!$C113</f>
        <v>1.9823999999999997</v>
      </c>
      <c r="E44" s="113">
        <f>E41*'Scope1A Stationary'!$C83*'Scope1A Stationary'!$C85*'Scope1A Stationary'!$C113</f>
        <v>1.8249</v>
      </c>
    </row>
    <row r="45" spans="1:5">
      <c r="A45" s="82">
        <f>('Scope1A Stationary'!$C114*A41*'Scope1A Stationary'!$C83)</f>
        <v>0</v>
      </c>
      <c r="B45" s="82">
        <f>('Scope1A Stationary'!$C114*B41*'Scope1A Stationary'!$C83)</f>
        <v>5.5560000000000002E-3</v>
      </c>
      <c r="C45" s="82">
        <f>('Scope1A Stationary'!$C114*C41*'Scope1A Stationary'!$C83)</f>
        <v>6.0000000000000001E-3</v>
      </c>
      <c r="D45" s="82">
        <f>('Scope1A Stationary'!$C114*D41*'Scope1A Stationary'!$C83)</f>
        <v>5.6639999999999998E-3</v>
      </c>
      <c r="E45" s="82">
        <f>('Scope1A Stationary'!$C114*E41*'Scope1A Stationary'!$C83)</f>
        <v>5.2139999999999999E-3</v>
      </c>
    </row>
    <row r="46" spans="1:5">
      <c r="A46" s="113">
        <f>A41*'Scope1A Stationary'!$C114*'Scope1A Stationary'!$C83*'Scope1A Stationary'!$C86</f>
        <v>0</v>
      </c>
      <c r="B46" s="113">
        <f>B41*'Scope1A Stationary'!$C114*'Scope1A Stationary'!$C83*'Scope1A Stationary'!$C86</f>
        <v>1.7223600000000001</v>
      </c>
      <c r="C46" s="113">
        <f>C41*'Scope1A Stationary'!$C114*'Scope1A Stationary'!$C83*'Scope1A Stationary'!$C86</f>
        <v>1.86</v>
      </c>
      <c r="D46" s="113">
        <f>D41*'Scope1A Stationary'!$C114*'Scope1A Stationary'!$C83*'Scope1A Stationary'!$C86</f>
        <v>1.7558399999999998</v>
      </c>
      <c r="E46" s="113">
        <f>E41*'Scope1A Stationary'!$C114*'Scope1A Stationary'!$C83*'Scope1A Stationary'!$C86</f>
        <v>1.6163399999999999</v>
      </c>
    </row>
    <row r="47" spans="1:5">
      <c r="A47" s="471">
        <f>A42+A44+A46</f>
        <v>0</v>
      </c>
      <c r="B47" s="471">
        <f>B42+B44+B46</f>
        <v>583.66696000000002</v>
      </c>
      <c r="C47" s="471">
        <f>C42+C44+C46</f>
        <v>633.96</v>
      </c>
      <c r="D47" s="471">
        <f>D42+D44+D46</f>
        <v>593.73824000000002</v>
      </c>
      <c r="E47" s="472">
        <f>E42+E44+E46</f>
        <v>548.34123999999997</v>
      </c>
    </row>
    <row r="48" spans="1:5">
      <c r="A48" s="468"/>
      <c r="B48" s="468"/>
      <c r="C48" s="468"/>
      <c r="D48" s="468"/>
      <c r="E48" s="73"/>
    </row>
    <row r="49" spans="1:7">
      <c r="A49" s="468"/>
      <c r="B49" s="468"/>
      <c r="C49" s="468"/>
      <c r="D49" s="468"/>
      <c r="E49" s="73"/>
    </row>
    <row r="50" spans="1:7">
      <c r="A50" s="468" t="s">
        <v>629</v>
      </c>
      <c r="B50" s="468"/>
      <c r="C50" s="468"/>
      <c r="D50" s="468"/>
      <c r="E50" s="73"/>
    </row>
    <row r="51" spans="1:7">
      <c r="A51" s="386" t="s">
        <v>608</v>
      </c>
      <c r="B51" s="386" t="s">
        <v>609</v>
      </c>
      <c r="C51" s="386" t="s">
        <v>515</v>
      </c>
      <c r="D51" s="386" t="s">
        <v>409</v>
      </c>
      <c r="E51" s="469" t="s">
        <v>488</v>
      </c>
    </row>
    <row r="52" spans="1:7">
      <c r="A52" s="386"/>
      <c r="B52" s="386">
        <v>0</v>
      </c>
      <c r="C52" s="386">
        <v>0</v>
      </c>
      <c r="D52" s="386">
        <v>0</v>
      </c>
      <c r="E52" s="469">
        <v>0</v>
      </c>
    </row>
    <row r="53" spans="1:7">
      <c r="A53" s="386">
        <v>0</v>
      </c>
      <c r="B53" s="386">
        <v>0</v>
      </c>
      <c r="C53" s="386">
        <v>0</v>
      </c>
      <c r="D53" s="386">
        <v>0</v>
      </c>
      <c r="E53" s="469">
        <v>0</v>
      </c>
    </row>
    <row r="54" spans="1:7">
      <c r="A54" s="468">
        <v>0</v>
      </c>
      <c r="B54" s="468">
        <v>0</v>
      </c>
      <c r="C54" s="468">
        <v>0</v>
      </c>
      <c r="D54" s="468">
        <v>0</v>
      </c>
      <c r="E54" s="73">
        <v>0</v>
      </c>
    </row>
    <row r="55" spans="1:7">
      <c r="A55" s="468">
        <v>0</v>
      </c>
      <c r="B55" s="468">
        <v>0</v>
      </c>
      <c r="C55" s="468">
        <v>0</v>
      </c>
      <c r="D55" s="468">
        <v>0</v>
      </c>
      <c r="E55" s="73">
        <v>0</v>
      </c>
    </row>
    <row r="56" spans="1:7">
      <c r="A56" s="468">
        <v>0</v>
      </c>
      <c r="B56" s="468">
        <v>0</v>
      </c>
      <c r="C56" s="468">
        <v>0</v>
      </c>
      <c r="D56" s="468">
        <v>0</v>
      </c>
      <c r="E56" s="73">
        <v>0</v>
      </c>
    </row>
    <row r="57" spans="1:7">
      <c r="A57">
        <v>0</v>
      </c>
      <c r="B57">
        <v>0</v>
      </c>
      <c r="C57">
        <v>0</v>
      </c>
      <c r="D57">
        <v>0</v>
      </c>
      <c r="E57">
        <v>0</v>
      </c>
    </row>
    <row r="58" spans="1:7">
      <c r="A58">
        <v>0</v>
      </c>
      <c r="B58">
        <v>0</v>
      </c>
      <c r="C58">
        <v>0</v>
      </c>
      <c r="D58">
        <v>0</v>
      </c>
      <c r="E58">
        <v>0</v>
      </c>
    </row>
    <row r="59" spans="1:7">
      <c r="A59" s="470">
        <v>0</v>
      </c>
      <c r="B59" s="470">
        <v>0</v>
      </c>
      <c r="C59" s="470">
        <v>0</v>
      </c>
      <c r="D59" s="470">
        <v>0</v>
      </c>
      <c r="E59" s="470">
        <v>0</v>
      </c>
    </row>
    <row r="61" spans="1:7">
      <c r="A61" s="119" t="s">
        <v>85</v>
      </c>
    </row>
    <row r="62" spans="1:7" ht="15">
      <c r="A62" s="236" t="s">
        <v>270</v>
      </c>
      <c r="B62" s="238">
        <v>4051.7</v>
      </c>
      <c r="C62" s="28">
        <v>2476.5100000000002</v>
      </c>
      <c r="D62" s="28">
        <v>5776.7</v>
      </c>
      <c r="E62" s="454"/>
      <c r="F62" s="454"/>
    </row>
    <row r="63" spans="1:7" ht="15">
      <c r="A63" s="530"/>
      <c r="B63" s="531"/>
      <c r="C63" s="65"/>
      <c r="D63" s="65"/>
      <c r="E63" s="532"/>
      <c r="F63" s="532"/>
      <c r="G63" s="29"/>
    </row>
    <row r="64" spans="1:7">
      <c r="A64" s="119" t="s">
        <v>50</v>
      </c>
    </row>
    <row r="66" spans="1:5">
      <c r="A66" s="3" t="s">
        <v>608</v>
      </c>
      <c r="B66" s="3" t="s">
        <v>609</v>
      </c>
      <c r="C66" s="3" t="s">
        <v>515</v>
      </c>
      <c r="D66" s="3" t="s">
        <v>409</v>
      </c>
      <c r="E66" s="3" t="s">
        <v>488</v>
      </c>
    </row>
    <row r="67" spans="1:5">
      <c r="A67" s="41">
        <v>19023760</v>
      </c>
      <c r="B67" s="41">
        <v>18423731</v>
      </c>
      <c r="C67" s="41">
        <v>19788578</v>
      </c>
      <c r="D67" s="41">
        <v>21509474</v>
      </c>
      <c r="E67" s="41">
        <v>22318014</v>
      </c>
    </row>
    <row r="68" spans="1:5">
      <c r="A68" s="41"/>
      <c r="B68" s="41"/>
      <c r="C68" s="41"/>
      <c r="D68" s="41"/>
      <c r="E68" s="41">
        <v>31622</v>
      </c>
    </row>
    <row r="69" spans="1:5">
      <c r="A69" s="41"/>
      <c r="B69" s="41"/>
      <c r="C69" s="41"/>
      <c r="D69" s="41"/>
      <c r="E69" s="41">
        <v>38080</v>
      </c>
    </row>
    <row r="70" spans="1:5">
      <c r="A70" s="41"/>
      <c r="B70" s="41"/>
      <c r="C70" s="41"/>
      <c r="D70" s="41"/>
      <c r="E70" s="41">
        <v>3811458</v>
      </c>
    </row>
    <row r="71" spans="1:5">
      <c r="A71" s="41"/>
      <c r="B71" s="41"/>
      <c r="C71" s="41"/>
      <c r="D71" s="41"/>
      <c r="E71" s="41">
        <v>4440</v>
      </c>
    </row>
    <row r="72" spans="1:5">
      <c r="A72" s="118"/>
      <c r="B72" s="118"/>
      <c r="C72" s="118">
        <v>719</v>
      </c>
      <c r="D72" s="118">
        <v>1005.7</v>
      </c>
      <c r="E72" s="118">
        <v>968.6</v>
      </c>
    </row>
    <row r="73" spans="1:5">
      <c r="A73" s="117">
        <f>((A67-A68)+A70+A71+A72)</f>
        <v>19023760</v>
      </c>
      <c r="B73" s="117">
        <f>((B67-B68)+B70+B71+B72)</f>
        <v>18423731</v>
      </c>
      <c r="C73" s="117">
        <f>((C67-C68)+C70+C71+C72)</f>
        <v>19789297</v>
      </c>
      <c r="D73" s="117">
        <f>((D67-D68)+D70+D71+D72)</f>
        <v>21510479.699999999</v>
      </c>
      <c r="E73" s="117">
        <f>((E67-E68)+E70+E71+E72)</f>
        <v>26103258.600000001</v>
      </c>
    </row>
    <row r="74" spans="1:5">
      <c r="A74" s="44">
        <f>SUM(A70:A72)</f>
        <v>0</v>
      </c>
      <c r="B74" s="44">
        <f>SUM(B70:B72)</f>
        <v>0</v>
      </c>
      <c r="C74" s="44">
        <f>SUM(C70:C72)</f>
        <v>719</v>
      </c>
      <c r="D74" s="44">
        <f>SUM(D70:D72)</f>
        <v>1005.7</v>
      </c>
      <c r="E74" s="44">
        <f>SUM(E70:E72)</f>
        <v>3816866.6</v>
      </c>
    </row>
    <row r="75" spans="1:5">
      <c r="A75" s="38">
        <f>A69</f>
        <v>0</v>
      </c>
      <c r="B75" s="38">
        <f>B69</f>
        <v>0</v>
      </c>
      <c r="C75" s="38">
        <f>C69</f>
        <v>0</v>
      </c>
      <c r="D75" s="38">
        <f>D69</f>
        <v>0</v>
      </c>
      <c r="E75" s="38">
        <f>E69</f>
        <v>38080</v>
      </c>
    </row>
    <row r="76" spans="1:5">
      <c r="A76" s="38">
        <f>A73-(A74+A75)</f>
        <v>19023760</v>
      </c>
      <c r="B76" s="38">
        <f>B73-(B74+B75)</f>
        <v>18423731</v>
      </c>
      <c r="C76" s="38">
        <f>C73-(C74+C75)</f>
        <v>19788578</v>
      </c>
      <c r="D76" s="38">
        <f>D73-(D74+D75)</f>
        <v>21509474</v>
      </c>
      <c r="E76" s="38">
        <f>E73-(E74+E75)</f>
        <v>22248312</v>
      </c>
    </row>
    <row r="77" spans="1:5">
      <c r="A77" s="2"/>
      <c r="B77" s="2"/>
      <c r="C77" s="2"/>
      <c r="D77" s="2"/>
      <c r="E77" s="2"/>
    </row>
    <row r="78" spans="1:5">
      <c r="A78" s="2"/>
      <c r="B78" s="2"/>
      <c r="C78" s="2"/>
      <c r="D78" s="2"/>
      <c r="E78" s="2"/>
    </row>
    <row r="79" spans="1:5">
      <c r="A79" s="92"/>
      <c r="B79" s="92"/>
      <c r="C79" s="92"/>
      <c r="D79" s="92"/>
      <c r="E79" s="93">
        <v>1.5229999999999999</v>
      </c>
    </row>
    <row r="80" spans="1:5">
      <c r="A80" s="92"/>
      <c r="B80" s="92"/>
      <c r="C80" s="92"/>
      <c r="D80" s="92"/>
      <c r="E80" s="93">
        <v>33.430500000000002</v>
      </c>
    </row>
    <row r="81" spans="1:5">
      <c r="A81" s="92"/>
      <c r="B81" s="92"/>
      <c r="C81" s="92"/>
      <c r="D81" s="92"/>
      <c r="E81" s="93"/>
    </row>
    <row r="82" spans="1:5">
      <c r="A82" s="92"/>
      <c r="B82" s="92"/>
      <c r="C82" s="92"/>
      <c r="D82" s="92"/>
      <c r="E82" s="93">
        <v>51.039900000000003</v>
      </c>
    </row>
    <row r="83" spans="1:5">
      <c r="A83" s="92"/>
      <c r="B83" s="92"/>
      <c r="C83" s="92"/>
      <c r="D83" s="92"/>
      <c r="E83" s="93">
        <v>2.7000000000000001E-3</v>
      </c>
    </row>
    <row r="84" spans="1:5">
      <c r="A84" s="92"/>
      <c r="B84" s="92"/>
      <c r="C84" s="92"/>
      <c r="D84" s="92"/>
      <c r="E84" s="93">
        <v>0</v>
      </c>
    </row>
    <row r="85" spans="1:5">
      <c r="A85" s="92"/>
      <c r="B85" s="92"/>
      <c r="C85" s="92"/>
      <c r="D85" s="92"/>
      <c r="E85" s="93">
        <v>3.4500000000000003E-2</v>
      </c>
    </row>
    <row r="86" spans="1:5">
      <c r="A86" s="92"/>
      <c r="B86" s="92"/>
      <c r="C86" s="92"/>
      <c r="D86" s="92"/>
      <c r="E86" s="93">
        <v>0.3634</v>
      </c>
    </row>
    <row r="87" spans="1:5">
      <c r="A87" s="94"/>
      <c r="B87" s="94"/>
      <c r="C87" s="94"/>
      <c r="D87" s="94"/>
      <c r="E87" s="93">
        <v>9.2491000000000003</v>
      </c>
    </row>
    <row r="88" spans="1:5">
      <c r="A88" s="92"/>
      <c r="B88" s="92"/>
      <c r="C88" s="92"/>
      <c r="D88" s="92"/>
      <c r="E88" s="93">
        <v>4.3570000000000002</v>
      </c>
    </row>
    <row r="89" spans="1:5">
      <c r="A89" s="125">
        <f>SUM(A79:A88)</f>
        <v>0</v>
      </c>
      <c r="B89" s="125">
        <f>SUM(B79:B88)</f>
        <v>0</v>
      </c>
      <c r="C89" s="125">
        <f>SUM(C79:C88)</f>
        <v>0</v>
      </c>
      <c r="D89" s="125">
        <f>SUM(D79:D88)</f>
        <v>0</v>
      </c>
      <c r="E89" s="125">
        <f>SUM(E79:E88)</f>
        <v>100.0001</v>
      </c>
    </row>
    <row r="90" spans="1:5">
      <c r="A90" s="2"/>
      <c r="B90" s="2"/>
      <c r="C90" s="2"/>
      <c r="D90" s="2"/>
      <c r="E90" s="2"/>
    </row>
    <row r="91" spans="1:5">
      <c r="A91" s="2"/>
      <c r="B91" s="2"/>
      <c r="C91" s="2"/>
      <c r="D91" s="2"/>
      <c r="E91" s="2"/>
    </row>
    <row r="92" spans="1:5">
      <c r="A92" s="92"/>
      <c r="B92" s="92"/>
      <c r="C92" s="92"/>
      <c r="D92" s="92"/>
      <c r="E92" s="197">
        <v>5</v>
      </c>
    </row>
    <row r="93" spans="1:5">
      <c r="A93" s="92"/>
      <c r="B93" s="92"/>
      <c r="C93" s="92"/>
      <c r="D93" s="92"/>
      <c r="E93" s="197">
        <v>6</v>
      </c>
    </row>
    <row r="94" spans="1:5">
      <c r="A94" s="92"/>
      <c r="B94" s="92"/>
      <c r="C94" s="92"/>
      <c r="D94" s="92"/>
      <c r="E94" s="197">
        <v>25.4</v>
      </c>
    </row>
    <row r="95" spans="1:5">
      <c r="A95" s="92"/>
      <c r="B95" s="92"/>
      <c r="C95" s="92"/>
      <c r="D95" s="92"/>
      <c r="E95" s="197">
        <v>28.3</v>
      </c>
    </row>
    <row r="96" spans="1:5">
      <c r="A96" s="92"/>
      <c r="B96" s="92"/>
      <c r="C96" s="92"/>
      <c r="D96" s="92"/>
      <c r="E96" s="197">
        <v>15.3</v>
      </c>
    </row>
    <row r="97" spans="1:5">
      <c r="A97" s="92"/>
      <c r="B97" s="92"/>
      <c r="C97" s="92"/>
      <c r="D97" s="92"/>
      <c r="E97" s="197">
        <v>0.6</v>
      </c>
    </row>
    <row r="98" spans="1:5">
      <c r="A98" s="92"/>
      <c r="B98" s="92"/>
      <c r="C98" s="92"/>
      <c r="D98" s="92"/>
      <c r="E98" s="197">
        <v>16.2</v>
      </c>
    </row>
    <row r="99" spans="1:5">
      <c r="A99" s="94"/>
      <c r="B99" s="94"/>
      <c r="C99" s="94"/>
      <c r="D99" s="94"/>
      <c r="E99" s="197">
        <v>3.2</v>
      </c>
    </row>
    <row r="100" spans="1:5">
      <c r="A100" s="42">
        <f>SUM(A92:A99)</f>
        <v>0</v>
      </c>
      <c r="B100" s="42">
        <f>SUM(B92:B99)</f>
        <v>0</v>
      </c>
      <c r="C100" s="42">
        <f>SUM(C92:C99)</f>
        <v>0</v>
      </c>
      <c r="D100" s="42">
        <f>SUM(D92:D99)</f>
        <v>0</v>
      </c>
      <c r="E100" s="42">
        <f>SUM(E92:E99)</f>
        <v>100</v>
      </c>
    </row>
    <row r="103" spans="1:5">
      <c r="A103" s="43">
        <f>A79+(A88*A92/100)</f>
        <v>0</v>
      </c>
      <c r="B103" s="43">
        <f>B79+(B88*B92/100)</f>
        <v>0</v>
      </c>
      <c r="C103" s="43">
        <f>C79+(C88*C92/100)</f>
        <v>0</v>
      </c>
      <c r="D103" s="43">
        <f>D79+(D88*D92/100)</f>
        <v>0</v>
      </c>
      <c r="E103" s="43">
        <f>E79+(E88*E92/100)</f>
        <v>1.74085</v>
      </c>
    </row>
    <row r="104" spans="1:5">
      <c r="A104" s="43">
        <f>A80+(A88*A93/100)</f>
        <v>0</v>
      </c>
      <c r="B104" s="43">
        <f>B80+(B88*B93/100)</f>
        <v>0</v>
      </c>
      <c r="C104" s="43">
        <f>C80+(C88*C93/100)</f>
        <v>0</v>
      </c>
      <c r="D104" s="43">
        <f>D80+(D88*D93/100)</f>
        <v>0</v>
      </c>
      <c r="E104" s="43">
        <f>E80+(E88*E93/100)</f>
        <v>33.691920000000003</v>
      </c>
    </row>
    <row r="105" spans="1:5">
      <c r="A105" s="43">
        <f>A82+(A88*A94/100)</f>
        <v>0</v>
      </c>
      <c r="B105" s="43">
        <f>B82+(B88*B94/100)</f>
        <v>0</v>
      </c>
      <c r="C105" s="43">
        <f>C82+(C88*C94/100)</f>
        <v>0</v>
      </c>
      <c r="D105" s="43">
        <f>D82+(D88*D94/100)</f>
        <v>0</v>
      </c>
      <c r="E105" s="43">
        <f>E82+(E88*E94/100)</f>
        <v>52.146578000000005</v>
      </c>
    </row>
    <row r="106" spans="1:5">
      <c r="A106" s="43">
        <f>A83+(A88*A95/100)</f>
        <v>0</v>
      </c>
      <c r="B106" s="43">
        <f>B83+(B88*B95/100)</f>
        <v>0</v>
      </c>
      <c r="C106" s="43">
        <f>C83+(C88*C95/100)</f>
        <v>0</v>
      </c>
      <c r="D106" s="43">
        <f>D83+(D88*D95/100)</f>
        <v>0</v>
      </c>
      <c r="E106" s="43">
        <f>E83+(E88*E95/100)</f>
        <v>1.2357310000000001</v>
      </c>
    </row>
    <row r="107" spans="1:5">
      <c r="A107" s="43">
        <f>A84+(A88*A96/100)</f>
        <v>0</v>
      </c>
      <c r="B107" s="43">
        <f>B84+(B88*B96/100)</f>
        <v>0</v>
      </c>
      <c r="C107" s="43">
        <f>C84+(C88*C96/100)</f>
        <v>0</v>
      </c>
      <c r="D107" s="43">
        <f>D84+(D88*D96/100)</f>
        <v>0</v>
      </c>
      <c r="E107" s="43">
        <f>E84+(E88*E96/100)</f>
        <v>0.66662100000000013</v>
      </c>
    </row>
    <row r="108" spans="1:5">
      <c r="A108" s="43">
        <f>A85+(A88*A97/100)</f>
        <v>0</v>
      </c>
      <c r="B108" s="43">
        <f>B85+(B88*B97/100)</f>
        <v>0</v>
      </c>
      <c r="C108" s="43">
        <f>C85+(C88*C97/100)</f>
        <v>0</v>
      </c>
      <c r="D108" s="43">
        <f>D85+(D88*D97/100)</f>
        <v>0</v>
      </c>
      <c r="E108" s="43">
        <f>E85+(E88*E97/100)</f>
        <v>6.0642000000000001E-2</v>
      </c>
    </row>
    <row r="109" spans="1:5">
      <c r="A109" s="43">
        <f>A86+(A88*A98/100)</f>
        <v>0</v>
      </c>
      <c r="B109" s="43">
        <f>B86+(B88*B98/100)</f>
        <v>0</v>
      </c>
      <c r="C109" s="43">
        <f>C86+(C88*C98/100)</f>
        <v>0</v>
      </c>
      <c r="D109" s="43">
        <f>D86+(D88*D98/100)</f>
        <v>0</v>
      </c>
      <c r="E109" s="43">
        <f>E86+(E88*E98/100)</f>
        <v>1.069234</v>
      </c>
    </row>
    <row r="110" spans="1:5">
      <c r="A110" s="43">
        <f>A87+(A88*A99/100)</f>
        <v>0</v>
      </c>
      <c r="B110" s="43">
        <f>B87+(B88*B99/100)</f>
        <v>0</v>
      </c>
      <c r="C110" s="43">
        <f>C87+(C88*C99/100)</f>
        <v>0</v>
      </c>
      <c r="D110" s="43"/>
      <c r="E110" s="43">
        <f>E87+(E88*E99/100)</f>
        <v>9.3885240000000003</v>
      </c>
    </row>
    <row r="111" spans="1:5">
      <c r="A111" s="42">
        <f>SUM(A103:A110)</f>
        <v>0</v>
      </c>
      <c r="B111" s="42">
        <f>SUM(B103:B110)</f>
        <v>0</v>
      </c>
      <c r="C111" s="42">
        <f>SUM(C103:C110)</f>
        <v>0</v>
      </c>
      <c r="D111" s="42">
        <f>SUM(D103:D110)</f>
        <v>0</v>
      </c>
      <c r="E111" s="42">
        <f>SUM(E103:E110)</f>
        <v>100.00010000000002</v>
      </c>
    </row>
    <row r="112" spans="1:5">
      <c r="A112" s="39"/>
      <c r="B112" s="39"/>
      <c r="C112" s="39"/>
      <c r="D112" s="39"/>
      <c r="E112" s="40"/>
    </row>
    <row r="113" spans="1:5">
      <c r="A113" s="39"/>
      <c r="B113" s="39"/>
      <c r="C113" s="39"/>
      <c r="D113" s="39"/>
      <c r="E113" s="40"/>
    </row>
    <row r="114" spans="1:5">
      <c r="A114" s="38">
        <f>A70</f>
        <v>0</v>
      </c>
      <c r="B114" s="38">
        <f>B70</f>
        <v>0</v>
      </c>
      <c r="C114" s="38">
        <f>C70</f>
        <v>0</v>
      </c>
      <c r="D114" s="38">
        <f>D70</f>
        <v>0</v>
      </c>
      <c r="E114" s="38">
        <f>E70</f>
        <v>3811458</v>
      </c>
    </row>
    <row r="115" spans="1:5">
      <c r="A115" s="30">
        <f>A71</f>
        <v>0</v>
      </c>
      <c r="B115" s="30">
        <f>B71</f>
        <v>0</v>
      </c>
      <c r="C115" s="30">
        <f>C71</f>
        <v>0</v>
      </c>
      <c r="D115" s="30">
        <f>D71</f>
        <v>0</v>
      </c>
      <c r="E115" s="5">
        <v>4440</v>
      </c>
    </row>
    <row r="116" spans="1:5">
      <c r="A116" s="38">
        <f>A72</f>
        <v>0</v>
      </c>
      <c r="B116" s="38">
        <f>B72</f>
        <v>0</v>
      </c>
      <c r="C116" s="369">
        <v>956.4</v>
      </c>
      <c r="D116" s="369">
        <v>883.9</v>
      </c>
      <c r="E116" s="383">
        <v>972.7</v>
      </c>
    </row>
    <row r="117" spans="1:5">
      <c r="A117" s="38">
        <f>A69</f>
        <v>0</v>
      </c>
      <c r="B117" s="38">
        <f>B69</f>
        <v>0</v>
      </c>
      <c r="C117" s="38">
        <f>C69</f>
        <v>0</v>
      </c>
      <c r="D117" s="38">
        <f>D69</f>
        <v>0</v>
      </c>
      <c r="E117" s="38">
        <f>E69</f>
        <v>38080</v>
      </c>
    </row>
    <row r="118" spans="1:5">
      <c r="A118" s="38">
        <f>(A103/100)*A76</f>
        <v>0</v>
      </c>
      <c r="B118" s="38">
        <f>(B103/100)*B76</f>
        <v>0</v>
      </c>
      <c r="C118" s="38">
        <f>(C103/100)*C76</f>
        <v>0</v>
      </c>
      <c r="D118" s="38">
        <f>(D103/100)*D76</f>
        <v>0</v>
      </c>
      <c r="E118" s="38">
        <f>(E103/100)*E76</f>
        <v>387309.73945200001</v>
      </c>
    </row>
    <row r="119" spans="1:5">
      <c r="A119" s="38">
        <f>(A104/100)*A76</f>
        <v>0</v>
      </c>
      <c r="B119" s="38">
        <f>(B104/100)*B76</f>
        <v>0</v>
      </c>
      <c r="C119" s="38">
        <f>(C104/100)*C76</f>
        <v>0</v>
      </c>
      <c r="D119" s="38">
        <f>(D104/100)*D76</f>
        <v>0</v>
      </c>
      <c r="E119" s="38">
        <f>(E104/100)*E76</f>
        <v>7495883.4803904006</v>
      </c>
    </row>
    <row r="120" spans="1:5">
      <c r="A120" s="38">
        <f>(A105/100)*A76</f>
        <v>0</v>
      </c>
      <c r="B120" s="38">
        <f>(B105/100)*B76</f>
        <v>0</v>
      </c>
      <c r="C120" s="38">
        <f>(C105/100)*C76</f>
        <v>0</v>
      </c>
      <c r="D120" s="38">
        <f>(D105/100)*D76</f>
        <v>0</v>
      </c>
      <c r="E120" s="38">
        <f>(E105/100)*E76</f>
        <v>11601733.370763361</v>
      </c>
    </row>
    <row r="121" spans="1:5">
      <c r="A121" s="44">
        <f>(A106/100)*A76</f>
        <v>0</v>
      </c>
      <c r="B121" s="44">
        <f>(B106/100)*B76</f>
        <v>0</v>
      </c>
      <c r="C121" s="44">
        <f>(C106/100)*C76</f>
        <v>0</v>
      </c>
      <c r="D121" s="44">
        <f>(D106/100)*D76</f>
        <v>0</v>
      </c>
      <c r="E121" s="44">
        <f>(E106/100)*E76</f>
        <v>274929.28836072003</v>
      </c>
    </row>
    <row r="122" spans="1:5">
      <c r="A122" s="44">
        <f>(A107/100)*A76</f>
        <v>0</v>
      </c>
      <c r="B122" s="44">
        <f>(B107/100)*B76</f>
        <v>0</v>
      </c>
      <c r="C122" s="44">
        <f>(C107/100)*C76</f>
        <v>0</v>
      </c>
      <c r="D122" s="44">
        <f>(D107/100)*D76</f>
        <v>0</v>
      </c>
      <c r="E122" s="44">
        <f>(E107/100)*E76</f>
        <v>148311.91993752003</v>
      </c>
    </row>
    <row r="123" spans="1:5">
      <c r="A123" s="44">
        <f>(A108/100)*A76</f>
        <v>0</v>
      </c>
      <c r="B123" s="44">
        <f>(B108/100)*B76</f>
        <v>0</v>
      </c>
      <c r="C123" s="44">
        <f>(C108/100)*C76</f>
        <v>0</v>
      </c>
      <c r="D123" s="44">
        <f>(D108/100)*D76</f>
        <v>0</v>
      </c>
      <c r="E123" s="44">
        <f>(E108/100)*E76</f>
        <v>13491.821363040001</v>
      </c>
    </row>
    <row r="124" spans="1:5">
      <c r="A124" s="44">
        <f>(A109/100)*A76</f>
        <v>0</v>
      </c>
      <c r="B124" s="44">
        <f>(B109/100)*B76</f>
        <v>0</v>
      </c>
      <c r="C124" s="44">
        <f>(C109/100)*C76</f>
        <v>0</v>
      </c>
      <c r="D124" s="44">
        <f>(D109/100)*D76</f>
        <v>0</v>
      </c>
      <c r="E124" s="44">
        <f>(E109/100)*E76</f>
        <v>237886.51633007999</v>
      </c>
    </row>
    <row r="125" spans="1:5">
      <c r="A125" s="44">
        <f>(A110/100)*A76</f>
        <v>0</v>
      </c>
      <c r="B125" s="44">
        <f>(B110/100)*B76</f>
        <v>0</v>
      </c>
      <c r="C125" s="44">
        <f>(C110/100)*C76</f>
        <v>0</v>
      </c>
      <c r="D125" s="44">
        <f>(D110/100)*D76</f>
        <v>0</v>
      </c>
      <c r="E125" s="44">
        <f>(E110/100)*E76</f>
        <v>2088788.1117148802</v>
      </c>
    </row>
    <row r="126" spans="1:5">
      <c r="A126" s="46">
        <f>SUM(A118:A125)</f>
        <v>0</v>
      </c>
      <c r="B126" s="46">
        <f>SUM(B118:B125)</f>
        <v>0</v>
      </c>
      <c r="C126" s="46">
        <f>SUM(C118:C125)</f>
        <v>0</v>
      </c>
      <c r="D126" s="46">
        <f>SUM(D118:D125)</f>
        <v>0</v>
      </c>
      <c r="E126" s="46">
        <f>SUM(E114:E125)</f>
        <v>26103284.948311999</v>
      </c>
    </row>
    <row r="127" spans="1:5">
      <c r="A127" s="117"/>
      <c r="B127" s="117"/>
      <c r="C127" s="117"/>
      <c r="D127" s="117"/>
      <c r="E127" s="117"/>
    </row>
    <row r="128" spans="1:5">
      <c r="A128" s="117"/>
      <c r="B128" s="117"/>
      <c r="C128" s="907" t="s">
        <v>541</v>
      </c>
      <c r="D128" s="907"/>
    </row>
    <row r="129" spans="1:5">
      <c r="A129" s="117"/>
      <c r="B129" s="117"/>
      <c r="C129" s="59">
        <v>0.894135185171127</v>
      </c>
      <c r="D129" s="908" t="s">
        <v>597</v>
      </c>
      <c r="E129" s="908"/>
    </row>
    <row r="130" spans="1:5">
      <c r="A130" s="29"/>
      <c r="B130" s="29"/>
      <c r="C130" s="59">
        <v>0.105864814828873</v>
      </c>
      <c r="D130" s="908" t="s">
        <v>869</v>
      </c>
      <c r="E130" s="908"/>
    </row>
    <row r="131" spans="1:5">
      <c r="A131" s="39"/>
      <c r="B131" s="39"/>
      <c r="C131" s="39"/>
      <c r="D131" s="39"/>
      <c r="E131" s="40"/>
    </row>
    <row r="132" spans="1:5">
      <c r="A132" s="48" t="e">
        <f>(A114/A126)</f>
        <v>#DIV/0!</v>
      </c>
      <c r="B132" s="48" t="e">
        <f>(B114/B126)</f>
        <v>#DIV/0!</v>
      </c>
      <c r="C132" s="48" t="e">
        <f>(C114/C126)</f>
        <v>#DIV/0!</v>
      </c>
      <c r="D132" s="48" t="e">
        <f>(D114/D126)</f>
        <v>#DIV/0!</v>
      </c>
      <c r="E132" s="53">
        <f>(E114/E126)</f>
        <v>0.14601449616579665</v>
      </c>
    </row>
    <row r="133" spans="1:5">
      <c r="A133" s="48" t="e">
        <f>(A115/A126)</f>
        <v>#DIV/0!</v>
      </c>
      <c r="B133" s="48" t="e">
        <f>(B115/B126)</f>
        <v>#DIV/0!</v>
      </c>
      <c r="C133" s="48" t="e">
        <f>(C115/C126)</f>
        <v>#DIV/0!</v>
      </c>
      <c r="D133" s="48" t="e">
        <f>(D115/D126)</f>
        <v>#DIV/0!</v>
      </c>
      <c r="E133" s="53">
        <f>(E115/E126)</f>
        <v>1.7009353454141096E-4</v>
      </c>
    </row>
    <row r="134" spans="1:5">
      <c r="A134" s="48" t="e">
        <f>(A116/A126)</f>
        <v>#DIV/0!</v>
      </c>
      <c r="B134" s="48" t="e">
        <f>(B116/B126)</f>
        <v>#DIV/0!</v>
      </c>
      <c r="C134" s="48" t="e">
        <f>(C116/C126)</f>
        <v>#DIV/0!</v>
      </c>
      <c r="D134" s="48" t="e">
        <f>(D116/D126)</f>
        <v>#DIV/0!</v>
      </c>
      <c r="E134" s="53">
        <f>(E116/E126)</f>
        <v>3.7263509245141992E-5</v>
      </c>
    </row>
    <row r="135" spans="1:5">
      <c r="A135" s="48" t="e">
        <f>(A117/A126)</f>
        <v>#DIV/0!</v>
      </c>
      <c r="B135" s="48" t="e">
        <f>(B117/B126)</f>
        <v>#DIV/0!</v>
      </c>
      <c r="C135" s="48" t="e">
        <f>(C117/C126)</f>
        <v>#DIV/0!</v>
      </c>
      <c r="D135" s="48" t="e">
        <f>(D117/D126)</f>
        <v>#DIV/0!</v>
      </c>
      <c r="E135" s="53">
        <f>(E117/E126)</f>
        <v>1.4588202241749841E-3</v>
      </c>
    </row>
    <row r="136" spans="1:5">
      <c r="A136" s="48" t="e">
        <f>(A118/A126)</f>
        <v>#DIV/0!</v>
      </c>
      <c r="B136" s="48" t="e">
        <f>(B118/B126)</f>
        <v>#DIV/0!</v>
      </c>
      <c r="C136" s="48" t="e">
        <f>(C118/C126)</f>
        <v>#DIV/0!</v>
      </c>
      <c r="D136" s="48" t="e">
        <f>(D118/D126)</f>
        <v>#DIV/0!</v>
      </c>
      <c r="E136" s="53">
        <f>(E118/E126)</f>
        <v>1.4837586158942262E-2</v>
      </c>
    </row>
    <row r="137" spans="1:5">
      <c r="A137" s="48" t="e">
        <f>(A119/A126)</f>
        <v>#DIV/0!</v>
      </c>
      <c r="B137" s="48" t="e">
        <f>(B119/B126)</f>
        <v>#DIV/0!</v>
      </c>
      <c r="C137" s="48" t="e">
        <f>(C119/C126)</f>
        <v>#DIV/0!</v>
      </c>
      <c r="D137" s="48" t="e">
        <f>(D119/D126)</f>
        <v>#DIV/0!</v>
      </c>
      <c r="E137" s="53">
        <f>(E119/E126)</f>
        <v>0.28716245848877847</v>
      </c>
    </row>
    <row r="138" spans="1:5">
      <c r="A138" s="48" t="e">
        <f>(A120/A126)</f>
        <v>#DIV/0!</v>
      </c>
      <c r="B138" s="48" t="e">
        <f>(B120/B126)</f>
        <v>#DIV/0!</v>
      </c>
      <c r="C138" s="48" t="e">
        <f>(C120/C126)</f>
        <v>#DIV/0!</v>
      </c>
      <c r="D138" s="48" t="e">
        <f>(D120/D126)</f>
        <v>#DIV/0!</v>
      </c>
      <c r="E138" s="53">
        <f>(E120/E126)</f>
        <v>0.44445491798202208</v>
      </c>
    </row>
    <row r="139" spans="1:5">
      <c r="A139" s="48" t="e">
        <f>(A121/A126)</f>
        <v>#DIV/0!</v>
      </c>
      <c r="B139" s="48" t="e">
        <f>(B121/B126)</f>
        <v>#DIV/0!</v>
      </c>
      <c r="C139" s="48" t="e">
        <f>(C121/C126)</f>
        <v>#DIV/0!</v>
      </c>
      <c r="D139" s="48" t="e">
        <f>(D121/D126)</f>
        <v>#DIV/0!</v>
      </c>
      <c r="E139" s="53">
        <f>(E121/E126)</f>
        <v>1.0532363605006681E-2</v>
      </c>
    </row>
    <row r="140" spans="1:5">
      <c r="A140" s="48" t="e">
        <f>(A122/A126)</f>
        <v>#DIV/0!</v>
      </c>
      <c r="B140" s="48" t="e">
        <f>(B122/B126)</f>
        <v>#DIV/0!</v>
      </c>
      <c r="C140" s="48" t="e">
        <f>(C122/C126)</f>
        <v>#DIV/0!</v>
      </c>
      <c r="D140" s="48" t="e">
        <f>(D122/D126)</f>
        <v>#DIV/0!</v>
      </c>
      <c r="E140" s="53">
        <f>(E122/E126)</f>
        <v>5.6817339362152117E-3</v>
      </c>
    </row>
    <row r="141" spans="1:5">
      <c r="A141" s="48" t="e">
        <f>(A123/A126)</f>
        <v>#DIV/0!</v>
      </c>
      <c r="B141" s="48" t="e">
        <f>(B123/B126)</f>
        <v>#DIV/0!</v>
      </c>
      <c r="C141" s="48" t="e">
        <f>(C123/C126)</f>
        <v>#DIV/0!</v>
      </c>
      <c r="D141" s="48" t="e">
        <f>(D123/D126)</f>
        <v>#DIV/0!</v>
      </c>
      <c r="E141" s="53">
        <f>(E123/E126)</f>
        <v>5.1686296915333125E-4</v>
      </c>
    </row>
    <row r="142" spans="1:5">
      <c r="A142" s="48" t="e">
        <f>(A124/A126)</f>
        <v>#DIV/0!</v>
      </c>
      <c r="B142" s="48" t="e">
        <f>(B124/B126)</f>
        <v>#DIV/0!</v>
      </c>
      <c r="C142" s="48" t="e">
        <f>(C124/C126)</f>
        <v>#DIV/0!</v>
      </c>
      <c r="D142" s="48" t="e">
        <f>(D124/D126)</f>
        <v>#DIV/0!</v>
      </c>
      <c r="E142" s="53">
        <f>(E124/E126)</f>
        <v>9.113278914938374E-3</v>
      </c>
    </row>
    <row r="143" spans="1:5">
      <c r="A143" s="48" t="e">
        <f>(A125/A126)</f>
        <v>#DIV/0!</v>
      </c>
      <c r="B143" s="48" t="e">
        <f>(B125/B126)</f>
        <v>#DIV/0!</v>
      </c>
      <c r="C143" s="48" t="e">
        <f>(C125/C126)</f>
        <v>#DIV/0!</v>
      </c>
      <c r="D143" s="48" t="e">
        <f>(D125/D126)</f>
        <v>#DIV/0!</v>
      </c>
      <c r="E143" s="53">
        <f>(E125/E126)</f>
        <v>8.0020124511185481E-2</v>
      </c>
    </row>
    <row r="144" spans="1:5">
      <c r="A144" s="49" t="e">
        <f>SUM(A132:A143)</f>
        <v>#DIV/0!</v>
      </c>
      <c r="B144" s="49" t="e">
        <f>SUM(B132:B143)</f>
        <v>#DIV/0!</v>
      </c>
      <c r="C144" s="49" t="e">
        <f>SUM(C132:C143)</f>
        <v>#DIV/0!</v>
      </c>
      <c r="D144" s="49" t="e">
        <f>SUM(D132:D143)</f>
        <v>#DIV/0!</v>
      </c>
      <c r="E144" s="54">
        <f>SUM(E132:E143)</f>
        <v>1</v>
      </c>
    </row>
    <row r="145" spans="1:5">
      <c r="A145" s="29"/>
      <c r="B145" s="29"/>
      <c r="C145" s="29"/>
      <c r="D145" s="29"/>
      <c r="E145" s="29"/>
    </row>
    <row r="147" spans="1:5">
      <c r="A147" s="6" t="s">
        <v>629</v>
      </c>
    </row>
    <row r="148" spans="1:5">
      <c r="A148" s="3" t="s">
        <v>608</v>
      </c>
      <c r="B148" s="3" t="s">
        <v>609</v>
      </c>
      <c r="C148" s="3" t="s">
        <v>515</v>
      </c>
      <c r="D148" s="3" t="s">
        <v>409</v>
      </c>
      <c r="E148" s="3" t="s">
        <v>488</v>
      </c>
    </row>
    <row r="149" spans="1:5">
      <c r="A149" s="122">
        <f>A121</f>
        <v>0</v>
      </c>
      <c r="B149" s="122">
        <f>B121</f>
        <v>0</v>
      </c>
      <c r="C149" s="122">
        <f>C121</f>
        <v>0</v>
      </c>
      <c r="D149" s="122">
        <f>D121</f>
        <v>0</v>
      </c>
      <c r="E149" s="122">
        <f>E121</f>
        <v>274929.28836072003</v>
      </c>
    </row>
    <row r="150" spans="1:5">
      <c r="A150" s="123">
        <f>ROUND(A149*'Scope2 Electricity'!$B188,1)</f>
        <v>0</v>
      </c>
      <c r="B150" s="123">
        <f>ROUND(B149*'Scope2 Electricity'!$B188,1)</f>
        <v>0</v>
      </c>
      <c r="C150" s="123">
        <f>ROUND(C149*'Scope2 Electricity'!$B188,1)</f>
        <v>0</v>
      </c>
      <c r="D150" s="123">
        <f>ROUND(D149*'Scope2 Electricity'!$B188,1)</f>
        <v>0</v>
      </c>
      <c r="E150" s="123">
        <f>ROUND(E149*'Scope2 Electricity'!$B188,1)</f>
        <v>938.1</v>
      </c>
    </row>
    <row r="151" spans="1:5">
      <c r="A151" s="115">
        <f>ROUND(A149*'Scope2 Electricity'!$B196,1)</f>
        <v>0</v>
      </c>
      <c r="B151" s="115">
        <f>ROUND(B149*'Scope2 Electricity'!$B196,1)</f>
        <v>0</v>
      </c>
      <c r="C151" s="115">
        <f>ROUND(C149*'Scope2 Electricity'!$B196,1)</f>
        <v>0</v>
      </c>
      <c r="D151" s="115">
        <f>ROUND(D149*'Scope2 Electricity'!$B196,1)</f>
        <v>0</v>
      </c>
      <c r="E151" s="115">
        <f>ROUND(E149*'Scope2 Electricity'!$B196,1)</f>
        <v>49.5</v>
      </c>
    </row>
    <row r="152" spans="1:5">
      <c r="A152" s="82">
        <f>('Scope2 Electricity'!$B197*A150*'Scope2 Electricity'!$B190)</f>
        <v>0</v>
      </c>
      <c r="B152" s="82">
        <f>('Scope2 Electricity'!$B197*B150*'Scope2 Electricity'!$B190)</f>
        <v>0</v>
      </c>
      <c r="C152" s="82">
        <f>('Scope2 Electricity'!$B197*C150*'Scope2 Electricity'!$B190)</f>
        <v>0</v>
      </c>
      <c r="D152" s="82">
        <f>('Scope2 Electricity'!$B197*D150*'Scope2 Electricity'!$B190)</f>
        <v>0</v>
      </c>
      <c r="E152" s="82">
        <f>('Scope2 Electricity'!$B197*E150*'Scope2 Electricity'!$B190)</f>
        <v>8.911949999999999E-4</v>
      </c>
    </row>
    <row r="153" spans="1:5">
      <c r="A153" s="124">
        <f>A150*'Scope2 Electricity'!$B197*'Scope2 Electricity'!$B190*'Scope2 Electricity'!$B192</f>
        <v>0</v>
      </c>
      <c r="B153" s="124">
        <f>B150*'Scope2 Electricity'!$B197*'Scope2 Electricity'!$B190*'Scope2 Electricity'!$B192</f>
        <v>0</v>
      </c>
      <c r="C153" s="124">
        <f>C150*'Scope2 Electricity'!$B197*'Scope2 Electricity'!$B190*'Scope2 Electricity'!$B192</f>
        <v>0</v>
      </c>
      <c r="D153" s="124">
        <f>D150*'Scope2 Electricity'!$B197*'Scope2 Electricity'!$B190*'Scope2 Electricity'!$B192</f>
        <v>0</v>
      </c>
      <c r="E153" s="124">
        <f>E150*'Scope2 Electricity'!$B197*'Scope2 Electricity'!$B190*'Scope2 Electricity'!$B192</f>
        <v>1.8715094999999998E-2</v>
      </c>
    </row>
    <row r="154" spans="1:5">
      <c r="A154" s="82">
        <f>('Scope2 Electricity'!$B198*A150*'Scope2 Electricity'!$B190)</f>
        <v>0</v>
      </c>
      <c r="B154" s="82">
        <f>('Scope2 Electricity'!$B198*B150*'Scope2 Electricity'!$B190)</f>
        <v>0</v>
      </c>
      <c r="C154" s="82">
        <f>('Scope2 Electricity'!$B198*C150*'Scope2 Electricity'!$B190)</f>
        <v>0</v>
      </c>
      <c r="D154" s="82">
        <f>('Scope2 Electricity'!$B198*D150*'Scope2 Electricity'!$B190)</f>
        <v>0</v>
      </c>
      <c r="E154" s="82">
        <f>('Scope2 Electricity'!$B198*E150*'Scope2 Electricity'!$B190)</f>
        <v>8.9119499999999993E-5</v>
      </c>
    </row>
    <row r="155" spans="1:5">
      <c r="A155" s="124">
        <f>A150*'Scope2 Electricity'!$B198*'Scope2 Electricity'!$B190*'Scope2 Electricity'!$B193</f>
        <v>0</v>
      </c>
      <c r="B155" s="124">
        <f>B150*'Scope2 Electricity'!$B198*'Scope2 Electricity'!$B190*'Scope2 Electricity'!$B193</f>
        <v>0</v>
      </c>
      <c r="C155" s="124">
        <f>C150*'Scope2 Electricity'!$B198*'Scope2 Electricity'!$B190*'Scope2 Electricity'!$B193</f>
        <v>0</v>
      </c>
      <c r="D155" s="124">
        <f>D150*'Scope2 Electricity'!$B198*'Scope2 Electricity'!$B190*'Scope2 Electricity'!$B193</f>
        <v>0</v>
      </c>
      <c r="E155" s="124">
        <f>E150*'Scope2 Electricity'!$B198*'Scope2 Electricity'!$B190*'Scope2 Electricity'!$B193</f>
        <v>2.7627044999999999E-2</v>
      </c>
    </row>
    <row r="156" spans="1:5">
      <c r="A156" s="472">
        <f>ROUND(A151+A153+A155,1)</f>
        <v>0</v>
      </c>
      <c r="B156" s="472">
        <f>ROUND(B151+B153+B155,1)</f>
        <v>0</v>
      </c>
      <c r="C156" s="472">
        <f>ROUND(C151+C153+C155,1)</f>
        <v>0</v>
      </c>
      <c r="D156" s="472">
        <f>ROUND(D151+D153+D155,1)</f>
        <v>0</v>
      </c>
      <c r="E156" s="472">
        <f>ROUND(E151+E153+E155,1)</f>
        <v>49.5</v>
      </c>
    </row>
    <row r="159" spans="1:5">
      <c r="A159" s="6" t="s">
        <v>629</v>
      </c>
    </row>
    <row r="160" spans="1:5">
      <c r="A160" s="3" t="s">
        <v>608</v>
      </c>
      <c r="B160" s="3" t="s">
        <v>609</v>
      </c>
      <c r="C160" s="3" t="s">
        <v>515</v>
      </c>
      <c r="D160" s="3" t="s">
        <v>409</v>
      </c>
      <c r="E160" s="3" t="s">
        <v>488</v>
      </c>
    </row>
    <row r="161" spans="1:5">
      <c r="A161" s="51">
        <f>A122</f>
        <v>0</v>
      </c>
      <c r="B161" s="51">
        <f>B122</f>
        <v>0</v>
      </c>
      <c r="C161" s="51">
        <f>C122</f>
        <v>0</v>
      </c>
      <c r="D161" s="51">
        <f>D122</f>
        <v>0</v>
      </c>
      <c r="E161" s="51">
        <f>E122</f>
        <v>148311.91993752003</v>
      </c>
    </row>
    <row r="162" spans="1:5">
      <c r="A162" s="123">
        <f>ROUND(A161*'Scope2 Electricity'!$B188,1)</f>
        <v>0</v>
      </c>
      <c r="B162" s="123">
        <f>ROUND(B161*'Scope2 Electricity'!$B188,1)</f>
        <v>0</v>
      </c>
      <c r="C162" s="123">
        <f>ROUND(C161*'Scope2 Electricity'!$B188,1)</f>
        <v>0</v>
      </c>
      <c r="D162" s="123">
        <f>ROUND(D161*'Scope2 Electricity'!$B188,1)</f>
        <v>0</v>
      </c>
      <c r="E162" s="123">
        <f>ROUND(E161*'Scope2 Electricity'!$B188,1)</f>
        <v>506.1</v>
      </c>
    </row>
    <row r="163" spans="1:5">
      <c r="A163" s="115">
        <f>ROUND(A161*'Scope2 Electricity'!$B204,1)</f>
        <v>0</v>
      </c>
      <c r="B163" s="115">
        <f>ROUND(B161*'Scope2 Electricity'!$B204,1)</f>
        <v>0</v>
      </c>
      <c r="C163" s="115">
        <f>ROUND(C161*'Scope2 Electricity'!$B204,1)</f>
        <v>0</v>
      </c>
      <c r="D163" s="115">
        <f>ROUND(D161*'Scope2 Electricity'!$B204,1)</f>
        <v>0</v>
      </c>
      <c r="E163" s="115">
        <f>ROUND(E161*'Scope2 Electricity'!$B204,1)</f>
        <v>46.8</v>
      </c>
    </row>
    <row r="164" spans="1:5">
      <c r="A164" s="82">
        <f>('Scope2 Electricity'!$B205*A162*'Scope2 Electricity'!$B190)</f>
        <v>0</v>
      </c>
      <c r="B164" s="82">
        <f>('Scope2 Electricity'!$B205*B162*'Scope2 Electricity'!$B190)</f>
        <v>0</v>
      </c>
      <c r="C164" s="82">
        <f>('Scope2 Electricity'!$B205*C162*'Scope2 Electricity'!$B190)</f>
        <v>0</v>
      </c>
      <c r="D164" s="82">
        <f>('Scope2 Electricity'!$B205*D162*'Scope2 Electricity'!$B190)</f>
        <v>0</v>
      </c>
      <c r="E164" s="82">
        <f>('Scope2 Electricity'!$B205*E162*'Scope2 Electricity'!$B190)</f>
        <v>5.061E-4</v>
      </c>
    </row>
    <row r="165" spans="1:5">
      <c r="A165" s="124">
        <f>A162*'Scope2 Electricity'!$B205*'Scope2 Electricity'!$B190*'Scope2 Electricity'!$B192</f>
        <v>0</v>
      </c>
      <c r="B165" s="124">
        <f>B162*'Scope2 Electricity'!$B205*'Scope2 Electricity'!$B190*'Scope2 Electricity'!$B192</f>
        <v>0</v>
      </c>
      <c r="C165" s="124">
        <f>C162*'Scope2 Electricity'!$B205*'Scope2 Electricity'!$B190*'Scope2 Electricity'!$B192</f>
        <v>0</v>
      </c>
      <c r="D165" s="124">
        <f>D162*'Scope2 Electricity'!$B205*'Scope2 Electricity'!$B190*'Scope2 Electricity'!$B192</f>
        <v>0</v>
      </c>
      <c r="E165" s="124">
        <f>E162*'Scope2 Electricity'!$B205*'Scope2 Electricity'!$B190*'Scope2 Electricity'!$B192</f>
        <v>1.06281E-2</v>
      </c>
    </row>
    <row r="166" spans="1:5">
      <c r="A166" s="82">
        <f>('Scope2 Electricity'!$B206*A162*'Scope2 Electricity'!$B190)</f>
        <v>0</v>
      </c>
      <c r="B166" s="82">
        <f>('Scope2 Electricity'!$B206*B162*'Scope2 Electricity'!$B190)</f>
        <v>0</v>
      </c>
      <c r="C166" s="82">
        <f>('Scope2 Electricity'!$B206*C162*'Scope2 Electricity'!$B190)</f>
        <v>0</v>
      </c>
      <c r="D166" s="82">
        <f>('Scope2 Electricity'!$B206*D162*'Scope2 Electricity'!$B190)</f>
        <v>0</v>
      </c>
      <c r="E166" s="82">
        <f>('Scope2 Electricity'!$B206*E162*'Scope2 Electricity'!$B190)</f>
        <v>7.0853999999999991E-4</v>
      </c>
    </row>
    <row r="167" spans="1:5">
      <c r="A167" s="124">
        <f>A162*'Scope2 Electricity'!$B206*'Scope2 Electricity'!$B190*'Scope2 Electricity'!$B193</f>
        <v>0</v>
      </c>
      <c r="B167" s="124">
        <f>B162*'Scope2 Electricity'!$B206*'Scope2 Electricity'!$B190*'Scope2 Electricity'!$B193</f>
        <v>0</v>
      </c>
      <c r="C167" s="124">
        <f>C162*'Scope2 Electricity'!$B206*'Scope2 Electricity'!$B190*'Scope2 Electricity'!$B193</f>
        <v>0</v>
      </c>
      <c r="D167" s="124">
        <f>D162*'Scope2 Electricity'!$B206*'Scope2 Electricity'!$B190*'Scope2 Electricity'!$B193</f>
        <v>0</v>
      </c>
      <c r="E167" s="124">
        <f>E162*'Scope2 Electricity'!$B206*'Scope2 Electricity'!$B190*'Scope2 Electricity'!$B193</f>
        <v>0.21964739999999996</v>
      </c>
    </row>
    <row r="168" spans="1:5">
      <c r="A168" s="472">
        <f>ROUND(A163+A165+A167,1)</f>
        <v>0</v>
      </c>
      <c r="B168" s="472">
        <f>ROUND(B163+B165+B167,1)</f>
        <v>0</v>
      </c>
      <c r="C168" s="472">
        <f>ROUND(C163+C165+C167,1)</f>
        <v>0</v>
      </c>
      <c r="D168" s="472">
        <f>ROUND(D163+D165+D167,1)</f>
        <v>0</v>
      </c>
      <c r="E168" s="472">
        <f>ROUND(E163+E165+E167,1)</f>
        <v>47</v>
      </c>
    </row>
    <row r="169" spans="1:5">
      <c r="A169" s="15"/>
      <c r="B169" s="15"/>
      <c r="C169" s="15"/>
      <c r="D169" s="15"/>
      <c r="E169" s="15"/>
    </row>
    <row r="171" spans="1:5">
      <c r="A171" s="6" t="s">
        <v>629</v>
      </c>
    </row>
    <row r="172" spans="1:5">
      <c r="A172" s="3" t="s">
        <v>608</v>
      </c>
      <c r="B172" s="3" t="s">
        <v>609</v>
      </c>
      <c r="C172" s="3" t="s">
        <v>515</v>
      </c>
      <c r="D172" s="3" t="s">
        <v>409</v>
      </c>
      <c r="E172" s="3" t="s">
        <v>488</v>
      </c>
    </row>
    <row r="173" spans="1:5">
      <c r="A173" s="51">
        <f>A123</f>
        <v>0</v>
      </c>
      <c r="B173" s="51">
        <f>B123</f>
        <v>0</v>
      </c>
      <c r="C173" s="51">
        <f>C123</f>
        <v>0</v>
      </c>
      <c r="D173" s="51">
        <f>D123</f>
        <v>0</v>
      </c>
      <c r="E173" s="51">
        <f>E123</f>
        <v>13491.821363040001</v>
      </c>
    </row>
    <row r="174" spans="1:5">
      <c r="A174" s="123">
        <f>ROUND(A173*'Scope2 Electricity'!$B188,1)</f>
        <v>0</v>
      </c>
      <c r="B174" s="123">
        <f>ROUND(B173*'Scope2 Electricity'!$B188,1)</f>
        <v>0</v>
      </c>
      <c r="C174" s="123">
        <f>ROUND(C173*'Scope2 Electricity'!$B188,1)</f>
        <v>0</v>
      </c>
      <c r="D174" s="123">
        <f>ROUND(D173*'Scope2 Electricity'!$B188,1)</f>
        <v>0</v>
      </c>
      <c r="E174" s="123">
        <f>ROUND(E173*'Scope2 Electricity'!$B188,1)</f>
        <v>46</v>
      </c>
    </row>
    <row r="175" spans="1:5">
      <c r="A175" s="115">
        <f>ROUND(A173*'Scope2 Electricity'!$B212,1)</f>
        <v>0</v>
      </c>
      <c r="B175" s="115">
        <f>ROUND(B173*'Scope2 Electricity'!$B212,1)</f>
        <v>0</v>
      </c>
      <c r="C175" s="115">
        <f>ROUND(C173*'Scope2 Electricity'!$B212,1)</f>
        <v>0</v>
      </c>
      <c r="D175" s="115">
        <f>ROUND(D173*'Scope2 Electricity'!$B212,1)</f>
        <v>0</v>
      </c>
      <c r="E175" s="115">
        <f>ROUND(E173*'Scope2 Electricity'!$B212,1)</f>
        <v>3.3</v>
      </c>
    </row>
    <row r="176" spans="1:5">
      <c r="A176" s="82">
        <f>('Scope2 Electricity'!$B213*A174*'Scope2 Electricity'!$B190)</f>
        <v>0</v>
      </c>
      <c r="B176" s="82">
        <f>('Scope2 Electricity'!$B213*B174*'Scope2 Electricity'!$B190)</f>
        <v>0</v>
      </c>
      <c r="C176" s="82">
        <f>('Scope2 Electricity'!$B213*C174*'Scope2 Electricity'!$B190)</f>
        <v>0</v>
      </c>
      <c r="D176" s="82">
        <f>('Scope2 Electricity'!$B213*D174*'Scope2 Electricity'!$B190)</f>
        <v>0</v>
      </c>
      <c r="E176" s="82">
        <f>('Scope2 Electricity'!$B213*E174*'Scope2 Electricity'!$B190)</f>
        <v>1.3845999999999997E-4</v>
      </c>
    </row>
    <row r="177" spans="1:5">
      <c r="A177" s="124">
        <f>A174*'Scope2 Electricity'!$B213*'Scope2 Electricity'!$B190*'Scope2 Electricity'!$B192</f>
        <v>0</v>
      </c>
      <c r="B177" s="124">
        <f>B174*'Scope2 Electricity'!$B213*'Scope2 Electricity'!$B190*'Scope2 Electricity'!$B192</f>
        <v>0</v>
      </c>
      <c r="C177" s="124">
        <f>C174*'Scope2 Electricity'!$B213*'Scope2 Electricity'!$B190*'Scope2 Electricity'!$B192</f>
        <v>0</v>
      </c>
      <c r="D177" s="124">
        <f>D174*'Scope2 Electricity'!$B213*'Scope2 Electricity'!$B190*'Scope2 Electricity'!$B192</f>
        <v>0</v>
      </c>
      <c r="E177" s="124">
        <f>E174*'Scope2 Electricity'!$B213*'Scope2 Electricity'!$B190*'Scope2 Electricity'!$B192</f>
        <v>2.9076599999999994E-3</v>
      </c>
    </row>
    <row r="178" spans="1:5">
      <c r="A178" s="82">
        <f>('Scope2 Electricity'!$B214*A174*'Scope2 Electricity'!$B190)</f>
        <v>0</v>
      </c>
      <c r="B178" s="82">
        <f>('Scope2 Electricity'!$B214*B174*'Scope2 Electricity'!$B190)</f>
        <v>0</v>
      </c>
      <c r="C178" s="82">
        <f>('Scope2 Electricity'!$B214*C174*'Scope2 Electricity'!$B190)</f>
        <v>0</v>
      </c>
      <c r="D178" s="82">
        <f>('Scope2 Electricity'!$B214*D174*'Scope2 Electricity'!$B190)</f>
        <v>0</v>
      </c>
      <c r="E178" s="82">
        <f>('Scope2 Electricity'!$B214*E174*'Scope2 Electricity'!$B190)</f>
        <v>2.7645999999999999E-5</v>
      </c>
    </row>
    <row r="179" spans="1:5">
      <c r="A179" s="124">
        <f>A174*'Scope2 Electricity'!$B214*'Scope2 Electricity'!$B190*'Scope2 Electricity'!$B193</f>
        <v>0</v>
      </c>
      <c r="B179" s="124">
        <f>B174*'Scope2 Electricity'!$B214*'Scope2 Electricity'!$B190*'Scope2 Electricity'!$B193</f>
        <v>0</v>
      </c>
      <c r="C179" s="124">
        <f>C174*'Scope2 Electricity'!$B214*'Scope2 Electricity'!$B190*'Scope2 Electricity'!$B193</f>
        <v>0</v>
      </c>
      <c r="D179" s="124">
        <f>D174*'Scope2 Electricity'!$B214*'Scope2 Electricity'!$B190*'Scope2 Electricity'!$B193</f>
        <v>0</v>
      </c>
      <c r="E179" s="124">
        <f>E174*'Scope2 Electricity'!$B214*'Scope2 Electricity'!$B190*'Scope2 Electricity'!$B193</f>
        <v>8.5702599999999997E-3</v>
      </c>
    </row>
    <row r="180" spans="1:5">
      <c r="A180" s="484">
        <f>ROUND(A175+A177+A179,1)</f>
        <v>0</v>
      </c>
      <c r="B180" s="484">
        <f>ROUND(B175+B177+B179,1)</f>
        <v>0</v>
      </c>
      <c r="C180" s="484">
        <f>ROUND(C175+C177+C179,1)</f>
        <v>0</v>
      </c>
      <c r="D180" s="484">
        <f>ROUND(D175+D177+D179,1)</f>
        <v>0</v>
      </c>
      <c r="E180" s="484">
        <f>ROUND(E175+E177+E179,1)</f>
        <v>3.3</v>
      </c>
    </row>
    <row r="181" spans="1:5">
      <c r="A181" s="18"/>
      <c r="B181" s="18"/>
      <c r="C181" s="18"/>
      <c r="D181" s="18"/>
      <c r="E181" s="18"/>
    </row>
    <row r="183" spans="1:5">
      <c r="A183" s="6" t="s">
        <v>629</v>
      </c>
    </row>
    <row r="184" spans="1:5">
      <c r="A184" s="3" t="s">
        <v>608</v>
      </c>
      <c r="B184" s="3" t="s">
        <v>609</v>
      </c>
      <c r="C184" s="3" t="s">
        <v>515</v>
      </c>
      <c r="D184" s="3" t="s">
        <v>409</v>
      </c>
      <c r="E184" s="3" t="s">
        <v>488</v>
      </c>
    </row>
    <row r="185" spans="1:5">
      <c r="A185" s="51">
        <f>A124</f>
        <v>0</v>
      </c>
      <c r="B185" s="51">
        <f>B124</f>
        <v>0</v>
      </c>
      <c r="C185" s="51">
        <f>C124</f>
        <v>0</v>
      </c>
      <c r="D185" s="51">
        <f>D124</f>
        <v>0</v>
      </c>
      <c r="E185" s="51">
        <f>E124</f>
        <v>237886.51633007999</v>
      </c>
    </row>
    <row r="186" spans="1:5">
      <c r="A186" s="123">
        <f>ROUND(A185*'Scope2 Electricity'!$B188,1)</f>
        <v>0</v>
      </c>
      <c r="B186" s="123">
        <f>ROUND(B185*'Scope2 Electricity'!$B188,1)</f>
        <v>0</v>
      </c>
      <c r="C186" s="123">
        <f>ROUND(C185*'Scope2 Electricity'!$B188,1)</f>
        <v>0</v>
      </c>
      <c r="D186" s="123">
        <f>ROUND(D185*'Scope2 Electricity'!$B188,1)</f>
        <v>0</v>
      </c>
      <c r="E186" s="123">
        <f>ROUND(E185*'Scope2 Electricity'!$B188,1)</f>
        <v>811.7</v>
      </c>
    </row>
    <row r="187" spans="1:5">
      <c r="A187" s="115">
        <f>ROUND(A185*'Scope2 Electricity'!$B220,1)</f>
        <v>0</v>
      </c>
      <c r="B187" s="115">
        <f>ROUND(B185*'Scope2 Electricity'!$B220,1)</f>
        <v>0</v>
      </c>
      <c r="C187" s="115">
        <f>ROUND(C185*'Scope2 Electricity'!$B220,1)</f>
        <v>0</v>
      </c>
      <c r="D187" s="115">
        <f>ROUND(D185*'Scope2 Electricity'!$B220,1)</f>
        <v>0</v>
      </c>
      <c r="E187" s="115">
        <f>ROUND(E185*'Scope2 Electricity'!$B220,1)</f>
        <v>63.3</v>
      </c>
    </row>
    <row r="188" spans="1:5">
      <c r="A188" s="82">
        <f>('Scope2 Electricity'!$B221*A186*'Scope2 Electricity'!$B190)</f>
        <v>0</v>
      </c>
      <c r="B188" s="82">
        <f>('Scope2 Electricity'!$B221*B186*'Scope2 Electricity'!$B190)</f>
        <v>0</v>
      </c>
      <c r="C188" s="82">
        <f>('Scope2 Electricity'!$B221*C186*'Scope2 Electricity'!$B190)</f>
        <v>0</v>
      </c>
      <c r="D188" s="82">
        <f>('Scope2 Electricity'!$B221*D186*'Scope2 Electricity'!$B190)</f>
        <v>0</v>
      </c>
      <c r="E188" s="82">
        <f>('Scope2 Electricity'!$B221*E186*'Scope2 Electricity'!$B190)</f>
        <v>2.4432170000000001E-3</v>
      </c>
    </row>
    <row r="189" spans="1:5">
      <c r="A189" s="128">
        <f>A186*'Scope2 Electricity'!$B221*'Scope2 Electricity'!$B190*'Scope2 Electricity'!$B192</f>
        <v>0</v>
      </c>
      <c r="B189" s="128">
        <f>B186*'Scope2 Electricity'!$B221*'Scope2 Electricity'!$B190*'Scope2 Electricity'!$B192</f>
        <v>0</v>
      </c>
      <c r="C189" s="128">
        <f>C186*'Scope2 Electricity'!$B221*'Scope2 Electricity'!$B190*'Scope2 Electricity'!$B192</f>
        <v>0</v>
      </c>
      <c r="D189" s="128">
        <f>D186*'Scope2 Electricity'!$B221*'Scope2 Electricity'!$B190*'Scope2 Electricity'!$B192</f>
        <v>0</v>
      </c>
      <c r="E189" s="128">
        <f>E186*'Scope2 Electricity'!$B221*'Scope2 Electricity'!$B190*'Scope2 Electricity'!$B192</f>
        <v>5.1307557000000004E-2</v>
      </c>
    </row>
    <row r="190" spans="1:5">
      <c r="A190" s="129">
        <f>('Scope2 Electricity'!$B222*A186*'Scope2 Electricity'!$B190)</f>
        <v>0</v>
      </c>
      <c r="B190" s="129">
        <f>('Scope2 Electricity'!$B222*B186*'Scope2 Electricity'!$B190)</f>
        <v>0</v>
      </c>
      <c r="C190" s="129">
        <f>('Scope2 Electricity'!$B222*C186*'Scope2 Electricity'!$B190)</f>
        <v>0</v>
      </c>
      <c r="D190" s="129">
        <f>('Scope2 Electricity'!$B222*D186*'Scope2 Electricity'!$B190)</f>
        <v>0</v>
      </c>
      <c r="E190" s="129">
        <f>('Scope2 Electricity'!$B222*E186*'Scope2 Electricity'!$B190)</f>
        <v>4.8783170000000001E-4</v>
      </c>
    </row>
    <row r="191" spans="1:5">
      <c r="A191" s="128">
        <f>A186*'Scope2 Electricity'!$B222*'Scope2 Electricity'!$B190*'Scope2 Electricity'!$B193</f>
        <v>0</v>
      </c>
      <c r="B191" s="128">
        <f>B186*'Scope2 Electricity'!$B222*'Scope2 Electricity'!$B190*'Scope2 Electricity'!$B193</f>
        <v>0</v>
      </c>
      <c r="C191" s="128">
        <f>C186*'Scope2 Electricity'!$B222*'Scope2 Electricity'!$B190*'Scope2 Electricity'!$B193</f>
        <v>0</v>
      </c>
      <c r="D191" s="128">
        <f>D186*'Scope2 Electricity'!$B222*'Scope2 Electricity'!$B190*'Scope2 Electricity'!$B193</f>
        <v>0</v>
      </c>
      <c r="E191" s="128">
        <f>E186*'Scope2 Electricity'!$B222*'Scope2 Electricity'!$B190*'Scope2 Electricity'!$B193</f>
        <v>0.15122782700000001</v>
      </c>
    </row>
    <row r="192" spans="1:5">
      <c r="A192" s="472">
        <f>ROUND(A187+A189+A191,1)</f>
        <v>0</v>
      </c>
      <c r="B192" s="472">
        <f>ROUND(B187+B189+B191,1)</f>
        <v>0</v>
      </c>
      <c r="C192" s="472">
        <f>ROUND(C187+C189+C191,1)</f>
        <v>0</v>
      </c>
      <c r="D192" s="472">
        <f>ROUND(D187+D189+D191,1)</f>
        <v>0</v>
      </c>
      <c r="E192" s="472">
        <f>ROUND(E187+E189+E191,1)</f>
        <v>63.5</v>
      </c>
    </row>
    <row r="195" spans="1:5">
      <c r="A195" s="6" t="s">
        <v>629</v>
      </c>
    </row>
    <row r="196" spans="1:5">
      <c r="A196" s="3" t="s">
        <v>608</v>
      </c>
      <c r="B196" s="3" t="s">
        <v>609</v>
      </c>
      <c r="C196" s="3" t="s">
        <v>515</v>
      </c>
      <c r="D196" s="3" t="s">
        <v>409</v>
      </c>
      <c r="E196" s="3" t="s">
        <v>488</v>
      </c>
    </row>
    <row r="197" spans="1:5">
      <c r="A197" s="51">
        <f>A125</f>
        <v>0</v>
      </c>
      <c r="B197" s="51">
        <f>B125</f>
        <v>0</v>
      </c>
      <c r="C197" s="51">
        <f>C125</f>
        <v>0</v>
      </c>
      <c r="D197" s="51">
        <f>D125</f>
        <v>0</v>
      </c>
      <c r="E197" s="51">
        <f>E125</f>
        <v>2088788.1117148802</v>
      </c>
    </row>
    <row r="198" spans="1:5">
      <c r="A198" s="123">
        <f>ROUND(A197*'Scope2 Electricity'!$B188,1)</f>
        <v>0</v>
      </c>
      <c r="B198" s="123">
        <f>ROUND(B197*'Scope2 Electricity'!$B188,1)</f>
        <v>0</v>
      </c>
      <c r="C198" s="123">
        <f>ROUND(C197*'Scope2 Electricity'!$B188,1)</f>
        <v>0</v>
      </c>
      <c r="D198" s="123">
        <f>ROUND(D197*'Scope2 Electricity'!$B188,1)</f>
        <v>0</v>
      </c>
      <c r="E198" s="123">
        <f>ROUND(E197*'Scope2 Electricity'!$B188,1)</f>
        <v>7127.2</v>
      </c>
    </row>
    <row r="199" spans="1:5">
      <c r="A199" s="115">
        <f>ROUND(A197*'Scope2 Electricity'!$B228,1)</f>
        <v>0</v>
      </c>
      <c r="B199" s="115">
        <f>ROUND(B197*'Scope2 Electricity'!$B228,1)</f>
        <v>0</v>
      </c>
      <c r="C199" s="115">
        <f>ROUND(C197*'Scope2 Electricity'!$B228,1)</f>
        <v>0</v>
      </c>
      <c r="D199" s="115">
        <f>ROUND(D197*'Scope2 Electricity'!$B228,1)</f>
        <v>0</v>
      </c>
      <c r="E199" s="115">
        <f>ROUND(E197*'Scope2 Electricity'!$B228,1)</f>
        <v>850</v>
      </c>
    </row>
    <row r="200" spans="1:5">
      <c r="A200" s="95">
        <f>('Scope2 Electricity'!$B230*A198*'Scope2 Electricity'!$B191)</f>
        <v>0</v>
      </c>
      <c r="B200" s="95">
        <f>('Scope2 Electricity'!$B230*B198*'Scope2 Electricity'!$B191)</f>
        <v>0</v>
      </c>
      <c r="C200" s="95">
        <f>('Scope2 Electricity'!$B230*C198*'Scope2 Electricity'!$B191)</f>
        <v>0</v>
      </c>
      <c r="D200" s="95">
        <f>('Scope2 Electricity'!$B230*D198*'Scope2 Electricity'!$B191)</f>
        <v>0</v>
      </c>
      <c r="E200" s="95">
        <f>('Scope2 Electricity'!$B230*E198*'Scope2 Electricity'!$B191)</f>
        <v>0.24763581757712183</v>
      </c>
    </row>
    <row r="201" spans="1:5">
      <c r="A201" s="113">
        <f>A198*'Scope2 Electricity'!$B230*'Scope2 Electricity'!$B191*'Scope2 Electricity'!$B192</f>
        <v>0</v>
      </c>
      <c r="B201" s="113">
        <f>B198*'Scope2 Electricity'!$B230*'Scope2 Electricity'!$B191*'Scope2 Electricity'!$B192</f>
        <v>0</v>
      </c>
      <c r="C201" s="113">
        <f>C198*'Scope2 Electricity'!$B230*'Scope2 Electricity'!$B191*'Scope2 Electricity'!$B192</f>
        <v>0</v>
      </c>
      <c r="D201" s="113">
        <f>D198*'Scope2 Electricity'!$B230*'Scope2 Electricity'!$B191*'Scope2 Electricity'!$B192</f>
        <v>0</v>
      </c>
      <c r="E201" s="113">
        <f>E198*'Scope2 Electricity'!$B230*'Scope2 Electricity'!$B191*'Scope2 Electricity'!$B192</f>
        <v>5.200352169119558</v>
      </c>
    </row>
    <row r="202" spans="1:5">
      <c r="A202" s="95">
        <f>('Scope2 Electricity'!$B231*A198*'Scope2 Electricity'!$B191)</f>
        <v>0</v>
      </c>
      <c r="B202" s="95">
        <f>('Scope2 Electricity'!$B231*B198*'Scope2 Electricity'!$B191)</f>
        <v>0</v>
      </c>
      <c r="C202" s="95">
        <f>('Scope2 Electricity'!$B231*C198*'Scope2 Electricity'!$B191)</f>
        <v>0</v>
      </c>
      <c r="D202" s="95">
        <f>('Scope2 Electricity'!$B231*D198*'Scope2 Electricity'!$B191)</f>
        <v>0</v>
      </c>
      <c r="E202" s="95">
        <f>('Scope2 Electricity'!$B231*E198*'Scope2 Electricity'!$B191)</f>
        <v>5.1402212786896037E-2</v>
      </c>
    </row>
    <row r="203" spans="1:5">
      <c r="A203" s="15">
        <f>A198*'Scope2 Electricity'!$B231*'Scope2 Electricity'!$B191*'Scope2 Electricity'!$B193</f>
        <v>0</v>
      </c>
      <c r="B203" s="15">
        <f>B198*'Scope2 Electricity'!$B231*'Scope2 Electricity'!$B191*'Scope2 Electricity'!$B193</f>
        <v>0</v>
      </c>
      <c r="C203" s="15">
        <f>C198*'Scope2 Electricity'!$B231*'Scope2 Electricity'!$B191*'Scope2 Electricity'!$B193</f>
        <v>0</v>
      </c>
      <c r="D203" s="15">
        <f>D198*'Scope2 Electricity'!$B231*'Scope2 Electricity'!$B191*'Scope2 Electricity'!$B193</f>
        <v>0</v>
      </c>
      <c r="E203" s="15">
        <f>E198*'Scope2 Electricity'!$B231*'Scope2 Electricity'!$B191*'Scope2 Electricity'!$B193</f>
        <v>15.934685963937772</v>
      </c>
    </row>
    <row r="204" spans="1:5">
      <c r="A204" s="472">
        <f>ROUND(A199+A201+A203,1)</f>
        <v>0</v>
      </c>
      <c r="B204" s="472">
        <f>ROUND(B199+B201+B203,1)</f>
        <v>0</v>
      </c>
      <c r="C204" s="472">
        <f>ROUND(C199+C201+C203,1)</f>
        <v>0</v>
      </c>
      <c r="D204" s="472">
        <f>ROUND(D199+D201+D203,1)</f>
        <v>0</v>
      </c>
      <c r="E204" s="472">
        <f>ROUND(E199+E201+E203,1)</f>
        <v>871.1</v>
      </c>
    </row>
    <row r="207" spans="1:5">
      <c r="A207" s="6" t="s">
        <v>629</v>
      </c>
    </row>
    <row r="208" spans="1:5">
      <c r="A208" s="3" t="s">
        <v>608</v>
      </c>
      <c r="B208" s="3" t="s">
        <v>609</v>
      </c>
      <c r="C208" s="3" t="s">
        <v>515</v>
      </c>
      <c r="D208" s="3" t="s">
        <v>409</v>
      </c>
      <c r="E208" s="3" t="s">
        <v>488</v>
      </c>
    </row>
    <row r="209" spans="1:5">
      <c r="A209" s="38">
        <v>0</v>
      </c>
      <c r="B209" s="38">
        <v>0</v>
      </c>
      <c r="C209" s="38">
        <v>0</v>
      </c>
      <c r="D209" s="38">
        <v>0</v>
      </c>
      <c r="E209" s="38">
        <v>0</v>
      </c>
    </row>
    <row r="210" spans="1:5">
      <c r="A210" s="38">
        <v>0</v>
      </c>
      <c r="B210" s="38">
        <v>0</v>
      </c>
      <c r="C210" s="38">
        <v>0</v>
      </c>
      <c r="D210" s="38">
        <v>0</v>
      </c>
      <c r="E210" s="38">
        <v>0</v>
      </c>
    </row>
    <row r="211" spans="1:5">
      <c r="A211" s="38">
        <v>0</v>
      </c>
      <c r="B211" s="38">
        <v>0</v>
      </c>
      <c r="C211" s="38">
        <v>0</v>
      </c>
      <c r="D211" s="38">
        <v>0</v>
      </c>
      <c r="E211" s="38">
        <v>0</v>
      </c>
    </row>
    <row r="212" spans="1:5">
      <c r="A212" s="38">
        <v>0</v>
      </c>
      <c r="B212" s="38">
        <v>0</v>
      </c>
      <c r="C212" s="38">
        <v>0</v>
      </c>
      <c r="D212" s="38">
        <v>0</v>
      </c>
      <c r="E212" s="38">
        <v>0</v>
      </c>
    </row>
    <row r="213" spans="1:5">
      <c r="A213" s="38">
        <v>0</v>
      </c>
      <c r="B213" s="38">
        <v>0</v>
      </c>
      <c r="C213" s="38">
        <v>0</v>
      </c>
      <c r="D213" s="38">
        <v>0</v>
      </c>
      <c r="E213" s="38">
        <v>0</v>
      </c>
    </row>
    <row r="214" spans="1:5">
      <c r="A214" s="38">
        <v>0</v>
      </c>
      <c r="B214" s="38">
        <v>0</v>
      </c>
      <c r="C214" s="38">
        <v>0</v>
      </c>
      <c r="D214" s="38">
        <v>0</v>
      </c>
      <c r="E214" s="38">
        <v>0</v>
      </c>
    </row>
    <row r="215" spans="1:5">
      <c r="A215" s="38">
        <v>0</v>
      </c>
      <c r="B215" s="38">
        <v>0</v>
      </c>
      <c r="C215" s="38">
        <v>0</v>
      </c>
      <c r="D215" s="38">
        <v>0</v>
      </c>
      <c r="E215" s="38">
        <v>0</v>
      </c>
    </row>
    <row r="216" spans="1:5">
      <c r="A216" s="44">
        <f>A156</f>
        <v>0</v>
      </c>
      <c r="B216" s="44">
        <f>B156</f>
        <v>0</v>
      </c>
      <c r="C216" s="44">
        <f>C156</f>
        <v>0</v>
      </c>
      <c r="D216" s="44">
        <f>D156</f>
        <v>0</v>
      </c>
      <c r="E216" s="44">
        <f>E156</f>
        <v>49.5</v>
      </c>
    </row>
    <row r="217" spans="1:5">
      <c r="A217" s="44">
        <f>A168</f>
        <v>0</v>
      </c>
      <c r="B217" s="44">
        <f>B168</f>
        <v>0</v>
      </c>
      <c r="C217" s="44">
        <f>C168</f>
        <v>0</v>
      </c>
      <c r="D217" s="44">
        <f>D168</f>
        <v>0</v>
      </c>
      <c r="E217" s="44">
        <f>E168</f>
        <v>47</v>
      </c>
    </row>
    <row r="218" spans="1:5">
      <c r="A218" s="44">
        <f>A180</f>
        <v>0</v>
      </c>
      <c r="B218" s="44">
        <f>B180</f>
        <v>0</v>
      </c>
      <c r="C218" s="44">
        <f>C180</f>
        <v>0</v>
      </c>
      <c r="D218" s="44">
        <f>D180</f>
        <v>0</v>
      </c>
      <c r="E218" s="44">
        <f>E180</f>
        <v>3.3</v>
      </c>
    </row>
    <row r="219" spans="1:5">
      <c r="A219" s="44">
        <f>A192</f>
        <v>0</v>
      </c>
      <c r="B219" s="44">
        <f>B192</f>
        <v>0</v>
      </c>
      <c r="C219" s="44">
        <f>C192</f>
        <v>0</v>
      </c>
      <c r="D219" s="44">
        <f>D192</f>
        <v>0</v>
      </c>
      <c r="E219" s="44">
        <f>E192</f>
        <v>63.5</v>
      </c>
    </row>
    <row r="220" spans="1:5">
      <c r="A220" s="44">
        <f>A204</f>
        <v>0</v>
      </c>
      <c r="B220" s="44">
        <f>B204</f>
        <v>0</v>
      </c>
      <c r="C220" s="44">
        <f>C204</f>
        <v>0</v>
      </c>
      <c r="D220" s="44">
        <f>D204</f>
        <v>0</v>
      </c>
      <c r="E220" s="44">
        <f>E204</f>
        <v>871.1</v>
      </c>
    </row>
    <row r="221" spans="1:5">
      <c r="A221" s="486">
        <f>SUM(A213:A220)</f>
        <v>0</v>
      </c>
      <c r="B221" s="486">
        <f>SUM(B213:B220)</f>
        <v>0</v>
      </c>
      <c r="C221" s="486">
        <f>SUM(C213:C220)</f>
        <v>0</v>
      </c>
      <c r="D221" s="486">
        <f>SUM(D213:D220)</f>
        <v>0</v>
      </c>
      <c r="E221" s="486">
        <f>SUM(E209:E220)</f>
        <v>1034.4000000000001</v>
      </c>
    </row>
    <row r="223" spans="1:5">
      <c r="A223" s="3"/>
      <c r="B223" s="3"/>
      <c r="C223" s="3"/>
      <c r="D223" s="3"/>
      <c r="E223" s="3"/>
    </row>
    <row r="224" spans="1:5">
      <c r="A224" s="48">
        <v>0</v>
      </c>
      <c r="B224" s="48">
        <v>0</v>
      </c>
      <c r="C224" s="48">
        <v>0</v>
      </c>
      <c r="D224" s="48">
        <v>0</v>
      </c>
      <c r="E224" s="48">
        <v>0</v>
      </c>
    </row>
    <row r="225" spans="1:5">
      <c r="A225" s="48">
        <v>0</v>
      </c>
      <c r="B225" s="48">
        <v>0</v>
      </c>
      <c r="C225" s="48">
        <v>0</v>
      </c>
      <c r="D225" s="48">
        <v>0</v>
      </c>
      <c r="E225" s="48">
        <v>0</v>
      </c>
    </row>
    <row r="226" spans="1:5">
      <c r="A226" s="48">
        <v>0</v>
      </c>
      <c r="B226" s="48">
        <v>0</v>
      </c>
      <c r="C226" s="48">
        <v>0</v>
      </c>
      <c r="D226" s="48">
        <v>0</v>
      </c>
      <c r="E226" s="48">
        <v>0</v>
      </c>
    </row>
    <row r="227" spans="1:5">
      <c r="A227" s="48">
        <v>0</v>
      </c>
      <c r="B227" s="48">
        <v>0</v>
      </c>
      <c r="C227" s="48">
        <v>0</v>
      </c>
      <c r="D227" s="48">
        <v>0</v>
      </c>
      <c r="E227" s="48">
        <v>0</v>
      </c>
    </row>
    <row r="228" spans="1:5">
      <c r="A228" s="48">
        <v>0</v>
      </c>
      <c r="B228" s="48">
        <v>0</v>
      </c>
      <c r="C228" s="48">
        <v>0</v>
      </c>
      <c r="D228" s="48">
        <v>0</v>
      </c>
      <c r="E228" s="48">
        <v>0</v>
      </c>
    </row>
    <row r="229" spans="1:5">
      <c r="A229" s="48">
        <v>0</v>
      </c>
      <c r="B229" s="48">
        <v>0</v>
      </c>
      <c r="C229" s="48">
        <v>0</v>
      </c>
      <c r="D229" s="48">
        <v>0</v>
      </c>
      <c r="E229" s="48">
        <v>0</v>
      </c>
    </row>
    <row r="230" spans="1:5">
      <c r="A230" s="48">
        <v>0</v>
      </c>
      <c r="B230" s="48">
        <v>0</v>
      </c>
      <c r="C230" s="48">
        <v>0</v>
      </c>
      <c r="D230" s="48">
        <v>0</v>
      </c>
      <c r="E230" s="48">
        <v>0</v>
      </c>
    </row>
    <row r="231" spans="1:5">
      <c r="A231" s="58" t="e">
        <f>A216/A221</f>
        <v>#DIV/0!</v>
      </c>
      <c r="B231" s="58" t="e">
        <f>B216/B221</f>
        <v>#DIV/0!</v>
      </c>
      <c r="C231" s="58" t="e">
        <f>C216/C221</f>
        <v>#DIV/0!</v>
      </c>
      <c r="D231" s="58" t="e">
        <f>D216/D221</f>
        <v>#DIV/0!</v>
      </c>
      <c r="E231" s="58">
        <f>E216/E221</f>
        <v>4.7853828306264494E-2</v>
      </c>
    </row>
    <row r="232" spans="1:5">
      <c r="A232" s="58" t="e">
        <f>A217/A221</f>
        <v>#DIV/0!</v>
      </c>
      <c r="B232" s="58" t="e">
        <f>B217/B221</f>
        <v>#DIV/0!</v>
      </c>
      <c r="C232" s="58" t="e">
        <f>C217/C221</f>
        <v>#DIV/0!</v>
      </c>
      <c r="D232" s="58" t="e">
        <f>D217/D221</f>
        <v>#DIV/0!</v>
      </c>
      <c r="E232" s="58">
        <f>E217/E221</f>
        <v>4.5436968290796596E-2</v>
      </c>
    </row>
    <row r="233" spans="1:5">
      <c r="A233" s="58" t="e">
        <f>A218/A221</f>
        <v>#DIV/0!</v>
      </c>
      <c r="B233" s="58" t="e">
        <f>B218/B221</f>
        <v>#DIV/0!</v>
      </c>
      <c r="C233" s="58" t="e">
        <f>C218/C221</f>
        <v>#DIV/0!</v>
      </c>
      <c r="D233" s="58" t="e">
        <f>D218/D221</f>
        <v>#DIV/0!</v>
      </c>
      <c r="E233" s="58">
        <f>E218/E221</f>
        <v>3.1902552204176328E-3</v>
      </c>
    </row>
    <row r="234" spans="1:5">
      <c r="A234" s="58" t="e">
        <f>A219/A221</f>
        <v>#DIV/0!</v>
      </c>
      <c r="B234" s="58" t="e">
        <f>B219/B221</f>
        <v>#DIV/0!</v>
      </c>
      <c r="C234" s="58" t="e">
        <f>C219/C221</f>
        <v>#DIV/0!</v>
      </c>
      <c r="D234" s="58" t="e">
        <f>D219/D221</f>
        <v>#DIV/0!</v>
      </c>
      <c r="E234" s="58">
        <f>E219/E221</f>
        <v>6.1388244392884761E-2</v>
      </c>
    </row>
    <row r="235" spans="1:5">
      <c r="A235" s="58" t="e">
        <f>A220/A221</f>
        <v>#DIV/0!</v>
      </c>
      <c r="B235" s="58" t="e">
        <f>B220/B221</f>
        <v>#DIV/0!</v>
      </c>
      <c r="C235" s="58" t="e">
        <f>C220/C221</f>
        <v>#DIV/0!</v>
      </c>
      <c r="D235" s="58" t="e">
        <f>D220/D221</f>
        <v>#DIV/0!</v>
      </c>
      <c r="E235" s="58">
        <f>E220/E221</f>
        <v>0.8421307037896365</v>
      </c>
    </row>
    <row r="236" spans="1:5">
      <c r="A236" s="49" t="e">
        <f>SUM(A228:A235)</f>
        <v>#DIV/0!</v>
      </c>
      <c r="B236" s="49" t="e">
        <f>SUM(B228:B235)</f>
        <v>#DIV/0!</v>
      </c>
      <c r="C236" s="49" t="e">
        <f>SUM(C228:C235)</f>
        <v>#DIV/0!</v>
      </c>
      <c r="D236" s="49" t="e">
        <f>SUM(D228:D235)</f>
        <v>#DIV/0!</v>
      </c>
      <c r="E236" s="49">
        <f>SUM(E224:E235)</f>
        <v>1</v>
      </c>
    </row>
    <row r="239" spans="1:5">
      <c r="A239" s="119" t="s">
        <v>51</v>
      </c>
    </row>
    <row r="240" spans="1:5">
      <c r="A240" s="274" t="s">
        <v>608</v>
      </c>
      <c r="B240" s="274" t="s">
        <v>609</v>
      </c>
      <c r="C240" s="274" t="s">
        <v>515</v>
      </c>
      <c r="D240" s="274" t="s">
        <v>409</v>
      </c>
      <c r="E240" s="274" t="s">
        <v>488</v>
      </c>
    </row>
    <row r="241" spans="1:5">
      <c r="A241" s="276">
        <f>A262</f>
        <v>1399.8</v>
      </c>
      <c r="B241" s="276">
        <f>B262</f>
        <v>1152.3</v>
      </c>
      <c r="C241" s="276">
        <f>C262</f>
        <v>1112.8</v>
      </c>
      <c r="D241" s="276">
        <f>D262</f>
        <v>1093.3</v>
      </c>
      <c r="E241" s="277">
        <f>E262</f>
        <v>870</v>
      </c>
    </row>
    <row r="242" spans="1:5">
      <c r="A242" s="277">
        <f>A282</f>
        <v>15.2</v>
      </c>
      <c r="B242" s="278">
        <f>B282</f>
        <v>12.3</v>
      </c>
      <c r="C242" s="278">
        <f>C282</f>
        <v>12.1</v>
      </c>
      <c r="D242" s="278">
        <f>D282</f>
        <v>17.5</v>
      </c>
      <c r="E242" s="278">
        <f>E282</f>
        <v>18.3</v>
      </c>
    </row>
    <row r="243" spans="1:5">
      <c r="A243" s="280">
        <f>'FY 02-06 reference'!A304</f>
        <v>34.9</v>
      </c>
      <c r="B243" s="280">
        <f>'FY 02-06 reference'!B304</f>
        <v>36.9</v>
      </c>
      <c r="C243" s="280">
        <f>'FY 02-06 reference'!C304</f>
        <v>40</v>
      </c>
      <c r="D243" s="280">
        <f>'FY 02-06 reference'!D304</f>
        <v>41.8</v>
      </c>
      <c r="E243" s="280">
        <f>'FY 02-06 reference'!E304</f>
        <v>59.3</v>
      </c>
    </row>
    <row r="244" spans="1:5">
      <c r="A244" s="281">
        <f>'FY 02-06 reference'!A335</f>
        <v>1416.7</v>
      </c>
      <c r="B244" s="281">
        <f>'FY 02-06 reference'!B335</f>
        <v>1446.1</v>
      </c>
      <c r="C244" s="281">
        <f>'FY 02-06 reference'!C335</f>
        <v>1322.7</v>
      </c>
      <c r="D244" s="281">
        <f>'FY 02-06 reference'!D335</f>
        <v>1377.7</v>
      </c>
      <c r="E244" s="281">
        <f>'FY 02-06 reference'!E335</f>
        <v>1331.3</v>
      </c>
    </row>
    <row r="245" spans="1:5">
      <c r="A245" s="282">
        <f>'FY 02-06 reference'!G307</f>
        <v>18.2</v>
      </c>
      <c r="B245" s="282">
        <f>'FY 02-06 reference'!H307</f>
        <v>15.4</v>
      </c>
      <c r="C245" s="282">
        <f>'FY 02-06 reference'!I307</f>
        <v>12.8</v>
      </c>
      <c r="D245" s="282">
        <f>'FY 02-06 reference'!J307</f>
        <v>20</v>
      </c>
      <c r="E245" s="282">
        <f>'FY 02-06 reference'!K307</f>
        <v>23</v>
      </c>
    </row>
    <row r="246" spans="1:5">
      <c r="A246" s="490">
        <f>SUM(A241:A245)</f>
        <v>2884.8</v>
      </c>
      <c r="B246" s="490">
        <f>SUM(B241:B245)</f>
        <v>2663</v>
      </c>
      <c r="C246" s="490">
        <f>SUM(C241:C245)</f>
        <v>2500.4</v>
      </c>
      <c r="D246" s="490">
        <f>SUM(D241:D245)</f>
        <v>2550.3000000000002</v>
      </c>
      <c r="E246" s="490">
        <f>SUM(E241:E245)</f>
        <v>2301.8999999999996</v>
      </c>
    </row>
    <row r="247" spans="1:5">
      <c r="A247" s="284"/>
      <c r="B247" s="284"/>
      <c r="C247" s="284"/>
      <c r="D247" s="284"/>
      <c r="E247" s="284"/>
    </row>
    <row r="248" spans="1:5">
      <c r="A248" s="284"/>
      <c r="B248" s="284"/>
      <c r="C248" s="284"/>
      <c r="D248" s="284"/>
      <c r="E248" s="284"/>
    </row>
    <row r="249" spans="1:5">
      <c r="A249" s="286" t="s">
        <v>629</v>
      </c>
      <c r="B249" s="270"/>
      <c r="C249" s="270"/>
      <c r="D249" s="270"/>
      <c r="E249" s="270"/>
    </row>
    <row r="250" spans="1:5">
      <c r="A250" s="287" t="s">
        <v>608</v>
      </c>
      <c r="B250" s="287" t="s">
        <v>609</v>
      </c>
      <c r="C250" s="287" t="s">
        <v>515</v>
      </c>
      <c r="D250" s="287" t="s">
        <v>409</v>
      </c>
      <c r="E250" s="287" t="s">
        <v>488</v>
      </c>
    </row>
    <row r="251" spans="1:5">
      <c r="A251" s="289">
        <v>192376</v>
      </c>
      <c r="B251" s="289">
        <v>180823</v>
      </c>
      <c r="C251" s="289">
        <v>197095</v>
      </c>
      <c r="D251" s="289">
        <v>230155</v>
      </c>
      <c r="E251" s="289">
        <v>233292</v>
      </c>
    </row>
    <row r="252" spans="1:5">
      <c r="A252" s="291">
        <v>129.80000000000001</v>
      </c>
      <c r="B252" s="291">
        <v>148.21</v>
      </c>
      <c r="C252" s="291">
        <v>167.27</v>
      </c>
      <c r="D252" s="291">
        <v>198.82</v>
      </c>
      <c r="E252" s="291">
        <v>253.27</v>
      </c>
    </row>
    <row r="253" spans="1:5">
      <c r="A253" s="292">
        <f>A251/('Scope3 Travel'!$B147*A252)</f>
        <v>148209.5531587057</v>
      </c>
      <c r="B253" s="292">
        <f>B251/('Scope3 Travel'!$B147*B252)</f>
        <v>122004.58808447472</v>
      </c>
      <c r="C253" s="292">
        <f>C251/('Scope3 Travel'!$B147*C252)</f>
        <v>117830.45375739821</v>
      </c>
      <c r="D253" s="292">
        <f>D251/('Scope3 Travel'!$B147*D252)</f>
        <v>115760.48687254803</v>
      </c>
      <c r="E253" s="292">
        <f>E251/('Scope3 Travel'!$B147*E252)</f>
        <v>92111.975362261612</v>
      </c>
    </row>
    <row r="254" spans="1:5">
      <c r="A254" s="294">
        <f>ROUND(A253*'Scope3 Travel'!$B153,1)</f>
        <v>18536.8</v>
      </c>
      <c r="B254" s="294">
        <f>ROUND(B253*'Scope3 Travel'!$B153,1)</f>
        <v>15259.3</v>
      </c>
      <c r="C254" s="294">
        <f>ROUND(C253*'Scope3 Travel'!$B153,1)</f>
        <v>14737.2</v>
      </c>
      <c r="D254" s="294">
        <f>ROUND(D253*'Scope3 Travel'!$B153,1)</f>
        <v>14478.3</v>
      </c>
      <c r="E254" s="294">
        <f>ROUND(E253*'Scope3 Travel'!$B153,1)</f>
        <v>11520.6</v>
      </c>
    </row>
    <row r="255" spans="1:5">
      <c r="A255" s="296">
        <f>ROUND(A253*'Scope3 Travel'!$B154,1)</f>
        <v>1300.5</v>
      </c>
      <c r="B255" s="296">
        <f>ROUND(B253*'Scope3 Travel'!$B154,1)</f>
        <v>1070.5999999999999</v>
      </c>
      <c r="C255" s="296">
        <f>ROUND(C253*'Scope3 Travel'!$B154,1)</f>
        <v>1033.9000000000001</v>
      </c>
      <c r="D255" s="296">
        <f>ROUND(D253*'Scope3 Travel'!$B154,1)</f>
        <v>1015.8</v>
      </c>
      <c r="E255" s="296">
        <f>ROUND(E253*'Scope3 Travel'!$B154,1)</f>
        <v>808.3</v>
      </c>
    </row>
    <row r="256" spans="1:5">
      <c r="A256" s="298">
        <v>20</v>
      </c>
      <c r="B256" s="298">
        <v>20</v>
      </c>
      <c r="C256" s="298">
        <v>20</v>
      </c>
      <c r="D256" s="298">
        <v>20</v>
      </c>
      <c r="E256" s="298">
        <v>20</v>
      </c>
    </row>
    <row r="257" spans="1:5">
      <c r="A257" s="292">
        <f>A253*A256</f>
        <v>2964191.0631741141</v>
      </c>
      <c r="B257" s="292">
        <f>B253*B256</f>
        <v>2440091.7616894944</v>
      </c>
      <c r="C257" s="292">
        <f>C253*C256</f>
        <v>2356609.0751479641</v>
      </c>
      <c r="D257" s="292">
        <f>D253*D256</f>
        <v>2315209.7374509606</v>
      </c>
      <c r="E257" s="292">
        <f>E253*E256</f>
        <v>1842239.5072452324</v>
      </c>
    </row>
    <row r="258" spans="1:5">
      <c r="A258" s="299">
        <f>('Scope3 Travel'!$B155*A257*'Scope3 Travel'!$B146)</f>
        <v>0.33880703852080124</v>
      </c>
      <c r="B258" s="299">
        <f>('Scope3 Travel'!$B155*B257*'Scope3 Travel'!$B146)</f>
        <v>0.2789024883611092</v>
      </c>
      <c r="C258" s="299">
        <f>('Scope3 Travel'!$B155*C257*'Scope3 Travel'!$B146)</f>
        <v>0.26936041728941229</v>
      </c>
      <c r="D258" s="299">
        <f>('Scope3 Travel'!$B155*D257*'Scope3 Travel'!$B146)</f>
        <v>0.26462847299064479</v>
      </c>
      <c r="E258" s="299">
        <f>('Scope3 Travel'!$B155*E257*'Scope3 Travel'!$B146)</f>
        <v>0.21056797567813004</v>
      </c>
    </row>
    <row r="259" spans="1:5">
      <c r="A259" s="300">
        <f>A257*'Scope3 Travel'!$B155*'Scope3 Travel'!$B146*'Scope3 Travel'!$B149</f>
        <v>7.1149478089368259</v>
      </c>
      <c r="B259" s="300">
        <f>B257*'Scope3 Travel'!$B155*'Scope3 Travel'!$B146*'Scope3 Travel'!$B149</f>
        <v>5.8569522555832929</v>
      </c>
      <c r="C259" s="300">
        <f>C257*'Scope3 Travel'!$B155*'Scope3 Travel'!$B146*'Scope3 Travel'!$B149</f>
        <v>5.656568763077658</v>
      </c>
      <c r="D259" s="300">
        <f>D257*'Scope3 Travel'!$B155*'Scope3 Travel'!$B146*'Scope3 Travel'!$B149</f>
        <v>5.5571979328035406</v>
      </c>
      <c r="E259" s="300">
        <f>E257*'Scope3 Travel'!$B155*'Scope3 Travel'!$B146*'Scope3 Travel'!$B149</f>
        <v>4.4219274892407308</v>
      </c>
    </row>
    <row r="260" spans="1:5">
      <c r="A260" s="299">
        <f>('Scope3 Travel'!$B156*A257*'Scope3 Travel'!$B146)</f>
        <v>0.29730836363636365</v>
      </c>
      <c r="B260" s="299">
        <f>('Scope3 Travel'!$B156*B257*'Scope3 Travel'!$B146)</f>
        <v>0.24474120369745628</v>
      </c>
      <c r="C260" s="299">
        <f>('Scope3 Travel'!$B156*C257*'Scope3 Travel'!$B146)</f>
        <v>0.23636789023734078</v>
      </c>
      <c r="D260" s="299">
        <f>('Scope3 Travel'!$B156*D257*'Scope3 Travel'!$B146)</f>
        <v>0.23221553666633132</v>
      </c>
      <c r="E260" s="299">
        <f>('Scope3 Travel'!$B156*E257*'Scope3 Travel'!$B146)</f>
        <v>0.1847766225766968</v>
      </c>
    </row>
    <row r="261" spans="1:5">
      <c r="A261" s="301">
        <f>A257*'Scope3 Travel'!$B156*'Scope3 Travel'!$B146*'Scope3 Travel'!$B150</f>
        <v>92.165592727272724</v>
      </c>
      <c r="B261" s="301">
        <f>B257*'Scope3 Travel'!$B156*'Scope3 Travel'!$B146*'Scope3 Travel'!$B150</f>
        <v>75.869773146211443</v>
      </c>
      <c r="C261" s="301">
        <f>C257*'Scope3 Travel'!$B156*'Scope3 Travel'!$B146*'Scope3 Travel'!$B150</f>
        <v>73.274045973575639</v>
      </c>
      <c r="D261" s="301">
        <f>D257*'Scope3 Travel'!$B156*'Scope3 Travel'!$B146*'Scope3 Travel'!$B150</f>
        <v>71.986816366562707</v>
      </c>
      <c r="E261" s="301">
        <f>E257*'Scope3 Travel'!$B156*'Scope3 Travel'!$B146*'Scope3 Travel'!$B150</f>
        <v>57.280752998776009</v>
      </c>
    </row>
    <row r="262" spans="1:5">
      <c r="A262" s="491">
        <f>ROUND(A255+A259+A261,1)</f>
        <v>1399.8</v>
      </c>
      <c r="B262" s="491">
        <f>ROUND(B255+B259+B261,1)</f>
        <v>1152.3</v>
      </c>
      <c r="C262" s="491">
        <f>ROUND(C255+C259+C261,1)</f>
        <v>1112.8</v>
      </c>
      <c r="D262" s="491">
        <f>ROUND(D255+D259+D261,1)</f>
        <v>1093.3</v>
      </c>
      <c r="E262" s="491">
        <f>ROUND(E255+E259+E261,1)</f>
        <v>870</v>
      </c>
    </row>
    <row r="263" spans="1:5">
      <c r="A263" s="302"/>
      <c r="B263" s="302"/>
      <c r="C263" s="302"/>
      <c r="D263" s="302"/>
      <c r="E263" s="302"/>
    </row>
    <row r="264" spans="1:5">
      <c r="A264" s="303"/>
      <c r="B264" s="303"/>
      <c r="C264" s="303"/>
      <c r="D264" s="303"/>
      <c r="E264" s="270"/>
    </row>
    <row r="265" spans="1:5">
      <c r="A265" s="286" t="s">
        <v>629</v>
      </c>
      <c r="B265" s="270"/>
      <c r="C265" s="270"/>
      <c r="D265" s="270"/>
      <c r="E265" s="270"/>
    </row>
    <row r="266" spans="1:5">
      <c r="A266" s="287" t="s">
        <v>608</v>
      </c>
      <c r="B266" s="287" t="s">
        <v>609</v>
      </c>
      <c r="C266" s="287" t="s">
        <v>515</v>
      </c>
      <c r="D266" s="287" t="s">
        <v>409</v>
      </c>
      <c r="E266" s="287" t="s">
        <v>488</v>
      </c>
    </row>
    <row r="267" spans="1:5">
      <c r="A267" s="289">
        <v>92173</v>
      </c>
      <c r="B267" s="289">
        <v>74059</v>
      </c>
      <c r="C267" s="289">
        <v>72888</v>
      </c>
      <c r="D267" s="289">
        <v>105753</v>
      </c>
      <c r="E267" s="289">
        <v>110544</v>
      </c>
    </row>
    <row r="268" spans="1:5">
      <c r="A268" s="305"/>
      <c r="B268" s="305"/>
      <c r="C268" s="305"/>
      <c r="D268" s="305"/>
      <c r="E268" s="305"/>
    </row>
    <row r="269" spans="1:5">
      <c r="A269" s="307">
        <v>25</v>
      </c>
      <c r="B269" s="307">
        <v>25</v>
      </c>
      <c r="C269" s="307">
        <v>25</v>
      </c>
      <c r="D269" s="307">
        <v>25</v>
      </c>
      <c r="E269" s="307">
        <v>25</v>
      </c>
    </row>
    <row r="270" spans="1:5">
      <c r="A270" s="309">
        <v>6</v>
      </c>
      <c r="B270" s="309">
        <v>6</v>
      </c>
      <c r="C270" s="309">
        <v>6</v>
      </c>
      <c r="D270" s="309">
        <v>6</v>
      </c>
      <c r="E270" s="309">
        <v>6</v>
      </c>
    </row>
    <row r="271" spans="1:5">
      <c r="A271" s="311">
        <f>A269*A270</f>
        <v>150</v>
      </c>
      <c r="B271" s="311">
        <f>B269*B270</f>
        <v>150</v>
      </c>
      <c r="C271" s="311">
        <f>C269*C270</f>
        <v>150</v>
      </c>
      <c r="D271" s="311">
        <f>D269*D270</f>
        <v>150</v>
      </c>
      <c r="E271" s="311">
        <f>E269*E270</f>
        <v>150</v>
      </c>
    </row>
    <row r="272" spans="1:5">
      <c r="A272" s="313">
        <v>39</v>
      </c>
      <c r="B272" s="313">
        <v>39</v>
      </c>
      <c r="C272" s="313">
        <v>39</v>
      </c>
      <c r="D272" s="313">
        <v>39</v>
      </c>
      <c r="E272" s="313">
        <v>39</v>
      </c>
    </row>
    <row r="273" spans="1:11">
      <c r="A273" s="313">
        <f>(A267/A271)*A272</f>
        <v>23964.98</v>
      </c>
      <c r="B273" s="313">
        <f>(B267/B271)*B272</f>
        <v>19255.34</v>
      </c>
      <c r="C273" s="313">
        <f>(C267/C271)*C272</f>
        <v>18950.88</v>
      </c>
      <c r="D273" s="313">
        <f>(D267/D271)*D272</f>
        <v>27495.78</v>
      </c>
      <c r="E273" s="313">
        <f>(E267/E271)*E272</f>
        <v>28741.440000000002</v>
      </c>
    </row>
    <row r="274" spans="1:11">
      <c r="A274" s="310">
        <v>15</v>
      </c>
      <c r="B274" s="310">
        <v>15</v>
      </c>
      <c r="C274" s="310">
        <v>15</v>
      </c>
      <c r="D274" s="310">
        <v>15</v>
      </c>
      <c r="E274" s="310">
        <v>15</v>
      </c>
    </row>
    <row r="275" spans="1:11">
      <c r="A275" s="292">
        <f>A273/A274</f>
        <v>1597.6653333333334</v>
      </c>
      <c r="B275" s="292">
        <f>B273/B274</f>
        <v>1283.6893333333333</v>
      </c>
      <c r="C275" s="292">
        <f>C273/C274</f>
        <v>1263.3920000000001</v>
      </c>
      <c r="D275" s="292">
        <f>D273/D274</f>
        <v>1833.0519999999999</v>
      </c>
      <c r="E275" s="292">
        <f>E273/E274</f>
        <v>1916.0960000000002</v>
      </c>
    </row>
    <row r="276" spans="1:11">
      <c r="A276" s="294">
        <f>ROUND(A275*'Scope3 Travel'!$B163,1)</f>
        <v>199.8</v>
      </c>
      <c r="B276" s="294">
        <f>ROUND(B275*'Scope3 Travel'!$B163,1)</f>
        <v>160.6</v>
      </c>
      <c r="C276" s="294">
        <f>ROUND(C275*'Scope3 Travel'!$B163,1)</f>
        <v>158</v>
      </c>
      <c r="D276" s="294">
        <f>ROUND(D275*'Scope3 Travel'!$B163,1)</f>
        <v>229.3</v>
      </c>
      <c r="E276" s="294">
        <f>ROUND(E275*'Scope3 Travel'!$B163,1)</f>
        <v>239.6</v>
      </c>
    </row>
    <row r="277" spans="1:11">
      <c r="A277" s="296">
        <f>ROUND(A275*'Scope3 Travel'!$B164,1)</f>
        <v>14</v>
      </c>
      <c r="B277" s="296">
        <f>ROUND(B275*'Scope3 Travel'!$B164,1)</f>
        <v>11.3</v>
      </c>
      <c r="C277" s="296">
        <f>ROUND(C275*'Scope3 Travel'!$B164,1)</f>
        <v>11.1</v>
      </c>
      <c r="D277" s="296">
        <f>ROUND(D275*'Scope3 Travel'!$B164,1)</f>
        <v>16.100000000000001</v>
      </c>
      <c r="E277" s="296">
        <f>ROUND(E275*'Scope3 Travel'!$B164,1)</f>
        <v>16.8</v>
      </c>
    </row>
    <row r="278" spans="1:11">
      <c r="A278" s="299">
        <f>('Scope3 Travel'!$B165*A273*'Scope3 Travel'!$B146)</f>
        <v>4.7546520319999997E-3</v>
      </c>
      <c r="B278" s="299">
        <f>('Scope3 Travel'!$B165*B273*'Scope3 Travel'!$B146)</f>
        <v>3.8202594559999998E-3</v>
      </c>
      <c r="C278" s="299">
        <f>('Scope3 Travel'!$B165*C273*'Scope3 Travel'!$B146)</f>
        <v>3.7598545919999998E-3</v>
      </c>
      <c r="D278" s="299">
        <f>('Scope3 Travel'!$B165*D273*'Scope3 Travel'!$B146)</f>
        <v>5.4551627519999991E-3</v>
      </c>
      <c r="E278" s="299">
        <f>('Scope3 Travel'!$B165*E273*'Scope3 Travel'!$B146)</f>
        <v>5.7023016960000006E-3</v>
      </c>
    </row>
    <row r="279" spans="1:11">
      <c r="A279" s="300">
        <f>A273*'Scope3 Travel'!$B165*'Scope3 Travel'!$B146*'Scope3 Travel'!$B149</f>
        <v>9.9847692671999999E-2</v>
      </c>
      <c r="B279" s="300">
        <f>B273*'Scope3 Travel'!$B165*'Scope3 Travel'!$B146*'Scope3 Travel'!$B149</f>
        <v>8.0225448576000002E-2</v>
      </c>
      <c r="C279" s="300">
        <f>C273*'Scope3 Travel'!$B165*'Scope3 Travel'!$B146*'Scope3 Travel'!$B149</f>
        <v>7.8956946431999991E-2</v>
      </c>
      <c r="D279" s="300">
        <f>D273*'Scope3 Travel'!$B165*'Scope3 Travel'!$B146*'Scope3 Travel'!$B149</f>
        <v>0.11455841779199998</v>
      </c>
      <c r="E279" s="300">
        <f>E273*'Scope3 Travel'!$B165*'Scope3 Travel'!$B146*'Scope3 Travel'!$B149</f>
        <v>0.11974833561600001</v>
      </c>
    </row>
    <row r="280" spans="1:11">
      <c r="A280" s="299">
        <f>('Scope3 Travel'!$B166*A273*'Scope3 Travel'!$B146)</f>
        <v>3.6354874660000001E-3</v>
      </c>
      <c r="B280" s="299">
        <f>('Scope3 Travel'!$B166*B273*'Scope3 Travel'!$B146)</f>
        <v>2.9210350779999999E-3</v>
      </c>
      <c r="C280" s="299">
        <f>('Scope3 Travel'!$B166*C273*'Scope3 Travel'!$B146)</f>
        <v>2.8748484959999999E-3</v>
      </c>
      <c r="D280" s="299">
        <f>('Scope3 Travel'!$B166*D273*'Scope3 Travel'!$B146)</f>
        <v>4.1711098259999994E-3</v>
      </c>
      <c r="E280" s="299">
        <f>('Scope3 Travel'!$B166*E273*'Scope3 Travel'!$B146)</f>
        <v>4.3600764480000009E-3</v>
      </c>
    </row>
    <row r="281" spans="1:11">
      <c r="A281" s="301">
        <f>A273*'Scope3 Travel'!$B166*'Scope3 Travel'!$B146*'Scope3 Travel'!$B150</f>
        <v>1.1270011144600001</v>
      </c>
      <c r="B281" s="301">
        <f>B273*'Scope3 Travel'!$B166*'Scope3 Travel'!$B146*'Scope3 Travel'!$B150</f>
        <v>0.90552087417999994</v>
      </c>
      <c r="C281" s="301">
        <f>C273*'Scope3 Travel'!$B166*'Scope3 Travel'!$B146*'Scope3 Travel'!$B150</f>
        <v>0.89120303375999999</v>
      </c>
      <c r="D281" s="301">
        <f>D273*'Scope3 Travel'!$B166*'Scope3 Travel'!$B146*'Scope3 Travel'!$B150</f>
        <v>1.2930440460599999</v>
      </c>
      <c r="E281" s="301">
        <f>E273*'Scope3 Travel'!$B166*'Scope3 Travel'!$B146*'Scope3 Travel'!$B150</f>
        <v>1.3516236988800003</v>
      </c>
    </row>
    <row r="282" spans="1:11">
      <c r="A282" s="493">
        <f>ROUND(A277+A279+A281,1)</f>
        <v>15.2</v>
      </c>
      <c r="B282" s="493">
        <f>ROUND(B277+B279+B281,1)</f>
        <v>12.3</v>
      </c>
      <c r="C282" s="493">
        <f>ROUND(C277+C279+C281,1)</f>
        <v>12.1</v>
      </c>
      <c r="D282" s="493">
        <f>ROUND(D277+D279+D281,1)</f>
        <v>17.5</v>
      </c>
      <c r="E282" s="493">
        <f>ROUND(E277+E279+E281,1)</f>
        <v>18.3</v>
      </c>
    </row>
    <row r="283" spans="1:11">
      <c r="G283" s="6" t="s">
        <v>949</v>
      </c>
    </row>
    <row r="284" spans="1:11">
      <c r="A284" s="287" t="s">
        <v>608</v>
      </c>
      <c r="B284" s="287" t="s">
        <v>609</v>
      </c>
      <c r="C284" s="287" t="s">
        <v>515</v>
      </c>
      <c r="D284" s="287" t="s">
        <v>409</v>
      </c>
      <c r="E284" s="287" t="s">
        <v>488</v>
      </c>
      <c r="G284" s="287" t="s">
        <v>608</v>
      </c>
      <c r="H284" s="287" t="s">
        <v>609</v>
      </c>
      <c r="I284" s="287" t="s">
        <v>515</v>
      </c>
      <c r="J284" s="287" t="s">
        <v>409</v>
      </c>
      <c r="K284" s="287" t="s">
        <v>488</v>
      </c>
    </row>
    <row r="285" spans="1:11">
      <c r="A285" s="316">
        <v>138300</v>
      </c>
      <c r="B285" s="316">
        <v>150667</v>
      </c>
      <c r="C285" s="316">
        <v>163203</v>
      </c>
      <c r="D285" s="316">
        <v>170627</v>
      </c>
      <c r="E285" s="316">
        <v>241951</v>
      </c>
      <c r="G285" s="316">
        <v>23864</v>
      </c>
      <c r="H285" s="316">
        <v>20113</v>
      </c>
      <c r="I285" s="316">
        <v>16791</v>
      </c>
      <c r="J285" s="316">
        <v>26169</v>
      </c>
      <c r="K285" s="316">
        <v>30134</v>
      </c>
    </row>
    <row r="286" spans="1:11">
      <c r="A286" s="317">
        <v>55</v>
      </c>
      <c r="B286" s="318">
        <v>55</v>
      </c>
      <c r="C286" s="318">
        <v>55</v>
      </c>
      <c r="D286" s="318">
        <v>55</v>
      </c>
      <c r="E286" s="318">
        <v>55</v>
      </c>
      <c r="G286" s="318">
        <v>18</v>
      </c>
      <c r="H286" s="318">
        <v>18</v>
      </c>
      <c r="I286" s="318">
        <v>18</v>
      </c>
      <c r="J286" s="318">
        <v>18</v>
      </c>
      <c r="K286" s="318">
        <v>18</v>
      </c>
    </row>
    <row r="287" spans="1:11">
      <c r="A287" s="318">
        <v>101</v>
      </c>
      <c r="B287" s="318">
        <v>101</v>
      </c>
      <c r="C287" s="318">
        <v>101</v>
      </c>
      <c r="D287" s="318">
        <v>101</v>
      </c>
      <c r="E287" s="318">
        <v>101</v>
      </c>
      <c r="G287" s="338">
        <f>2*29.5</f>
        <v>59</v>
      </c>
      <c r="H287" s="338">
        <f>2*29.5</f>
        <v>59</v>
      </c>
      <c r="I287" s="338">
        <f>2*29.5</f>
        <v>59</v>
      </c>
      <c r="J287" s="338">
        <f>2*29.5</f>
        <v>59</v>
      </c>
      <c r="K287" s="338">
        <f>2*29.5</f>
        <v>59</v>
      </c>
    </row>
    <row r="288" spans="1:11">
      <c r="A288" s="307">
        <v>3.55</v>
      </c>
      <c r="B288" s="307">
        <v>3.55</v>
      </c>
      <c r="C288" s="307">
        <v>3.55</v>
      </c>
      <c r="D288" s="307">
        <v>3.55</v>
      </c>
      <c r="E288" s="307">
        <v>3.55</v>
      </c>
      <c r="G288" s="326">
        <f>G286/G287</f>
        <v>0.30508474576271188</v>
      </c>
      <c r="H288" s="326">
        <f>H286/H287</f>
        <v>0.30508474576271188</v>
      </c>
      <c r="I288" s="326">
        <f>I286/I287</f>
        <v>0.30508474576271188</v>
      </c>
      <c r="J288" s="326">
        <f>J286/J287</f>
        <v>0.30508474576271188</v>
      </c>
      <c r="K288" s="326">
        <f>K286/K287</f>
        <v>0.30508474576271188</v>
      </c>
    </row>
    <row r="289" spans="1:11">
      <c r="A289" s="307">
        <v>1.75</v>
      </c>
      <c r="B289" s="307">
        <v>3.55</v>
      </c>
      <c r="C289" s="307">
        <v>3.55</v>
      </c>
      <c r="D289" s="307">
        <v>3.55</v>
      </c>
      <c r="E289" s="307">
        <v>3.55</v>
      </c>
      <c r="G289" s="318">
        <v>88</v>
      </c>
      <c r="H289" s="318">
        <v>88</v>
      </c>
      <c r="I289" s="318">
        <v>88</v>
      </c>
      <c r="J289" s="318">
        <v>88</v>
      </c>
      <c r="K289" s="318">
        <v>88</v>
      </c>
    </row>
    <row r="290" spans="1:11">
      <c r="A290" s="319"/>
      <c r="B290" s="319"/>
      <c r="C290" s="319"/>
      <c r="D290" s="319"/>
      <c r="E290" s="319"/>
      <c r="G290" s="338">
        <f>2*310.1</f>
        <v>620.20000000000005</v>
      </c>
      <c r="H290" s="338">
        <f>2*310.1</f>
        <v>620.20000000000005</v>
      </c>
      <c r="I290" s="338">
        <f>2*310.1</f>
        <v>620.20000000000005</v>
      </c>
      <c r="J290" s="338">
        <f>2*310.1</f>
        <v>620.20000000000005</v>
      </c>
      <c r="K290" s="338">
        <f>2*310.1</f>
        <v>620.20000000000005</v>
      </c>
    </row>
    <row r="291" spans="1:11">
      <c r="A291" s="320">
        <f>'Scope3 Travel'!$B181/'Scope3 Travel'!$B183</f>
        <v>56.18181818181818</v>
      </c>
      <c r="B291" s="320">
        <f>'Scope3 Travel'!$B181/'Scope3 Travel'!$B183</f>
        <v>56.18181818181818</v>
      </c>
      <c r="C291" s="320">
        <f>'Scope3 Travel'!$B181/'Scope3 Travel'!$B183</f>
        <v>56.18181818181818</v>
      </c>
      <c r="D291" s="320">
        <f>'Scope3 Travel'!$B181/'Scope3 Travel'!$B183</f>
        <v>56.18181818181818</v>
      </c>
      <c r="E291" s="320">
        <f>'Scope3 Travel'!$B181/'Scope3 Travel'!$B183</f>
        <v>56.18181818181818</v>
      </c>
      <c r="G291" s="326">
        <f>G289/G290</f>
        <v>0.1418897129958078</v>
      </c>
      <c r="H291" s="326">
        <f>H289/H290</f>
        <v>0.1418897129958078</v>
      </c>
      <c r="I291" s="326">
        <f>I289/I290</f>
        <v>0.1418897129958078</v>
      </c>
      <c r="J291" s="326">
        <f>J289/J290</f>
        <v>0.1418897129958078</v>
      </c>
      <c r="K291" s="326">
        <f>K289/K290</f>
        <v>0.1418897129958078</v>
      </c>
    </row>
    <row r="292" spans="1:11">
      <c r="A292" s="320">
        <f>'Scope3 Travel'!$B182/'Scope3 Travel'!$B184</f>
        <v>40.433465392682365</v>
      </c>
      <c r="B292" s="320">
        <f>'Scope3 Travel'!$B182/'Scope3 Travel'!$B184</f>
        <v>40.433465392682365</v>
      </c>
      <c r="C292" s="320">
        <f>'Scope3 Travel'!$B182/'Scope3 Travel'!$B184</f>
        <v>40.433465392682365</v>
      </c>
      <c r="D292" s="320">
        <f>'Scope3 Travel'!$B182/'Scope3 Travel'!$B184</f>
        <v>40.433465392682365</v>
      </c>
      <c r="E292" s="320">
        <f>'Scope3 Travel'!$B182/'Scope3 Travel'!$B184</f>
        <v>40.433465392682365</v>
      </c>
      <c r="G292" s="318">
        <v>142</v>
      </c>
      <c r="H292" s="318">
        <v>142</v>
      </c>
      <c r="I292" s="318">
        <v>142</v>
      </c>
      <c r="J292" s="318">
        <v>142</v>
      </c>
      <c r="K292" s="318">
        <v>142</v>
      </c>
    </row>
    <row r="293" spans="1:11">
      <c r="A293" s="305">
        <f>((SUM('Scope3 Travel'!$B183:$B185))*A287+('Scope3 Travel'!$B181*A288)+('Scope3 Travel'!$B182*A289))</f>
        <v>4003.7064</v>
      </c>
      <c r="B293" s="305">
        <f>((SUM('Scope3 Travel'!$B183:$B185))*B287+('Scope3 Travel'!$B181*B288)+('Scope3 Travel'!$B182*B289))</f>
        <v>4128.6264000000001</v>
      </c>
      <c r="C293" s="305">
        <f>((SUM('Scope3 Travel'!$B183:$B185))*C287+('Scope3 Travel'!$B181*C288)+('Scope3 Travel'!$B182*C289))</f>
        <v>4128.6264000000001</v>
      </c>
      <c r="D293" s="305">
        <f>((SUM('Scope3 Travel'!$B183:$B185))*D287+('Scope3 Travel'!$B181*D288)+('Scope3 Travel'!$B182*D289))</f>
        <v>4128.6264000000001</v>
      </c>
      <c r="E293" s="305">
        <f>((SUM('Scope3 Travel'!$B183:$B185))*E287+('Scope3 Travel'!$B181*E288)+('Scope3 Travel'!$B182*E289))</f>
        <v>4128.6264000000001</v>
      </c>
      <c r="G293" s="338">
        <f>2*526</f>
        <v>1052</v>
      </c>
      <c r="H293" s="338">
        <f>2*526</f>
        <v>1052</v>
      </c>
      <c r="I293" s="338">
        <f>2*526</f>
        <v>1052</v>
      </c>
      <c r="J293" s="338">
        <f>2*526</f>
        <v>1052</v>
      </c>
      <c r="K293" s="338">
        <f>2*526</f>
        <v>1052</v>
      </c>
    </row>
    <row r="294" spans="1:11">
      <c r="A294" s="278">
        <f>(SUM('Scope3 Travel'!$B181:$B182))*'Scope3 Travel'!$B186</f>
        <v>99.604259999999996</v>
      </c>
      <c r="B294" s="278">
        <f>(SUM('Scope3 Travel'!$B181:$B182))*'Scope3 Travel'!$B186</f>
        <v>99.604259999999996</v>
      </c>
      <c r="C294" s="278">
        <f>(SUM('Scope3 Travel'!$B181:$B182))*'Scope3 Travel'!$B186</f>
        <v>99.604259999999996</v>
      </c>
      <c r="D294" s="278">
        <f>(SUM('Scope3 Travel'!$B181:$B182))*'Scope3 Travel'!$B186</f>
        <v>99.604259999999996</v>
      </c>
      <c r="E294" s="278">
        <f>(SUM('Scope3 Travel'!$B181:$B182))*'Scope3 Travel'!$B186</f>
        <v>99.604259999999996</v>
      </c>
      <c r="G294" s="326">
        <f>G292/G293</f>
        <v>0.13498098859315588</v>
      </c>
      <c r="H294" s="326">
        <f>H292/H293</f>
        <v>0.13498098859315588</v>
      </c>
      <c r="I294" s="326">
        <f>I292/I293</f>
        <v>0.13498098859315588</v>
      </c>
      <c r="J294" s="326">
        <f>J292/J293</f>
        <v>0.13498098859315588</v>
      </c>
      <c r="K294" s="326">
        <f>K292/K293</f>
        <v>0.13498098859315588</v>
      </c>
    </row>
    <row r="295" spans="1:11">
      <c r="A295" s="321">
        <f>A294/A293</f>
        <v>2.4878013033123508E-2</v>
      </c>
      <c r="B295" s="321">
        <f>B294/B293</f>
        <v>2.412527808280255E-2</v>
      </c>
      <c r="C295" s="321">
        <f>C294/C293</f>
        <v>2.412527808280255E-2</v>
      </c>
      <c r="D295" s="321">
        <f>D294/D293</f>
        <v>2.412527808280255E-2</v>
      </c>
      <c r="E295" s="321">
        <f>E294/E293</f>
        <v>2.412527808280255E-2</v>
      </c>
      <c r="G295" s="326">
        <f>AVERAGE(G288,G291,G294)</f>
        <v>0.1939851491172252</v>
      </c>
      <c r="H295" s="326">
        <f>AVERAGE(H288,H291,H294)</f>
        <v>0.1939851491172252</v>
      </c>
      <c r="I295" s="326">
        <f>AVERAGE(I288,I291,I294)</f>
        <v>0.1939851491172252</v>
      </c>
      <c r="J295" s="326">
        <f>AVERAGE(J288,J291,J294)</f>
        <v>0.1939851491172252</v>
      </c>
      <c r="K295" s="326">
        <f>AVERAGE(K288,K291,K294)</f>
        <v>0.1939851491172252</v>
      </c>
    </row>
    <row r="296" spans="1:11">
      <c r="A296" s="292">
        <f>A285*A295</f>
        <v>3440.6292024809813</v>
      </c>
      <c r="B296" s="292">
        <f>B285*B295</f>
        <v>3634.8832729016117</v>
      </c>
      <c r="C296" s="292">
        <f>C285*C295</f>
        <v>3937.3177589476245</v>
      </c>
      <c r="D296" s="292">
        <f>D285*D295</f>
        <v>4116.4238234343502</v>
      </c>
      <c r="E296" s="292">
        <f>E285*E295</f>
        <v>5837.13515741216</v>
      </c>
      <c r="G296" s="328">
        <f>ROUND((G285)/G295,-1)</f>
        <v>123020</v>
      </c>
      <c r="H296" s="328">
        <f>ROUND((H285)/H295,-1)</f>
        <v>103680</v>
      </c>
      <c r="I296" s="328">
        <f>ROUND((I285)/I295,-1)</f>
        <v>86560</v>
      </c>
      <c r="J296" s="328">
        <f>ROUND((J285)/J295,-1)</f>
        <v>134900</v>
      </c>
      <c r="K296" s="328">
        <f>ROUND((K285)/K295,-1)</f>
        <v>155340</v>
      </c>
    </row>
    <row r="297" spans="1:11">
      <c r="A297" s="294">
        <f>ROUND(A296*'Scope3 Travel'!$B173,1)</f>
        <v>477.2</v>
      </c>
      <c r="B297" s="294">
        <f>ROUND(B296*'Scope3 Travel'!$B173,1)</f>
        <v>504.1</v>
      </c>
      <c r="C297" s="294">
        <f>ROUND(C296*'Scope3 Travel'!$B173,1)</f>
        <v>546.1</v>
      </c>
      <c r="D297" s="294">
        <f>ROUND(D296*'Scope3 Travel'!$B173,1)</f>
        <v>570.9</v>
      </c>
      <c r="E297" s="294">
        <f>ROUND(E296*'Scope3 Travel'!$B173,1)</f>
        <v>809.6</v>
      </c>
      <c r="G297" s="331">
        <v>2100</v>
      </c>
      <c r="H297" s="331">
        <v>2100</v>
      </c>
      <c r="I297" s="331">
        <v>2100</v>
      </c>
      <c r="J297" s="331">
        <v>2100</v>
      </c>
      <c r="K297" s="331">
        <v>2100</v>
      </c>
    </row>
    <row r="298" spans="1:11">
      <c r="A298" s="296">
        <f>ROUND(A296*'Scope3 Travel'!$B174,1)</f>
        <v>34.5</v>
      </c>
      <c r="B298" s="296">
        <f>ROUND(B296*'Scope3 Travel'!$B174,1)</f>
        <v>36.5</v>
      </c>
      <c r="C298" s="296">
        <f>ROUND(C296*'Scope3 Travel'!$B174,1)</f>
        <v>39.5</v>
      </c>
      <c r="D298" s="296">
        <f>ROUND(D296*'Scope3 Travel'!$B174,1)</f>
        <v>41.3</v>
      </c>
      <c r="E298" s="296">
        <f>ROUND(E296*'Scope3 Travel'!$B174,1)</f>
        <v>58.6</v>
      </c>
      <c r="G298" s="299">
        <f>((G296*G297*'Scope3 Travel'!$B143)/G285)</f>
        <v>1.0825595038551792E-2</v>
      </c>
      <c r="H298" s="299">
        <f>((H296*H297*'Scope3 Travel'!$B143)/H285)</f>
        <v>1.0825237408641176E-2</v>
      </c>
      <c r="I298" s="299">
        <f>((I296*I297*'Scope3 Travel'!$B143)/I285)</f>
        <v>1.0825799535465426E-2</v>
      </c>
      <c r="J298" s="299">
        <f>((J296*J297*'Scope3 Travel'!$B143)/J285)</f>
        <v>1.0825404104092627E-2</v>
      </c>
      <c r="K298" s="299">
        <f>((K296*K297*'Scope3 Travel'!$B143)/K285)</f>
        <v>1.082544633968275E-2</v>
      </c>
    </row>
    <row r="299" spans="1:11">
      <c r="A299" s="292">
        <f>A296*'Scope3 Travel'!$B187</f>
        <v>23744.853019192418</v>
      </c>
      <c r="B299" s="292">
        <f>B296*'Scope3 Travel'!$B187</f>
        <v>25085.460820577031</v>
      </c>
      <c r="C299" s="292">
        <f>C296*'Scope3 Travel'!$B187</f>
        <v>27172.655341253449</v>
      </c>
      <c r="D299" s="292">
        <f>D296*'Scope3 Travel'!$B187</f>
        <v>28408.722038884403</v>
      </c>
      <c r="E299" s="292">
        <f>E296*'Scope3 Travel'!$B187</f>
        <v>40283.886524583577</v>
      </c>
      <c r="G299" s="340">
        <f>(G300*'Scope3 Travel'!$B203*'Scope3 Travel'!$B204*'Scope3 Travel'!$B205*'Scope3 Travel'!$B145)/G285</f>
        <v>7.5897991633755056E-4</v>
      </c>
      <c r="H299" s="340">
        <f>(H300*'Scope3 Travel'!$B203*'Scope3 Travel'!$B204*'Scope3 Travel'!$B205*'Scope3 Travel'!$B145)/H285</f>
        <v>7.5898063219261925E-4</v>
      </c>
      <c r="I299" s="340">
        <f>(I300*'Scope3 Travel'!$B203*'Scope3 Travel'!$B204*'Scope3 Travel'!$B205*'Scope3 Travel'!$B145)/I285</f>
        <v>7.5921789405242201E-4</v>
      </c>
      <c r="J299" s="340">
        <f>(J300*'Scope3 Travel'!$B203*'Scope3 Travel'!$B204*'Scope3 Travel'!$B205*'Scope3 Travel'!$B145)/J285</f>
        <v>7.5911673466724436E-4</v>
      </c>
      <c r="K299" s="340">
        <f>(K300*'Scope3 Travel'!$B203*'Scope3 Travel'!$B204*'Scope3 Travel'!$B205*'Scope3 Travel'!$B145)/K285</f>
        <v>7.5906032307197291E-4</v>
      </c>
    </row>
    <row r="300" spans="1:11">
      <c r="A300" s="299">
        <f>('Scope3 Travel'!$B175*A299*'Scope3 Travel'!$B146)</f>
        <v>2.2937528016539876E-3</v>
      </c>
      <c r="B300" s="299">
        <f>('Scope3 Travel'!$B175*B299*'Scope3 Travel'!$B146)</f>
        <v>2.4232555152677413E-3</v>
      </c>
      <c r="C300" s="299">
        <f>('Scope3 Travel'!$B175*C299*'Scope3 Travel'!$B146)</f>
        <v>2.624878505965083E-3</v>
      </c>
      <c r="D300" s="299">
        <f>('Scope3 Travel'!$B175*D299*'Scope3 Travel'!$B146)</f>
        <v>2.7442825489562331E-3</v>
      </c>
      <c r="E300" s="299">
        <f>('Scope3 Travel'!$B175*E299*'Scope3 Travel'!$B146)</f>
        <v>3.8914234382747734E-3</v>
      </c>
      <c r="G300" s="294">
        <f>ROUND((G296*G297*'Scope3 Travel'!$B143),1)</f>
        <v>258.3</v>
      </c>
      <c r="H300" s="294">
        <f>ROUND((H296*H297*'Scope3 Travel'!$B143),1)</f>
        <v>217.7</v>
      </c>
      <c r="I300" s="294">
        <f>ROUND((I296*I297*'Scope3 Travel'!$B143),1)</f>
        <v>181.8</v>
      </c>
      <c r="J300" s="294">
        <f>ROUND((J296*J297*'Scope3 Travel'!$B143),1)</f>
        <v>283.3</v>
      </c>
      <c r="K300" s="294">
        <f>ROUND((K296*K297*'Scope3 Travel'!$B143),1)</f>
        <v>326.2</v>
      </c>
    </row>
    <row r="301" spans="1:11">
      <c r="A301" s="322">
        <f>A299*'Scope3 Travel'!$B175*'Scope3 Travel'!$B146*'Scope3 Travel'!$B149</f>
        <v>4.8168808834733741E-2</v>
      </c>
      <c r="B301" s="322">
        <f>B299*'Scope3 Travel'!$B175*'Scope3 Travel'!$B146*'Scope3 Travel'!$B149</f>
        <v>5.0888365820622568E-2</v>
      </c>
      <c r="C301" s="322">
        <f>C299*'Scope3 Travel'!$B175*'Scope3 Travel'!$B146*'Scope3 Travel'!$B149</f>
        <v>5.5122448625266746E-2</v>
      </c>
      <c r="D301" s="322">
        <f>D299*'Scope3 Travel'!$B175*'Scope3 Travel'!$B146*'Scope3 Travel'!$B149</f>
        <v>5.7629933528080893E-2</v>
      </c>
      <c r="E301" s="322">
        <f>E299*'Scope3 Travel'!$B175*'Scope3 Travel'!$B146*'Scope3 Travel'!$B149</f>
        <v>8.1719892203770239E-2</v>
      </c>
      <c r="G301" s="296">
        <f>ROUND(G300*'Scope3 Travel'!$B203*'Scope3 Travel'!$B204*'Scope3 Travel'!$B205*'Scope3 Travel'!$B145,1)</f>
        <v>18.100000000000001</v>
      </c>
      <c r="H301" s="296">
        <f>ROUND(H300*'Scope3 Travel'!$B203*'Scope3 Travel'!$B204*'Scope3 Travel'!$B205*'Scope3 Travel'!$B145,1)</f>
        <v>15.3</v>
      </c>
      <c r="I301" s="296">
        <f>ROUND(I300*'Scope3 Travel'!$B203*'Scope3 Travel'!$B204*'Scope3 Travel'!$B205*'Scope3 Travel'!$B145,1)</f>
        <v>12.7</v>
      </c>
      <c r="J301" s="296">
        <f>ROUND(J300*'Scope3 Travel'!$B203*'Scope3 Travel'!$B204*'Scope3 Travel'!$B205*'Scope3 Travel'!$B145,1)</f>
        <v>19.899999999999999</v>
      </c>
      <c r="K301" s="296">
        <f>ROUND(K300*'Scope3 Travel'!$B203*'Scope3 Travel'!$B204*'Scope3 Travel'!$B205*'Scope3 Travel'!$B145,1)</f>
        <v>22.9</v>
      </c>
    </row>
    <row r="302" spans="1:11">
      <c r="A302" s="299">
        <f>('Scope3 Travel'!$B176*A299*'Scope3 Travel'!$B146)</f>
        <v>1.1468764008269938E-3</v>
      </c>
      <c r="B302" s="299">
        <f>('Scope3 Travel'!$B176*B299*'Scope3 Travel'!$B146)</f>
        <v>1.2116277576338706E-3</v>
      </c>
      <c r="C302" s="299">
        <f>('Scope3 Travel'!$B176*C299*'Scope3 Travel'!$B146)</f>
        <v>1.3124392529825415E-3</v>
      </c>
      <c r="D302" s="299">
        <f>('Scope3 Travel'!$B176*D299*'Scope3 Travel'!$B146)</f>
        <v>1.3721412744781166E-3</v>
      </c>
      <c r="E302" s="299">
        <f>('Scope3 Travel'!$B176*E299*'Scope3 Travel'!$B146)</f>
        <v>1.9457117191373867E-3</v>
      </c>
      <c r="G302" s="292">
        <f>(G300/'Scope3 Travel'!$B202)/'Scope3 Travel'!$B144</f>
        <v>1862.4206008583694</v>
      </c>
      <c r="H302" s="292">
        <f>(H300/'Scope3 Travel'!$B202)/'Scope3 Travel'!$B144</f>
        <v>1569.6824034334766</v>
      </c>
      <c r="I302" s="292">
        <f>(I300/'Scope3 Travel'!$B202)/'Scope3 Travel'!$B144</f>
        <v>1310.8326180257511</v>
      </c>
      <c r="J302" s="292">
        <f>(J300/'Scope3 Travel'!$B202)/'Scope3 Travel'!$B144</f>
        <v>2042.6781115879828</v>
      </c>
      <c r="K302" s="292">
        <f>(K300/'Scope3 Travel'!$B202)/'Scope3 Travel'!$B144</f>
        <v>2352</v>
      </c>
    </row>
    <row r="303" spans="1:11">
      <c r="A303" s="300">
        <f>A299*'Scope3 Travel'!$B176*'Scope3 Travel'!$B146*'Scope3 Travel'!$B150</f>
        <v>0.35553168425636805</v>
      </c>
      <c r="B303" s="300">
        <f>B299*'Scope3 Travel'!$B176*'Scope3 Travel'!$B146*'Scope3 Travel'!$B150</f>
        <v>0.37560460486649988</v>
      </c>
      <c r="C303" s="300">
        <f>C299*'Scope3 Travel'!$B176*'Scope3 Travel'!$B146*'Scope3 Travel'!$B150</f>
        <v>0.40685616842458788</v>
      </c>
      <c r="D303" s="300">
        <f>D299*'Scope3 Travel'!$B176*'Scope3 Travel'!$B146*'Scope3 Travel'!$B150</f>
        <v>0.42536379508821615</v>
      </c>
      <c r="E303" s="300">
        <f>E299*'Scope3 Travel'!$B176*'Scope3 Travel'!$B146*'Scope3 Travel'!$B150</f>
        <v>0.60317063293258988</v>
      </c>
      <c r="G303" s="341">
        <f>('Scope3 Travel'!$B200*'Scope3 Travel'!$B199*G302*'Scope3 Travel'!$B146)</f>
        <v>1.4852804291845495E-3</v>
      </c>
      <c r="H303" s="341">
        <f>('Scope3 Travel'!$B200*'Scope3 Travel'!$B199*H302*'Scope3 Travel'!$B146)</f>
        <v>1.2518217167381974E-3</v>
      </c>
      <c r="I303" s="341">
        <f>('Scope3 Travel'!$B200*'Scope3 Travel'!$B199*I302*'Scope3 Travel'!$B146)</f>
        <v>1.0453890128755364E-3</v>
      </c>
      <c r="J303" s="341">
        <f>('Scope3 Travel'!$B200*'Scope3 Travel'!$B199*J302*'Scope3 Travel'!$B146)</f>
        <v>1.6290357939914163E-3</v>
      </c>
      <c r="K303" s="341">
        <f>('Scope3 Travel'!$B200*'Scope3 Travel'!$B199*K302*'Scope3 Travel'!$B146)</f>
        <v>1.87572E-3</v>
      </c>
    </row>
    <row r="304" spans="1:11">
      <c r="A304" s="495">
        <f>ROUND(A298+A301+A303,1)</f>
        <v>34.9</v>
      </c>
      <c r="B304" s="495">
        <f>ROUND(B298+B301+B303,1)</f>
        <v>36.9</v>
      </c>
      <c r="C304" s="495">
        <f>ROUND(C298+C301+C303,1)</f>
        <v>40</v>
      </c>
      <c r="D304" s="495">
        <f>ROUND(D298+D301+D303,1)</f>
        <v>41.8</v>
      </c>
      <c r="E304" s="495">
        <f>ROUND(E298+E301+E303,1)</f>
        <v>59.3</v>
      </c>
      <c r="G304" s="322">
        <f>G302*'Scope3 Travel'!$B199*'Scope3 Travel'!$B200*'Scope3 Travel'!$B146*'Scope3 Travel'!$B149</f>
        <v>3.119088901287554E-2</v>
      </c>
      <c r="H304" s="322">
        <f>H302*'Scope3 Travel'!$B199*'Scope3 Travel'!$B200*'Scope3 Travel'!$B146*'Scope3 Travel'!$B149</f>
        <v>2.6288256051502146E-2</v>
      </c>
      <c r="I304" s="322">
        <f>I302*'Scope3 Travel'!$B199*'Scope3 Travel'!$B200*'Scope3 Travel'!$B146*'Scope3 Travel'!$B149</f>
        <v>2.1953169270386264E-2</v>
      </c>
      <c r="J304" s="322">
        <f>J302*'Scope3 Travel'!$B199*'Scope3 Travel'!$B200*'Scope3 Travel'!$B146*'Scope3 Travel'!$B149</f>
        <v>3.420975167381974E-2</v>
      </c>
      <c r="K304" s="322">
        <f>K302*'Scope3 Travel'!$B199*'Scope3 Travel'!$B200*'Scope3 Travel'!$B146*'Scope3 Travel'!$B149</f>
        <v>3.9390120000000001E-2</v>
      </c>
    </row>
    <row r="305" spans="1:11">
      <c r="A305" s="287" t="s">
        <v>608</v>
      </c>
      <c r="B305" s="287" t="s">
        <v>609</v>
      </c>
      <c r="C305" s="287" t="s">
        <v>515</v>
      </c>
      <c r="D305" s="287" t="s">
        <v>409</v>
      </c>
      <c r="E305" s="287" t="s">
        <v>488</v>
      </c>
      <c r="G305" s="342">
        <f>('Scope3 Travel'!$B201*'Scope3 Travel'!$B199*G302*'Scope3 Travel'!$B146)</f>
        <v>4.752897373390558E-4</v>
      </c>
      <c r="H305" s="342">
        <f>('Scope3 Travel'!$B201*'Scope3 Travel'!$B199*H302*'Scope3 Travel'!$B146)</f>
        <v>4.0058294935622316E-4</v>
      </c>
      <c r="I305" s="342">
        <f>('Scope3 Travel'!$B201*'Scope3 Travel'!$B199*I302*'Scope3 Travel'!$B146)</f>
        <v>3.3452448412017168E-4</v>
      </c>
      <c r="J305" s="342">
        <f>('Scope3 Travel'!$B201*'Scope3 Travel'!$B199*J302*'Scope3 Travel'!$B146)</f>
        <v>5.2129145407725324E-4</v>
      </c>
      <c r="K305" s="342">
        <f>('Scope3 Travel'!$B201*'Scope3 Travel'!$B199*K302*'Scope3 Travel'!$B146)</f>
        <v>6.0023039999999991E-4</v>
      </c>
    </row>
    <row r="306" spans="1:11">
      <c r="A306" s="316">
        <v>968332</v>
      </c>
      <c r="B306" s="316">
        <v>1049171</v>
      </c>
      <c r="C306" s="316">
        <v>989202</v>
      </c>
      <c r="D306" s="316">
        <v>1104816</v>
      </c>
      <c r="E306" s="316">
        <v>1092186</v>
      </c>
      <c r="G306" s="322">
        <f>G302*'Scope3 Travel'!$B201*'Scope3 Travel'!$B146*'Scope3 Travel'!$B150</f>
        <v>4.6188030901287556E-2</v>
      </c>
      <c r="H306" s="322">
        <f>H302*'Scope3 Travel'!$B201*'Scope3 Travel'!$B146*'Scope3 Travel'!$B150</f>
        <v>3.8928123605150217E-2</v>
      </c>
      <c r="I306" s="322">
        <f>I302*'Scope3 Travel'!$B201*'Scope3 Travel'!$B146*'Scope3 Travel'!$B150</f>
        <v>3.2508648927038628E-2</v>
      </c>
      <c r="J306" s="322">
        <f>J302*'Scope3 Travel'!$B201*'Scope3 Travel'!$B146*'Scope3 Travel'!$B150</f>
        <v>5.0658417167381981E-2</v>
      </c>
      <c r="K306" s="322">
        <f>K302*'Scope3 Travel'!$B201*'Scope3 Travel'!$B146*'Scope3 Travel'!$B150</f>
        <v>5.8329599999999995E-2</v>
      </c>
    </row>
    <row r="307" spans="1:11">
      <c r="A307" s="323">
        <v>0.9</v>
      </c>
      <c r="B307" s="323">
        <v>0.9</v>
      </c>
      <c r="C307" s="323">
        <v>0.9</v>
      </c>
      <c r="D307" s="323">
        <v>0.9</v>
      </c>
      <c r="E307" s="323">
        <v>0.9</v>
      </c>
      <c r="G307" s="495">
        <f>ROUND(G301+G304+G306,1)</f>
        <v>18.2</v>
      </c>
      <c r="H307" s="495">
        <f>ROUND(H301+H304+H306,1)</f>
        <v>15.4</v>
      </c>
      <c r="I307" s="495">
        <f>ROUND(I301+I304+I306,1)</f>
        <v>12.8</v>
      </c>
      <c r="J307" s="495">
        <f>ROUND(J301+J304+J306,1)</f>
        <v>20</v>
      </c>
      <c r="K307" s="495">
        <f>ROUND(K301+K304+K306,1)</f>
        <v>23</v>
      </c>
    </row>
    <row r="308" spans="1:11">
      <c r="A308" s="318">
        <v>289</v>
      </c>
      <c r="B308" s="318">
        <v>289</v>
      </c>
      <c r="C308" s="318">
        <v>289</v>
      </c>
      <c r="D308" s="318">
        <v>289</v>
      </c>
      <c r="E308" s="318">
        <v>289</v>
      </c>
    </row>
    <row r="309" spans="1:11">
      <c r="A309" s="324">
        <v>304</v>
      </c>
      <c r="B309" s="324">
        <v>304</v>
      </c>
      <c r="C309" s="324">
        <v>304</v>
      </c>
      <c r="D309" s="324">
        <v>304</v>
      </c>
      <c r="E309" s="324">
        <v>304</v>
      </c>
    </row>
    <row r="310" spans="1:11">
      <c r="A310" s="326">
        <f>A308/A309</f>
        <v>0.95065789473684215</v>
      </c>
      <c r="B310" s="326">
        <f>B308/B309</f>
        <v>0.95065789473684215</v>
      </c>
      <c r="C310" s="326">
        <f>C308/C309</f>
        <v>0.95065789473684215</v>
      </c>
      <c r="D310" s="326">
        <f>D308/D309</f>
        <v>0.95065789473684215</v>
      </c>
      <c r="E310" s="326">
        <f>E308/E309</f>
        <v>0.95065789473684215</v>
      </c>
    </row>
    <row r="311" spans="1:11">
      <c r="A311" s="318">
        <v>641</v>
      </c>
      <c r="B311" s="318">
        <v>641</v>
      </c>
      <c r="C311" s="318">
        <v>641</v>
      </c>
      <c r="D311" s="318">
        <v>641</v>
      </c>
      <c r="E311" s="318">
        <v>641</v>
      </c>
    </row>
    <row r="312" spans="1:11">
      <c r="A312" s="309">
        <v>2870</v>
      </c>
      <c r="B312" s="309">
        <v>2870</v>
      </c>
      <c r="C312" s="309">
        <v>2870</v>
      </c>
      <c r="D312" s="309">
        <v>2870</v>
      </c>
      <c r="E312" s="309">
        <v>2870</v>
      </c>
    </row>
    <row r="313" spans="1:11">
      <c r="A313" s="326">
        <f>A311/A312</f>
        <v>0.22334494773519165</v>
      </c>
      <c r="B313" s="326">
        <f>B311/B312</f>
        <v>0.22334494773519165</v>
      </c>
      <c r="C313" s="326">
        <f>C311/C312</f>
        <v>0.22334494773519165</v>
      </c>
      <c r="D313" s="326">
        <f>D311/D312</f>
        <v>0.22334494773519165</v>
      </c>
      <c r="E313" s="326">
        <f>E311/E312</f>
        <v>0.22334494773519165</v>
      </c>
    </row>
    <row r="314" spans="1:11">
      <c r="A314" s="318">
        <v>945</v>
      </c>
      <c r="B314" s="318">
        <v>945</v>
      </c>
      <c r="C314" s="318">
        <v>945</v>
      </c>
      <c r="D314" s="318">
        <v>945</v>
      </c>
      <c r="E314" s="318">
        <v>945</v>
      </c>
    </row>
    <row r="315" spans="1:11">
      <c r="A315" s="309">
        <v>4180</v>
      </c>
      <c r="B315" s="309">
        <v>4180</v>
      </c>
      <c r="C315" s="309">
        <v>4180</v>
      </c>
      <c r="D315" s="309">
        <v>4180</v>
      </c>
      <c r="E315" s="309">
        <v>4180</v>
      </c>
    </row>
    <row r="316" spans="1:11">
      <c r="A316" s="326">
        <f>A314/A315</f>
        <v>0.22607655502392343</v>
      </c>
      <c r="B316" s="326">
        <f>B314/B315</f>
        <v>0.22607655502392343</v>
      </c>
      <c r="C316" s="326">
        <f>C314/C315</f>
        <v>0.22607655502392343</v>
      </c>
      <c r="D316" s="326">
        <f>D314/D315</f>
        <v>0.22607655502392343</v>
      </c>
      <c r="E316" s="326">
        <f>E314/E315</f>
        <v>0.22607655502392343</v>
      </c>
    </row>
    <row r="317" spans="1:11">
      <c r="A317" s="326">
        <f>AVERAGE(A310,A313)</f>
        <v>0.58700142123601684</v>
      </c>
      <c r="B317" s="326">
        <f>AVERAGE(B310,B313)</f>
        <v>0.58700142123601684</v>
      </c>
      <c r="C317" s="326">
        <f>AVERAGE(C310,C313)</f>
        <v>0.58700142123601684</v>
      </c>
      <c r="D317" s="326">
        <f>AVERAGE(D310,D313)</f>
        <v>0.58700142123601684</v>
      </c>
      <c r="E317" s="326">
        <f>AVERAGE(E310,E313)</f>
        <v>0.58700142123601684</v>
      </c>
    </row>
    <row r="318" spans="1:11">
      <c r="A318" s="326">
        <f>A316</f>
        <v>0.22607655502392343</v>
      </c>
      <c r="B318" s="326">
        <f>B316</f>
        <v>0.22607655502392343</v>
      </c>
      <c r="C318" s="326">
        <f>C316</f>
        <v>0.22607655502392343</v>
      </c>
      <c r="D318" s="326">
        <f>D316</f>
        <v>0.22607655502392343</v>
      </c>
      <c r="E318" s="326">
        <f>E316</f>
        <v>0.22607655502392343</v>
      </c>
    </row>
    <row r="319" spans="1:11">
      <c r="A319" s="328">
        <f>ROUND((A307*A306)/A317,-4)</f>
        <v>1480000</v>
      </c>
      <c r="B319" s="328">
        <f>ROUND((B307*B306)/B317,-4)</f>
        <v>1610000</v>
      </c>
      <c r="C319" s="328">
        <f>ROUND((C307*C306)/C317,-4)</f>
        <v>1520000</v>
      </c>
      <c r="D319" s="328">
        <f>ROUND((D307*D306)/D317,-4)</f>
        <v>1690000</v>
      </c>
      <c r="E319" s="328">
        <f>ROUND((E307*E306)/E317,-4)</f>
        <v>1670000</v>
      </c>
    </row>
    <row r="320" spans="1:11">
      <c r="A320" s="328">
        <f>ROUND((A306*(1-A307))/A318,-3)</f>
        <v>428000</v>
      </c>
      <c r="B320" s="328">
        <f>ROUND((B306*(1-B307))/B318,-3)</f>
        <v>464000</v>
      </c>
      <c r="C320" s="328">
        <f>ROUND((C306*(1-C307))/C318,-3)</f>
        <v>438000</v>
      </c>
      <c r="D320" s="328">
        <f>ROUND((D306*(1-D307))/D318,-3)</f>
        <v>489000</v>
      </c>
      <c r="E320" s="328">
        <f>ROUND((E306*(1-E307))/E318,-4)</f>
        <v>480000</v>
      </c>
    </row>
    <row r="321" spans="1:5">
      <c r="A321" s="328">
        <f>ROUND(SUM(A319:A320),-4)</f>
        <v>1910000</v>
      </c>
      <c r="B321" s="328">
        <f>ROUND(SUM(B319:B320),-4)</f>
        <v>2070000</v>
      </c>
      <c r="C321" s="328">
        <f>ROUND(SUM(C319:C320),-4)</f>
        <v>1960000</v>
      </c>
      <c r="D321" s="328">
        <f>ROUND(SUM(D319:D320),-4)</f>
        <v>2180000</v>
      </c>
      <c r="E321" s="328">
        <f>ROUND(SUM(E319:E320),-3)</f>
        <v>2150000</v>
      </c>
    </row>
    <row r="322" spans="1:5">
      <c r="A322" s="331">
        <v>3890</v>
      </c>
      <c r="B322" s="331">
        <v>3596</v>
      </c>
      <c r="C322" s="331">
        <v>3463</v>
      </c>
      <c r="D322" s="331">
        <v>3297</v>
      </c>
      <c r="E322" s="331">
        <v>3182</v>
      </c>
    </row>
    <row r="323" spans="1:5">
      <c r="A323" s="331">
        <v>3965</v>
      </c>
      <c r="B323" s="331">
        <v>3920</v>
      </c>
      <c r="C323" s="331">
        <v>3872</v>
      </c>
      <c r="D323" s="331">
        <v>3428</v>
      </c>
      <c r="E323" s="331">
        <v>3523</v>
      </c>
    </row>
    <row r="324" spans="1:5">
      <c r="A324" s="333">
        <f>((A319*A322*'Scope3 Travel'!$B143)+(A320*A323*'Scope3 Travel'!$B143))/A306</f>
        <v>7.6980002726337654E-3</v>
      </c>
      <c r="B324" s="333">
        <f>((B319*B322*'Scope3 Travel'!$B143)+(B320*B323*'Scope3 Travel'!$B143))/B306</f>
        <v>7.2518588485575748E-3</v>
      </c>
      <c r="C324" s="333">
        <f>((C319*C322*'Scope3 Travel'!$B143)+(C320*C323*'Scope3 Travel'!$B143))/C306</f>
        <v>7.0356671337097974E-3</v>
      </c>
      <c r="D324" s="333">
        <f>((D319*D322*'Scope3 Travel'!$B143)+(D320*D323*'Scope3 Travel'!$B143))/D306</f>
        <v>6.5605693617760783E-3</v>
      </c>
      <c r="E324" s="333">
        <f>((E319*E322*'Scope3 Travel'!$B143)+(E320*E323*'Scope3 Travel'!$B143))/E306</f>
        <v>6.4137244022538283E-3</v>
      </c>
    </row>
    <row r="325" spans="1:5">
      <c r="A325" s="333">
        <f>(A326*'Scope3 Travel'!$B193*'Scope3 Travel'!$B194*'Scope3 Travel'!$B195*'Scope3 Travel'!$B145)/A306</f>
        <v>5.3979129315782123E-4</v>
      </c>
      <c r="B325" s="333">
        <f>(B326*'Scope3 Travel'!$B193*'Scope3 Travel'!$B194*'Scope3 Travel'!$B195*'Scope3 Travel'!$B145)/B306</f>
        <v>5.0850611197991453E-4</v>
      </c>
      <c r="C325" s="333">
        <f>(C326*'Scope3 Travel'!$B193*'Scope3 Travel'!$B194*'Scope3 Travel'!$B195*'Scope3 Travel'!$B145)/C306</f>
        <v>4.9334945417505143E-4</v>
      </c>
      <c r="D325" s="333">
        <f>(D326*'Scope3 Travel'!$B193*'Scope3 Travel'!$B194*'Scope3 Travel'!$B195*'Scope3 Travel'!$B145)/D306</f>
        <v>4.6003336542232385E-4</v>
      </c>
      <c r="E325" s="333">
        <f>(E326*'Scope3 Travel'!$B193*'Scope3 Travel'!$B194*'Scope3 Travel'!$B195*'Scope3 Travel'!$B145)/E306</f>
        <v>4.4973910625936578E-4</v>
      </c>
    </row>
    <row r="326" spans="1:5">
      <c r="A326" s="294">
        <f>ROUND((A319*A322*'Scope3 Travel'!$B143)+(A320*A323*'Scope3 Travel'!$B143),1)</f>
        <v>7454.2</v>
      </c>
      <c r="B326" s="294">
        <f>ROUND((B319*B322*'Scope3 Travel'!$B143)+(B320*B323*'Scope3 Travel'!$B143),1)</f>
        <v>7608.4</v>
      </c>
      <c r="C326" s="294">
        <f>ROUND((C319*C322*'Scope3 Travel'!$B143)+(C320*C323*'Scope3 Travel'!$B143),1)</f>
        <v>6959.7</v>
      </c>
      <c r="D326" s="294">
        <f>ROUND((D319*D322*'Scope3 Travel'!$B143)+(D320*D323*'Scope3 Travel'!$B143),1)</f>
        <v>7248.2</v>
      </c>
      <c r="E326" s="294">
        <f>ROUND((E319*E322*'Scope3 Travel'!$B143)+(E320*E323*'Scope3 Travel'!$B143),1)</f>
        <v>7005</v>
      </c>
    </row>
    <row r="327" spans="1:5">
      <c r="A327" s="296">
        <f>ROUND(A326*'Scope3 Travel'!$B193*'Scope3 Travel'!$B194*'Scope3 Travel'!$B195*'Scope3 Travel'!$B145,1)</f>
        <v>522.70000000000005</v>
      </c>
      <c r="B327" s="296">
        <f>ROUND(B326*'Scope3 Travel'!$B193*'Scope3 Travel'!$B194*'Scope3 Travel'!$B195*'Scope3 Travel'!$B145,1)</f>
        <v>533.5</v>
      </c>
      <c r="C327" s="296">
        <f>ROUND(C326*'Scope3 Travel'!$B193*'Scope3 Travel'!$B194*'Scope3 Travel'!$B195*'Scope3 Travel'!$B145,1)</f>
        <v>488</v>
      </c>
      <c r="D327" s="296">
        <f>ROUND(D326*'Scope3 Travel'!$B193*'Scope3 Travel'!$B194*'Scope3 Travel'!$B195*'Scope3 Travel'!$B145,1)</f>
        <v>508.3</v>
      </c>
      <c r="E327" s="296">
        <f>ROUND(E326*'Scope3 Travel'!$B193*'Scope3 Travel'!$B194*'Scope3 Travel'!$B195*'Scope3 Travel'!$B145,1)</f>
        <v>491.2</v>
      </c>
    </row>
    <row r="328" spans="1:5">
      <c r="A328" s="335">
        <v>2.7</v>
      </c>
      <c r="B328" s="335">
        <v>2.7</v>
      </c>
      <c r="C328" s="335">
        <v>2.7</v>
      </c>
      <c r="D328" s="335">
        <v>2.7</v>
      </c>
      <c r="E328" s="335">
        <v>2.7</v>
      </c>
    </row>
    <row r="329" spans="1:5">
      <c r="A329" s="296">
        <f>ROUND(A327*A328,1)</f>
        <v>1411.3</v>
      </c>
      <c r="B329" s="296">
        <f>ROUND(B327*B328,1)</f>
        <v>1440.5</v>
      </c>
      <c r="C329" s="296">
        <f>ROUND(C327*C328,1)</f>
        <v>1317.6</v>
      </c>
      <c r="D329" s="296">
        <f>ROUND(D327*D328,1)</f>
        <v>1372.4</v>
      </c>
      <c r="E329" s="296">
        <f>ROUND(E327*E328,1)</f>
        <v>1326.2</v>
      </c>
    </row>
    <row r="330" spans="1:5">
      <c r="A330" s="336">
        <f>(A326/'Scope3 Travel'!$B192)/'Scope3 Travel'!$B144</f>
        <v>55216.296296296299</v>
      </c>
      <c r="B330" s="336">
        <f>(B326/'Scope3 Travel'!$B192)/'Scope3 Travel'!$B144</f>
        <v>56358.518518518518</v>
      </c>
      <c r="C330" s="336">
        <f>(C326/'Scope3 Travel'!$B192)/'Scope3 Travel'!$B144</f>
        <v>51553.333333333328</v>
      </c>
      <c r="D330" s="336">
        <f>(D326/'Scope3 Travel'!$B192)/'Scope3 Travel'!$B144</f>
        <v>53690.370370370372</v>
      </c>
      <c r="E330" s="336">
        <f>(E326/'Scope3 Travel'!$B192)/'Scope3 Travel'!$B144</f>
        <v>51888.888888888891</v>
      </c>
    </row>
    <row r="331" spans="1:5">
      <c r="A331" s="299">
        <f>(A326/'Scope3 Travel'!$B192)*'Scope3 Travel'!$B196*'Scope3 Travel'!$B148*'Scope3 Travel'!$B190*'Scope3 Travel'!$B146</f>
        <v>1.4423280423280425E-2</v>
      </c>
      <c r="B331" s="299">
        <f>(B326/'Scope3 Travel'!$B192)*'Scope3 Travel'!$B196*'Scope3 Travel'!$B148*'Scope3 Travel'!$B190*'Scope3 Travel'!$B146</f>
        <v>1.4721645082300817E-2</v>
      </c>
      <c r="C331" s="299">
        <f>(C326/'Scope3 Travel'!$B192)*'Scope3 Travel'!$B196*'Scope3 Travel'!$B148*'Scope3 Travel'!$B190*'Scope3 Travel'!$B146</f>
        <v>1.346646249924938E-2</v>
      </c>
      <c r="D331" s="299">
        <f>(D326/'Scope3 Travel'!$B192)*'Scope3 Travel'!$B196*'Scope3 Travel'!$B148*'Scope3 Travel'!$B190*'Scope3 Travel'!$B146</f>
        <v>1.4024686909932809E-2</v>
      </c>
      <c r="E331" s="299">
        <f>(E326/'Scope3 Travel'!$B192)*'Scope3 Travel'!$B196*'Scope3 Travel'!$B148*'Scope3 Travel'!$B190*'Scope3 Travel'!$B146</f>
        <v>1.3554114373786501E-2</v>
      </c>
    </row>
    <row r="332" spans="1:5">
      <c r="A332" s="300">
        <f>'Scope3 Travel'!$B149*A331</f>
        <v>0.30288888888888893</v>
      </c>
      <c r="B332" s="300">
        <f>'Scope3 Travel'!$B149*B331</f>
        <v>0.30915454672831716</v>
      </c>
      <c r="C332" s="300">
        <f>'Scope3 Travel'!$B149*C331</f>
        <v>0.28279571248423696</v>
      </c>
      <c r="D332" s="300">
        <f>'Scope3 Travel'!$B149*D331</f>
        <v>0.294518425108589</v>
      </c>
      <c r="E332" s="300">
        <f>'Scope3 Travel'!$B149*E331</f>
        <v>0.2846364018495165</v>
      </c>
    </row>
    <row r="333" spans="1:5">
      <c r="A333" s="299">
        <f>(A326/'Scope3 Travel'!$B192)*'Scope3 Travel'!$B196*'Scope3 Travel'!$B148*'Scope3 Travel'!$B191*'Scope3 Travel'!$B146</f>
        <v>1.6578483245149916E-2</v>
      </c>
      <c r="B333" s="299">
        <f>(B326/'Scope3 Travel'!$B192)*'Scope3 Travel'!$B196*'Scope3 Travel'!$B148*'Scope3 Travel'!$B191*'Scope3 Travel'!$B146</f>
        <v>1.6921431129081402E-2</v>
      </c>
      <c r="C333" s="299">
        <f>(C326/'Scope3 Travel'!$B192)*'Scope3 Travel'!$B196*'Scope3 Travel'!$B148*'Scope3 Travel'!$B191*'Scope3 Travel'!$B146</f>
        <v>1.5478692527872854E-2</v>
      </c>
      <c r="D333" s="299">
        <f>(D326/'Scope3 Travel'!$B192)*'Scope3 Travel'!$B196*'Scope3 Travel'!$B148*'Scope3 Travel'!$B191*'Scope3 Travel'!$B146</f>
        <v>1.6120329781531967E-2</v>
      </c>
      <c r="E333" s="299">
        <f>(E326/'Scope3 Travel'!$B192)*'Scope3 Travel'!$B196*'Scope3 Travel'!$B148*'Scope3 Travel'!$B191*'Scope3 Travel'!$B146</f>
        <v>1.5579441808950004E-2</v>
      </c>
    </row>
    <row r="334" spans="1:5">
      <c r="A334" s="301">
        <f>'Scope3 Travel'!$B150*A333</f>
        <v>5.139329805996474</v>
      </c>
      <c r="B334" s="301">
        <f>'Scope3 Travel'!$B150*B333</f>
        <v>5.2456436500152348</v>
      </c>
      <c r="C334" s="301">
        <f>'Scope3 Travel'!$B150*C333</f>
        <v>4.7983946836405842</v>
      </c>
      <c r="D334" s="301">
        <f>'Scope3 Travel'!$B150*D333</f>
        <v>4.9973022322749099</v>
      </c>
      <c r="E334" s="301">
        <f>'Scope3 Travel'!$B150*E333</f>
        <v>4.829626960774501</v>
      </c>
    </row>
    <row r="335" spans="1:5">
      <c r="A335" s="495">
        <f>ROUND(A329+A332+A334,1)</f>
        <v>1416.7</v>
      </c>
      <c r="B335" s="495">
        <f>ROUND(B329+B332+B334,1)</f>
        <v>1446.1</v>
      </c>
      <c r="C335" s="495">
        <f>ROUND(C329+C332+C334,1)</f>
        <v>1322.7</v>
      </c>
      <c r="D335" s="495">
        <f>ROUND(D329+D332+D334,1)</f>
        <v>1377.7</v>
      </c>
      <c r="E335" s="495">
        <f>ROUND(E329+E332+E334,1)</f>
        <v>1331.3</v>
      </c>
    </row>
    <row r="336" spans="1:5">
      <c r="A336" s="100"/>
      <c r="B336" s="100"/>
      <c r="C336" s="100"/>
      <c r="D336" s="100"/>
      <c r="E336" s="100"/>
    </row>
    <row r="337" spans="1:5">
      <c r="A337" s="100"/>
      <c r="B337" s="100"/>
      <c r="C337" s="100"/>
      <c r="D337" s="100"/>
      <c r="E337" s="100"/>
    </row>
    <row r="338" spans="1:5">
      <c r="A338" s="100"/>
      <c r="B338" s="100"/>
      <c r="C338" s="100"/>
      <c r="D338" s="100"/>
      <c r="E338" s="100"/>
    </row>
    <row r="339" spans="1:5">
      <c r="A339" s="144"/>
      <c r="B339" s="173"/>
      <c r="C339" s="173"/>
      <c r="D339" s="173"/>
      <c r="E339" s="173"/>
    </row>
    <row r="340" spans="1:5">
      <c r="A340" s="144"/>
      <c r="B340" s="173"/>
      <c r="C340" s="173"/>
      <c r="D340" s="173"/>
      <c r="E340" s="173"/>
    </row>
    <row r="341" spans="1:5">
      <c r="A341" s="483">
        <f>SUM(A336:A339)</f>
        <v>0</v>
      </c>
      <c r="B341" s="483">
        <f>SUM(B336:B339)</f>
        <v>0</v>
      </c>
      <c r="C341" s="483">
        <f>SUM(C336:C339)</f>
        <v>0</v>
      </c>
      <c r="D341" s="483">
        <f>SUM(D336:D339)</f>
        <v>0</v>
      </c>
      <c r="E341" s="483">
        <f>SUM(E336:E339)</f>
        <v>0</v>
      </c>
    </row>
    <row r="343" spans="1:5">
      <c r="A343" s="77" t="s">
        <v>608</v>
      </c>
      <c r="B343" s="77" t="s">
        <v>609</v>
      </c>
      <c r="C343" s="77" t="s">
        <v>515</v>
      </c>
      <c r="D343" s="77" t="s">
        <v>409</v>
      </c>
      <c r="E343" s="77" t="s">
        <v>488</v>
      </c>
    </row>
    <row r="344" spans="1:5">
      <c r="A344" s="24"/>
      <c r="B344" s="24"/>
      <c r="C344" s="24"/>
      <c r="D344" s="24"/>
      <c r="E344" s="24"/>
    </row>
    <row r="345" spans="1:5">
      <c r="A345" s="144"/>
      <c r="B345" s="173"/>
      <c r="C345" s="173"/>
      <c r="D345" s="173"/>
      <c r="E345" s="173"/>
    </row>
    <row r="346" spans="1:5">
      <c r="A346" s="144"/>
      <c r="B346" s="173"/>
      <c r="C346" s="173"/>
      <c r="D346" s="173"/>
      <c r="E346" s="173"/>
    </row>
    <row r="347" spans="1:5">
      <c r="A347" s="144"/>
      <c r="B347" s="173"/>
      <c r="C347" s="173"/>
      <c r="D347" s="173"/>
      <c r="E347" s="173"/>
    </row>
    <row r="348" spans="1:5">
      <c r="A348" s="144"/>
      <c r="B348" s="173"/>
      <c r="C348" s="173"/>
      <c r="D348" s="173"/>
      <c r="E348" s="173"/>
    </row>
    <row r="349" spans="1:5">
      <c r="A349" s="144"/>
      <c r="B349" s="173"/>
      <c r="C349" s="173"/>
      <c r="D349" s="173"/>
      <c r="E349" s="173"/>
    </row>
    <row r="350" spans="1:5">
      <c r="A350" s="483">
        <f>SUM(A345:A349)</f>
        <v>0</v>
      </c>
      <c r="B350" s="483">
        <f>SUM(B345:B349)</f>
        <v>0</v>
      </c>
      <c r="C350" s="483">
        <f>SUM(C345:C349)</f>
        <v>0</v>
      </c>
      <c r="D350" s="483">
        <f>SUM(D345:D349)</f>
        <v>0</v>
      </c>
      <c r="E350" s="483">
        <v>0</v>
      </c>
    </row>
    <row r="353" spans="1:7">
      <c r="A353" s="119" t="s">
        <v>950</v>
      </c>
    </row>
    <row r="354" spans="1:7">
      <c r="A354" s="22" t="s">
        <v>608</v>
      </c>
      <c r="B354" s="22" t="s">
        <v>609</v>
      </c>
      <c r="C354" s="22" t="s">
        <v>515</v>
      </c>
      <c r="D354" s="427" t="s">
        <v>35</v>
      </c>
      <c r="E354" s="517"/>
      <c r="F354" s="416" t="s">
        <v>36</v>
      </c>
      <c r="G354" s="518"/>
    </row>
    <row r="355" spans="1:7">
      <c r="D355" s="423" t="s">
        <v>33</v>
      </c>
      <c r="E355" s="423" t="s">
        <v>34</v>
      </c>
      <c r="F355" s="191" t="s">
        <v>33</v>
      </c>
      <c r="G355" s="191" t="s">
        <v>34</v>
      </c>
    </row>
    <row r="356" spans="1:7">
      <c r="A356" s="519"/>
      <c r="B356" s="519"/>
      <c r="C356" s="519"/>
      <c r="D356" s="519"/>
      <c r="E356" s="519"/>
      <c r="F356" s="519"/>
      <c r="G356" s="519"/>
    </row>
    <row r="357" spans="1:7">
      <c r="A357" s="467"/>
      <c r="B357" s="467"/>
      <c r="C357" s="467"/>
      <c r="D357" s="520">
        <v>3.36</v>
      </c>
      <c r="E357" s="423">
        <v>70.022399999999976</v>
      </c>
      <c r="F357" s="521">
        <v>5.6</v>
      </c>
      <c r="G357" s="521">
        <v>116.70399999999999</v>
      </c>
    </row>
    <row r="358" spans="1:7">
      <c r="A358" s="467"/>
      <c r="B358" s="467"/>
      <c r="C358" s="467"/>
      <c r="D358" s="520">
        <v>0.67</v>
      </c>
      <c r="E358" s="520">
        <v>271.21600000000001</v>
      </c>
      <c r="F358" s="191">
        <v>0</v>
      </c>
      <c r="G358" s="521">
        <v>0</v>
      </c>
    </row>
    <row r="359" spans="1:7">
      <c r="A359" s="467"/>
      <c r="B359" s="467"/>
      <c r="C359" s="467"/>
      <c r="D359" s="520">
        <v>2.02</v>
      </c>
      <c r="E359" s="423">
        <v>588.26440000000002</v>
      </c>
      <c r="F359" s="521">
        <v>0.93400000000000005</v>
      </c>
      <c r="G359" s="521">
        <v>271.99948000000012</v>
      </c>
    </row>
    <row r="360" spans="1:7">
      <c r="A360" s="467"/>
      <c r="B360" s="467"/>
      <c r="C360" s="467"/>
      <c r="D360" s="520">
        <v>0.67</v>
      </c>
      <c r="E360" s="520">
        <v>607.69000000000005</v>
      </c>
      <c r="F360" s="191">
        <v>0</v>
      </c>
      <c r="G360" s="521">
        <v>0</v>
      </c>
    </row>
    <row r="361" spans="1:7">
      <c r="A361" s="467"/>
      <c r="B361" s="467"/>
      <c r="C361" s="467"/>
      <c r="D361" s="423">
        <v>0</v>
      </c>
      <c r="E361" s="423">
        <v>0</v>
      </c>
      <c r="F361" s="191">
        <v>0</v>
      </c>
      <c r="G361" s="521">
        <v>0</v>
      </c>
    </row>
    <row r="362" spans="1:7">
      <c r="A362" s="467"/>
      <c r="B362" s="467"/>
      <c r="C362" s="467"/>
      <c r="D362" s="423">
        <v>0</v>
      </c>
      <c r="E362" s="520">
        <v>0</v>
      </c>
      <c r="F362" s="191">
        <v>0</v>
      </c>
      <c r="G362" s="521">
        <v>0</v>
      </c>
    </row>
    <row r="363" spans="1:7">
      <c r="A363" s="467"/>
      <c r="B363" s="467"/>
      <c r="C363" s="467"/>
      <c r="D363" s="520">
        <v>0.67</v>
      </c>
      <c r="E363" s="423">
        <v>35.107999999999997</v>
      </c>
      <c r="F363" s="521">
        <v>0.93</v>
      </c>
      <c r="G363" s="521">
        <v>48.731999999999999</v>
      </c>
    </row>
    <row r="364" spans="1:7">
      <c r="A364" s="467"/>
      <c r="B364" s="467"/>
      <c r="C364" s="467"/>
      <c r="D364" s="423">
        <v>0</v>
      </c>
      <c r="E364" s="520">
        <v>0</v>
      </c>
      <c r="F364" s="521">
        <v>0.93</v>
      </c>
      <c r="G364" s="521">
        <v>661.17420000000004</v>
      </c>
    </row>
    <row r="365" spans="1:7">
      <c r="A365" s="467"/>
      <c r="B365" s="467"/>
      <c r="C365" s="467"/>
      <c r="D365" s="520">
        <v>0.67</v>
      </c>
      <c r="E365" s="423">
        <v>37.734400000000001</v>
      </c>
      <c r="F365" s="191">
        <v>0</v>
      </c>
      <c r="G365" s="521">
        <v>0</v>
      </c>
    </row>
    <row r="366" spans="1:7">
      <c r="A366" s="467"/>
      <c r="B366" s="467"/>
      <c r="C366" s="467"/>
      <c r="D366" s="520">
        <v>2.7</v>
      </c>
      <c r="E366" s="520">
        <v>1051.326</v>
      </c>
      <c r="F366" s="521">
        <v>1.9</v>
      </c>
      <c r="G366" s="521">
        <v>739.822</v>
      </c>
    </row>
    <row r="367" spans="1:7">
      <c r="A367" s="467"/>
      <c r="B367" s="467"/>
      <c r="C367" s="467"/>
      <c r="D367" s="520">
        <v>10.77</v>
      </c>
      <c r="E367" s="423">
        <v>370.48799999999983</v>
      </c>
      <c r="F367" s="521">
        <v>13.1</v>
      </c>
      <c r="G367" s="521">
        <v>450.64</v>
      </c>
    </row>
    <row r="368" spans="1:7">
      <c r="A368" s="467"/>
      <c r="B368" s="467"/>
      <c r="C368" s="467"/>
      <c r="D368" s="520">
        <v>6.06</v>
      </c>
      <c r="E368" s="520">
        <v>97.202399999999983</v>
      </c>
      <c r="F368" s="521">
        <v>11.2</v>
      </c>
      <c r="G368" s="521">
        <v>179.648</v>
      </c>
    </row>
    <row r="369" spans="1:7">
      <c r="A369" s="467"/>
      <c r="B369" s="467"/>
      <c r="C369" s="467"/>
      <c r="D369" s="520">
        <v>0.67</v>
      </c>
      <c r="E369" s="423">
        <v>267.1558</v>
      </c>
      <c r="F369" s="521">
        <v>0.93</v>
      </c>
      <c r="G369" s="521">
        <v>370.82819999999998</v>
      </c>
    </row>
    <row r="370" spans="1:7">
      <c r="A370" s="467"/>
      <c r="B370" s="467"/>
      <c r="C370" s="467"/>
      <c r="D370" s="520">
        <v>9.4200000000000017</v>
      </c>
      <c r="E370" s="520">
        <v>224.5728</v>
      </c>
      <c r="F370" s="521">
        <v>12.14</v>
      </c>
      <c r="G370" s="521">
        <v>289.41759999999999</v>
      </c>
    </row>
    <row r="371" spans="1:7">
      <c r="A371" s="467"/>
      <c r="B371" s="467"/>
      <c r="C371" s="467"/>
      <c r="D371" s="520">
        <v>0.67</v>
      </c>
      <c r="E371" s="423">
        <v>350.31619999999998</v>
      </c>
      <c r="F371" s="521">
        <v>0.93</v>
      </c>
      <c r="G371" s="521">
        <v>486.25979999999998</v>
      </c>
    </row>
    <row r="372" spans="1:7">
      <c r="A372" s="467"/>
      <c r="B372" s="467"/>
      <c r="C372" s="467"/>
      <c r="D372" s="423">
        <v>0</v>
      </c>
      <c r="E372" s="520">
        <v>0</v>
      </c>
      <c r="F372" s="521">
        <v>0.93</v>
      </c>
      <c r="G372" s="521">
        <v>367.92660000000001</v>
      </c>
    </row>
    <row r="373" spans="1:7">
      <c r="A373" s="467"/>
      <c r="B373" s="467"/>
      <c r="C373" s="467"/>
      <c r="D373" s="423">
        <v>0</v>
      </c>
      <c r="E373" s="423">
        <v>0</v>
      </c>
      <c r="F373" s="521">
        <v>1.9</v>
      </c>
      <c r="G373" s="521">
        <v>1047.8499999999999</v>
      </c>
    </row>
    <row r="374" spans="1:7">
      <c r="A374" s="467"/>
      <c r="B374" s="467"/>
      <c r="C374" s="467"/>
      <c r="D374" s="520">
        <v>4.04</v>
      </c>
      <c r="E374" s="520">
        <v>285.22399999999999</v>
      </c>
      <c r="F374" s="521">
        <v>4.67</v>
      </c>
      <c r="G374" s="521">
        <v>329.70199999999983</v>
      </c>
    </row>
    <row r="375" spans="1:7">
      <c r="A375" s="467"/>
      <c r="B375" s="467"/>
      <c r="C375" s="467"/>
      <c r="D375" s="423">
        <v>0</v>
      </c>
      <c r="E375" s="423">
        <v>0</v>
      </c>
      <c r="F375" s="521">
        <v>0.93</v>
      </c>
      <c r="G375" s="521">
        <v>359.76119999999997</v>
      </c>
    </row>
    <row r="376" spans="1:7">
      <c r="A376" s="467"/>
      <c r="B376" s="467"/>
      <c r="C376" s="467"/>
      <c r="D376" s="520">
        <v>2.02</v>
      </c>
      <c r="E376" s="520">
        <v>1734.9780000000001</v>
      </c>
      <c r="F376" s="521">
        <v>2.8</v>
      </c>
      <c r="G376" s="521">
        <v>2404.92</v>
      </c>
    </row>
    <row r="377" spans="1:7">
      <c r="A377" s="467"/>
      <c r="B377" s="467"/>
      <c r="C377" s="467"/>
      <c r="D377" s="520">
        <v>0.67</v>
      </c>
      <c r="E377" s="423">
        <v>41.325600000000001</v>
      </c>
      <c r="F377" s="521">
        <v>1.86</v>
      </c>
      <c r="G377" s="521">
        <v>114.7248</v>
      </c>
    </row>
    <row r="378" spans="1:7">
      <c r="A378" s="467"/>
      <c r="B378" s="467"/>
      <c r="C378" s="467"/>
      <c r="D378" s="423">
        <v>0</v>
      </c>
      <c r="E378" s="520">
        <v>0</v>
      </c>
      <c r="F378" s="191">
        <v>0</v>
      </c>
      <c r="G378" s="521">
        <v>0</v>
      </c>
    </row>
    <row r="379" spans="1:7">
      <c r="A379" s="467"/>
      <c r="B379" s="467"/>
      <c r="C379" s="467"/>
      <c r="D379" s="520">
        <v>0.67</v>
      </c>
      <c r="E379" s="423">
        <v>418.61599999999999</v>
      </c>
      <c r="F379" s="521">
        <v>0.93</v>
      </c>
      <c r="G379" s="521">
        <v>581.06399999999996</v>
      </c>
    </row>
    <row r="380" spans="1:7">
      <c r="A380" s="467"/>
      <c r="B380" s="467"/>
      <c r="C380" s="467"/>
      <c r="D380" s="520">
        <v>0.67</v>
      </c>
      <c r="E380" s="520">
        <v>258.60660000000001</v>
      </c>
      <c r="F380" s="191">
        <v>0</v>
      </c>
      <c r="G380" s="521">
        <v>0</v>
      </c>
    </row>
    <row r="381" spans="1:7">
      <c r="A381" s="467"/>
      <c r="B381" s="467"/>
      <c r="C381" s="467"/>
      <c r="D381" s="520">
        <v>0.67</v>
      </c>
      <c r="E381" s="423">
        <v>31.932200000000002</v>
      </c>
      <c r="F381" s="521">
        <v>0.93</v>
      </c>
      <c r="G381" s="521">
        <v>44.323799999999999</v>
      </c>
    </row>
    <row r="382" spans="1:7">
      <c r="A382" s="467"/>
      <c r="B382" s="467"/>
      <c r="C382" s="467"/>
      <c r="D382" s="423">
        <v>0</v>
      </c>
      <c r="E382" s="520">
        <v>0</v>
      </c>
      <c r="F382" s="191">
        <v>0</v>
      </c>
      <c r="G382" s="521">
        <v>0</v>
      </c>
    </row>
    <row r="383" spans="1:7">
      <c r="A383" s="467"/>
      <c r="B383" s="467"/>
      <c r="C383" s="467"/>
      <c r="D383" s="520">
        <v>0.67</v>
      </c>
      <c r="E383" s="520">
        <v>614.81880000000001</v>
      </c>
      <c r="F383" s="191">
        <v>0</v>
      </c>
      <c r="G383" s="521">
        <v>0</v>
      </c>
    </row>
    <row r="384" spans="1:7">
      <c r="A384" s="467"/>
      <c r="B384" s="467"/>
      <c r="C384" s="467"/>
      <c r="D384" s="423">
        <v>0</v>
      </c>
      <c r="E384" s="520">
        <v>0</v>
      </c>
      <c r="F384" s="191">
        <v>0</v>
      </c>
      <c r="G384" s="521">
        <v>0</v>
      </c>
    </row>
    <row r="385" spans="1:7">
      <c r="A385" s="467"/>
      <c r="B385" s="467"/>
      <c r="C385" s="467"/>
      <c r="D385" s="520">
        <v>0.67</v>
      </c>
      <c r="E385" s="520">
        <v>179.43940000000001</v>
      </c>
      <c r="F385" s="191">
        <v>0</v>
      </c>
      <c r="G385" s="521">
        <v>0</v>
      </c>
    </row>
    <row r="386" spans="1:7">
      <c r="A386" s="467"/>
      <c r="B386" s="467"/>
      <c r="C386" s="467"/>
      <c r="D386" s="520">
        <v>1</v>
      </c>
      <c r="E386" s="520">
        <v>325.42</v>
      </c>
      <c r="F386" s="521">
        <v>1</v>
      </c>
      <c r="G386" s="521">
        <v>325.42</v>
      </c>
    </row>
    <row r="387" spans="1:7">
      <c r="A387" s="467"/>
      <c r="B387" s="467"/>
      <c r="C387" s="467"/>
      <c r="D387" s="423">
        <v>0</v>
      </c>
      <c r="E387" s="520">
        <v>0</v>
      </c>
      <c r="F387" s="191">
        <v>0</v>
      </c>
      <c r="G387" s="521">
        <v>0</v>
      </c>
    </row>
    <row r="388" spans="1:7">
      <c r="A388" s="467"/>
      <c r="B388" s="467"/>
      <c r="C388" s="467"/>
      <c r="D388" s="520">
        <v>4.71</v>
      </c>
      <c r="E388" s="520">
        <v>38.716200000000001</v>
      </c>
      <c r="F388" s="521">
        <v>12.14</v>
      </c>
      <c r="G388" s="521">
        <v>99.790800000000019</v>
      </c>
    </row>
    <row r="389" spans="1:7">
      <c r="A389" s="467"/>
      <c r="B389" s="467"/>
      <c r="C389" s="467"/>
      <c r="D389" s="520">
        <v>1.35</v>
      </c>
      <c r="E389" s="520">
        <v>47.574000000000005</v>
      </c>
      <c r="F389" s="521">
        <v>0.93</v>
      </c>
      <c r="G389" s="521">
        <v>32.773200000000003</v>
      </c>
    </row>
    <row r="390" spans="1:7">
      <c r="A390" s="467"/>
      <c r="B390" s="467"/>
      <c r="C390" s="467"/>
      <c r="D390" s="423">
        <v>0</v>
      </c>
      <c r="E390" s="520">
        <v>0</v>
      </c>
      <c r="F390" s="191">
        <v>0</v>
      </c>
      <c r="G390" s="521">
        <v>0</v>
      </c>
    </row>
    <row r="391" spans="1:7">
      <c r="A391" s="467"/>
      <c r="B391" s="467"/>
      <c r="C391" s="467"/>
      <c r="D391" s="423">
        <v>0</v>
      </c>
      <c r="E391" s="520">
        <v>0</v>
      </c>
      <c r="F391" s="521">
        <v>0.93</v>
      </c>
      <c r="G391" s="521">
        <v>161.8758</v>
      </c>
    </row>
    <row r="392" spans="1:7">
      <c r="A392" s="467"/>
      <c r="B392" s="467"/>
      <c r="C392" s="467"/>
      <c r="D392" s="520">
        <v>0.67</v>
      </c>
      <c r="E392" s="520">
        <v>346.08179999999999</v>
      </c>
      <c r="F392" s="191">
        <v>0</v>
      </c>
      <c r="G392" s="521">
        <v>0</v>
      </c>
    </row>
    <row r="393" spans="1:7">
      <c r="A393" s="467"/>
      <c r="B393" s="467"/>
      <c r="C393" s="467"/>
      <c r="D393" s="520">
        <v>6.06</v>
      </c>
      <c r="E393" s="520">
        <v>60.4788</v>
      </c>
      <c r="F393" s="521">
        <v>12.14</v>
      </c>
      <c r="G393" s="521">
        <v>121.1572</v>
      </c>
    </row>
    <row r="394" spans="1:7">
      <c r="A394" s="467"/>
      <c r="B394" s="467"/>
      <c r="C394" s="467"/>
      <c r="D394" s="520">
        <v>0</v>
      </c>
      <c r="E394" s="520">
        <v>0</v>
      </c>
      <c r="F394" s="521">
        <v>0</v>
      </c>
      <c r="G394" s="521">
        <v>0</v>
      </c>
    </row>
    <row r="395" spans="1:7">
      <c r="A395" s="467"/>
      <c r="B395" s="467"/>
      <c r="C395" s="467"/>
      <c r="D395" s="520">
        <v>0.67</v>
      </c>
      <c r="E395" s="520">
        <v>202.005</v>
      </c>
      <c r="F395" s="191">
        <v>0</v>
      </c>
      <c r="G395" s="521">
        <v>0</v>
      </c>
    </row>
    <row r="396" spans="1:7">
      <c r="A396" s="467"/>
      <c r="B396" s="467"/>
      <c r="C396" s="467"/>
      <c r="D396" s="520">
        <v>0.67</v>
      </c>
      <c r="E396" s="520">
        <v>359.79</v>
      </c>
      <c r="F396" s="521">
        <v>0.93</v>
      </c>
      <c r="G396" s="521">
        <v>499.41</v>
      </c>
    </row>
    <row r="397" spans="1:7">
      <c r="A397" s="467"/>
      <c r="B397" s="467"/>
      <c r="C397" s="467"/>
      <c r="D397" s="423">
        <v>0</v>
      </c>
      <c r="E397" s="520">
        <v>0</v>
      </c>
      <c r="F397" s="191">
        <v>0</v>
      </c>
      <c r="G397" s="521">
        <v>0</v>
      </c>
    </row>
    <row r="398" spans="1:7">
      <c r="A398" s="467"/>
      <c r="B398" s="467"/>
      <c r="C398" s="467"/>
      <c r="D398" s="423">
        <v>0</v>
      </c>
      <c r="E398" s="520">
        <v>0</v>
      </c>
      <c r="F398" s="191">
        <v>0</v>
      </c>
      <c r="G398" s="521">
        <v>0</v>
      </c>
    </row>
    <row r="399" spans="1:7">
      <c r="A399" s="467"/>
      <c r="B399" s="467"/>
      <c r="C399" s="467"/>
      <c r="D399" s="423">
        <v>0</v>
      </c>
      <c r="E399" s="520">
        <v>0</v>
      </c>
      <c r="F399" s="191">
        <v>0</v>
      </c>
      <c r="G399" s="521">
        <v>0</v>
      </c>
    </row>
    <row r="400" spans="1:7">
      <c r="A400" s="467"/>
      <c r="B400" s="467"/>
      <c r="C400" s="467"/>
      <c r="D400" s="423">
        <v>0</v>
      </c>
      <c r="E400" s="520">
        <v>0</v>
      </c>
      <c r="F400" s="521">
        <v>0.93</v>
      </c>
      <c r="G400" s="521">
        <v>317.44619999999998</v>
      </c>
    </row>
    <row r="401" spans="1:7">
      <c r="A401" s="467"/>
      <c r="B401" s="467"/>
      <c r="C401" s="467"/>
      <c r="D401" s="520">
        <v>0.67</v>
      </c>
      <c r="E401" s="520">
        <v>43.55</v>
      </c>
      <c r="F401" s="521">
        <v>0.93</v>
      </c>
      <c r="G401" s="521">
        <v>60.45</v>
      </c>
    </row>
    <row r="402" spans="1:7">
      <c r="A402" s="467"/>
      <c r="B402" s="467"/>
      <c r="C402" s="467"/>
      <c r="D402" s="423">
        <v>0</v>
      </c>
      <c r="E402" s="520">
        <v>0</v>
      </c>
      <c r="F402" s="521">
        <v>0.93</v>
      </c>
      <c r="G402" s="521">
        <v>500.74920000000014</v>
      </c>
    </row>
    <row r="403" spans="1:7">
      <c r="A403" s="467"/>
      <c r="B403" s="467"/>
      <c r="C403" s="467"/>
      <c r="D403" s="423">
        <v>0</v>
      </c>
      <c r="E403" s="520">
        <v>0</v>
      </c>
      <c r="F403" s="521">
        <v>2.8</v>
      </c>
      <c r="G403" s="521">
        <v>86.85599999999998</v>
      </c>
    </row>
    <row r="404" spans="1:7">
      <c r="A404" s="467"/>
      <c r="B404" s="467"/>
      <c r="C404" s="467"/>
      <c r="D404" s="520">
        <v>3.36</v>
      </c>
      <c r="E404" s="520">
        <v>112.2912</v>
      </c>
      <c r="F404" s="521">
        <v>1.87</v>
      </c>
      <c r="G404" s="521">
        <v>62.495399999999997</v>
      </c>
    </row>
    <row r="405" spans="1:7">
      <c r="A405" s="467"/>
      <c r="B405" s="467"/>
      <c r="C405" s="467"/>
      <c r="D405" s="520">
        <v>0.67</v>
      </c>
      <c r="E405" s="520">
        <v>282.23079999999999</v>
      </c>
      <c r="F405" s="191">
        <v>0</v>
      </c>
      <c r="G405" s="521">
        <v>0</v>
      </c>
    </row>
    <row r="406" spans="1:7">
      <c r="A406" s="467"/>
      <c r="B406" s="467"/>
      <c r="C406" s="467"/>
      <c r="D406" s="423">
        <v>0</v>
      </c>
      <c r="E406" s="520">
        <v>0</v>
      </c>
      <c r="F406" s="191">
        <v>0</v>
      </c>
      <c r="G406" s="521">
        <v>0</v>
      </c>
    </row>
    <row r="407" spans="1:7">
      <c r="A407" s="467"/>
      <c r="B407" s="467"/>
      <c r="C407" s="467"/>
      <c r="D407" s="423">
        <v>0</v>
      </c>
      <c r="E407" s="520">
        <v>0</v>
      </c>
      <c r="F407" s="191">
        <v>0</v>
      </c>
      <c r="G407" s="521">
        <v>0</v>
      </c>
    </row>
    <row r="408" spans="1:7">
      <c r="A408" s="467"/>
      <c r="B408" s="467"/>
      <c r="C408" s="467"/>
      <c r="D408" s="520">
        <v>0.67</v>
      </c>
      <c r="E408" s="520">
        <v>637.39780000000007</v>
      </c>
      <c r="F408" s="191">
        <v>0</v>
      </c>
      <c r="G408" s="521">
        <v>0</v>
      </c>
    </row>
    <row r="409" spans="1:7">
      <c r="A409" s="467"/>
      <c r="B409" s="467"/>
      <c r="C409" s="467"/>
      <c r="D409" s="423">
        <v>0</v>
      </c>
      <c r="E409" s="520">
        <v>0</v>
      </c>
      <c r="F409" s="191">
        <v>0</v>
      </c>
      <c r="G409" s="521">
        <v>0</v>
      </c>
    </row>
    <row r="410" spans="1:7">
      <c r="A410" s="467"/>
      <c r="B410" s="467"/>
      <c r="C410" s="467"/>
      <c r="D410" s="520">
        <v>0.67</v>
      </c>
      <c r="E410" s="520">
        <v>93.840199999999996</v>
      </c>
      <c r="F410" s="191">
        <v>0</v>
      </c>
      <c r="G410" s="521">
        <v>0</v>
      </c>
    </row>
    <row r="411" spans="1:7">
      <c r="A411" s="467"/>
      <c r="B411" s="467"/>
      <c r="C411" s="467"/>
      <c r="D411" s="423">
        <v>0</v>
      </c>
      <c r="E411" s="520">
        <v>0</v>
      </c>
      <c r="F411" s="191">
        <v>0</v>
      </c>
      <c r="G411" s="521">
        <v>0</v>
      </c>
    </row>
    <row r="412" spans="1:7">
      <c r="A412" s="467"/>
      <c r="B412" s="467"/>
      <c r="C412" s="467"/>
      <c r="D412" s="423">
        <v>0</v>
      </c>
      <c r="E412" s="520">
        <v>0</v>
      </c>
      <c r="F412" s="191">
        <v>0</v>
      </c>
      <c r="G412" s="521">
        <v>0</v>
      </c>
    </row>
    <row r="413" spans="1:7">
      <c r="A413" s="467"/>
      <c r="B413" s="467"/>
      <c r="C413" s="467"/>
      <c r="D413" s="423">
        <v>0</v>
      </c>
      <c r="E413" s="520">
        <v>0</v>
      </c>
      <c r="F413" s="191">
        <v>0</v>
      </c>
      <c r="G413" s="521">
        <v>0</v>
      </c>
    </row>
    <row r="414" spans="1:7">
      <c r="A414" s="467"/>
      <c r="B414" s="467"/>
      <c r="C414" s="467"/>
      <c r="D414" s="423">
        <v>0</v>
      </c>
      <c r="E414" s="520">
        <v>0</v>
      </c>
      <c r="F414" s="191">
        <v>0</v>
      </c>
      <c r="G414" s="521">
        <v>0</v>
      </c>
    </row>
    <row r="415" spans="1:7">
      <c r="A415" s="467"/>
      <c r="B415" s="467"/>
      <c r="C415" s="467"/>
      <c r="D415" s="520">
        <v>0.67</v>
      </c>
      <c r="E415" s="520">
        <v>41.633800000000001</v>
      </c>
      <c r="F415" s="521">
        <v>0.93400000000000005</v>
      </c>
      <c r="G415" s="521">
        <v>58.038760000000003</v>
      </c>
    </row>
    <row r="416" spans="1:7">
      <c r="A416" s="467"/>
      <c r="B416" s="467"/>
      <c r="C416" s="467"/>
      <c r="D416" s="520">
        <v>0.67</v>
      </c>
      <c r="E416" s="520">
        <v>270.3852</v>
      </c>
      <c r="F416" s="191">
        <v>0</v>
      </c>
      <c r="G416" s="521">
        <v>0</v>
      </c>
    </row>
    <row r="417" spans="1:7">
      <c r="A417" s="467"/>
      <c r="B417" s="467"/>
      <c r="C417" s="467"/>
      <c r="D417" s="423">
        <v>0</v>
      </c>
      <c r="E417" s="520">
        <v>0</v>
      </c>
      <c r="F417" s="191">
        <v>0</v>
      </c>
      <c r="G417" s="521">
        <v>0</v>
      </c>
    </row>
    <row r="418" spans="1:7">
      <c r="A418" s="467"/>
      <c r="B418" s="467"/>
      <c r="C418" s="467"/>
      <c r="D418" s="423">
        <v>0</v>
      </c>
      <c r="E418" s="520">
        <v>0</v>
      </c>
      <c r="F418" s="191">
        <v>0</v>
      </c>
      <c r="G418" s="521">
        <v>0</v>
      </c>
    </row>
    <row r="419" spans="1:7">
      <c r="A419" s="467"/>
      <c r="B419" s="467"/>
      <c r="C419" s="467"/>
      <c r="D419" s="423">
        <v>0</v>
      </c>
      <c r="E419" s="520">
        <v>0</v>
      </c>
      <c r="F419" s="521">
        <v>0.93</v>
      </c>
      <c r="G419" s="521">
        <v>422.92680000000001</v>
      </c>
    </row>
    <row r="420" spans="1:7">
      <c r="A420" s="467"/>
      <c r="B420" s="467"/>
      <c r="C420" s="467"/>
      <c r="D420" s="423">
        <v>0</v>
      </c>
      <c r="E420" s="520">
        <v>0</v>
      </c>
      <c r="F420" s="521">
        <v>0</v>
      </c>
      <c r="G420" s="521">
        <v>0</v>
      </c>
    </row>
    <row r="421" spans="1:7">
      <c r="A421" s="467"/>
      <c r="B421" s="467"/>
      <c r="C421" s="467"/>
      <c r="D421" s="520">
        <v>0.67</v>
      </c>
      <c r="E421" s="520">
        <v>70.443799999999996</v>
      </c>
      <c r="F421" s="521">
        <v>0.93</v>
      </c>
      <c r="G421" s="521">
        <v>97.780199999999994</v>
      </c>
    </row>
    <row r="422" spans="1:7">
      <c r="A422" s="467"/>
      <c r="B422" s="467"/>
      <c r="C422" s="467"/>
      <c r="D422" s="520">
        <v>0.67</v>
      </c>
      <c r="E422" s="520">
        <v>531.64499999999998</v>
      </c>
      <c r="F422" s="521">
        <v>0.93</v>
      </c>
      <c r="G422" s="521">
        <v>737.95500000000004</v>
      </c>
    </row>
    <row r="423" spans="1:7">
      <c r="A423" s="467"/>
      <c r="B423" s="467"/>
      <c r="C423" s="467"/>
      <c r="D423" s="520">
        <v>0</v>
      </c>
      <c r="E423" s="520">
        <v>0</v>
      </c>
      <c r="F423" s="521">
        <v>0</v>
      </c>
      <c r="G423" s="521">
        <v>0</v>
      </c>
    </row>
    <row r="424" spans="1:7">
      <c r="A424" s="467"/>
      <c r="B424" s="467"/>
      <c r="C424" s="467"/>
      <c r="D424" s="423">
        <v>0</v>
      </c>
      <c r="E424" s="520">
        <v>0</v>
      </c>
      <c r="F424" s="191">
        <v>0</v>
      </c>
      <c r="G424" s="521">
        <v>0</v>
      </c>
    </row>
    <row r="425" spans="1:7">
      <c r="A425" s="467"/>
      <c r="B425" s="467"/>
      <c r="C425" s="467"/>
      <c r="D425" s="520">
        <v>0.67</v>
      </c>
      <c r="E425" s="520">
        <v>198.58799999999999</v>
      </c>
      <c r="F425" s="521">
        <v>0.93</v>
      </c>
      <c r="G425" s="521">
        <v>275.65199999999999</v>
      </c>
    </row>
    <row r="426" spans="1:7">
      <c r="A426" s="467"/>
      <c r="B426" s="467"/>
      <c r="C426" s="467"/>
      <c r="D426" s="520">
        <v>1.35</v>
      </c>
      <c r="E426" s="520">
        <v>33.21</v>
      </c>
      <c r="F426" s="521">
        <v>1.87</v>
      </c>
      <c r="G426" s="521">
        <v>46.002000000000002</v>
      </c>
    </row>
    <row r="427" spans="1:7">
      <c r="A427" s="467"/>
      <c r="B427" s="467"/>
      <c r="C427" s="467"/>
      <c r="D427" s="423">
        <v>0</v>
      </c>
      <c r="E427" s="520">
        <v>0</v>
      </c>
      <c r="F427" s="191">
        <v>0</v>
      </c>
      <c r="G427" s="521">
        <v>0</v>
      </c>
    </row>
    <row r="428" spans="1:7">
      <c r="A428" s="467"/>
      <c r="B428" s="467"/>
      <c r="C428" s="467"/>
      <c r="D428" s="520">
        <v>4.04</v>
      </c>
      <c r="E428" s="520">
        <v>135.9864</v>
      </c>
      <c r="F428" s="521">
        <v>4.67</v>
      </c>
      <c r="G428" s="521">
        <v>157.19220000000001</v>
      </c>
    </row>
    <row r="429" spans="1:7">
      <c r="A429" s="467"/>
      <c r="B429" s="467"/>
      <c r="C429" s="467"/>
      <c r="D429" s="423">
        <v>0</v>
      </c>
      <c r="E429" s="520">
        <v>0</v>
      </c>
      <c r="F429" s="191">
        <v>0</v>
      </c>
      <c r="G429" s="521">
        <v>0</v>
      </c>
    </row>
    <row r="430" spans="1:7">
      <c r="A430" s="467"/>
      <c r="B430" s="467"/>
      <c r="C430" s="467"/>
      <c r="D430" s="520">
        <v>0.67</v>
      </c>
      <c r="E430" s="520">
        <v>276.12040000000002</v>
      </c>
      <c r="F430" s="191">
        <v>0</v>
      </c>
      <c r="G430" s="521">
        <v>0</v>
      </c>
    </row>
    <row r="431" spans="1:7">
      <c r="A431" s="467"/>
      <c r="B431" s="467"/>
      <c r="C431" s="467"/>
      <c r="D431" s="520">
        <v>0.67</v>
      </c>
      <c r="E431" s="520">
        <v>320.80939999999998</v>
      </c>
      <c r="F431" s="521">
        <v>0.93</v>
      </c>
      <c r="G431" s="521">
        <v>445.30259999999998</v>
      </c>
    </row>
    <row r="432" spans="1:7">
      <c r="A432" s="467"/>
      <c r="B432" s="467"/>
      <c r="C432" s="467"/>
      <c r="D432" s="423">
        <v>0</v>
      </c>
      <c r="E432" s="520">
        <v>0</v>
      </c>
      <c r="F432" s="521">
        <v>0.93</v>
      </c>
      <c r="G432" s="521">
        <v>487.50600000000009</v>
      </c>
    </row>
    <row r="433" spans="1:7">
      <c r="A433" s="467"/>
      <c r="B433" s="467"/>
      <c r="C433" s="467"/>
      <c r="D433" s="423">
        <v>0</v>
      </c>
      <c r="E433" s="520">
        <v>0</v>
      </c>
      <c r="F433" s="191">
        <v>0</v>
      </c>
      <c r="G433" s="521">
        <v>0</v>
      </c>
    </row>
    <row r="434" spans="1:7">
      <c r="A434" s="467"/>
      <c r="B434" s="467"/>
      <c r="C434" s="467"/>
      <c r="D434" s="520">
        <v>0.67</v>
      </c>
      <c r="E434" s="520">
        <v>255.48439999999999</v>
      </c>
      <c r="F434" s="191">
        <v>0</v>
      </c>
      <c r="G434" s="521">
        <v>0</v>
      </c>
    </row>
    <row r="435" spans="1:7">
      <c r="A435" s="467"/>
      <c r="B435" s="467"/>
      <c r="C435" s="467"/>
      <c r="D435" s="423">
        <v>0</v>
      </c>
      <c r="E435" s="520">
        <v>0</v>
      </c>
      <c r="F435" s="191">
        <v>0</v>
      </c>
      <c r="G435" s="521">
        <v>0</v>
      </c>
    </row>
    <row r="436" spans="1:7">
      <c r="A436" s="467"/>
      <c r="B436" s="467"/>
      <c r="C436" s="467"/>
      <c r="D436" s="520">
        <v>0.67</v>
      </c>
      <c r="E436" s="520">
        <v>281.33300000000003</v>
      </c>
      <c r="F436" s="191">
        <v>0</v>
      </c>
      <c r="G436" s="521">
        <v>0</v>
      </c>
    </row>
    <row r="437" spans="1:7">
      <c r="A437" s="467"/>
      <c r="B437" s="467"/>
      <c r="C437" s="467"/>
      <c r="D437" s="520">
        <v>741.36</v>
      </c>
      <c r="E437" s="520">
        <v>3706.8</v>
      </c>
      <c r="F437" s="521">
        <v>790.1</v>
      </c>
      <c r="G437" s="521">
        <v>3950.5</v>
      </c>
    </row>
    <row r="438" spans="1:7">
      <c r="A438" s="467"/>
      <c r="B438" s="467"/>
      <c r="C438" s="467"/>
      <c r="D438" s="520">
        <v>0.67</v>
      </c>
      <c r="E438" s="520">
        <v>278.23759999999999</v>
      </c>
      <c r="F438" s="191">
        <v>0</v>
      </c>
      <c r="G438" s="521">
        <v>0</v>
      </c>
    </row>
    <row r="439" spans="1:7">
      <c r="A439" s="467"/>
      <c r="B439" s="467"/>
      <c r="C439" s="467"/>
      <c r="D439" s="423">
        <v>0</v>
      </c>
      <c r="E439" s="520">
        <v>0</v>
      </c>
      <c r="F439" s="191">
        <v>0</v>
      </c>
      <c r="G439" s="521">
        <v>0</v>
      </c>
    </row>
    <row r="440" spans="1:7">
      <c r="A440" s="467"/>
      <c r="B440" s="467"/>
      <c r="C440" s="467"/>
      <c r="D440" s="423">
        <v>0</v>
      </c>
      <c r="E440" s="520">
        <v>0</v>
      </c>
      <c r="F440" s="521">
        <v>0.93</v>
      </c>
      <c r="G440" s="521">
        <v>409.33019999999999</v>
      </c>
    </row>
    <row r="441" spans="1:7">
      <c r="A441" s="467"/>
      <c r="B441" s="467"/>
      <c r="C441" s="467"/>
      <c r="D441" s="520">
        <v>0.67</v>
      </c>
      <c r="E441" s="520">
        <v>38.953800000000001</v>
      </c>
      <c r="F441" s="521">
        <v>0.93</v>
      </c>
      <c r="G441" s="521">
        <v>54.0702</v>
      </c>
    </row>
    <row r="442" spans="1:7">
      <c r="A442" s="467"/>
      <c r="B442" s="467"/>
      <c r="C442" s="467"/>
      <c r="D442" s="520">
        <v>0</v>
      </c>
      <c r="E442" s="520">
        <v>0</v>
      </c>
      <c r="F442" s="521">
        <v>0</v>
      </c>
      <c r="G442" s="521">
        <v>0</v>
      </c>
    </row>
    <row r="443" spans="1:7">
      <c r="A443" s="467"/>
      <c r="B443" s="467"/>
      <c r="C443" s="467"/>
      <c r="D443" s="520">
        <v>0.67</v>
      </c>
      <c r="E443" s="520">
        <v>350.65120000000002</v>
      </c>
      <c r="F443" s="521">
        <v>0.93</v>
      </c>
      <c r="G443" s="521">
        <v>486.72480000000002</v>
      </c>
    </row>
    <row r="444" spans="1:7">
      <c r="A444" s="467"/>
      <c r="B444" s="467"/>
      <c r="C444" s="467"/>
      <c r="D444" s="520">
        <v>0</v>
      </c>
      <c r="E444" s="520">
        <v>0</v>
      </c>
      <c r="F444" s="521">
        <v>0</v>
      </c>
      <c r="G444" s="521">
        <v>0</v>
      </c>
    </row>
    <row r="445" spans="1:7">
      <c r="A445" s="467"/>
      <c r="B445" s="467"/>
      <c r="C445" s="467"/>
      <c r="D445" s="520">
        <v>0.67</v>
      </c>
      <c r="E445" s="520">
        <v>94.965800000000016</v>
      </c>
      <c r="F445" s="191">
        <v>0</v>
      </c>
      <c r="G445" s="521">
        <v>0</v>
      </c>
    </row>
    <row r="446" spans="1:7">
      <c r="A446" s="467"/>
      <c r="B446" s="467"/>
      <c r="C446" s="467"/>
      <c r="D446" s="520">
        <v>0</v>
      </c>
      <c r="E446" s="520">
        <v>0</v>
      </c>
      <c r="F446" s="521">
        <v>0</v>
      </c>
      <c r="G446" s="521">
        <v>0</v>
      </c>
    </row>
    <row r="447" spans="1:7">
      <c r="A447" s="467"/>
      <c r="B447" s="467"/>
      <c r="C447" s="467"/>
      <c r="D447" s="423">
        <v>0</v>
      </c>
      <c r="E447" s="520">
        <v>0</v>
      </c>
      <c r="F447" s="191">
        <v>0</v>
      </c>
      <c r="G447" s="521">
        <v>0</v>
      </c>
    </row>
    <row r="448" spans="1:7">
      <c r="A448" s="467"/>
      <c r="B448" s="467"/>
      <c r="C448" s="467"/>
      <c r="D448" s="520">
        <v>0.67</v>
      </c>
      <c r="E448" s="520">
        <v>35.000800000000005</v>
      </c>
      <c r="F448" s="191">
        <v>0</v>
      </c>
      <c r="G448" s="521">
        <v>0</v>
      </c>
    </row>
    <row r="449" spans="1:7">
      <c r="A449" s="467"/>
      <c r="B449" s="467"/>
      <c r="C449" s="467"/>
      <c r="D449" s="423">
        <v>0</v>
      </c>
      <c r="E449" s="520">
        <v>0</v>
      </c>
      <c r="F449" s="191">
        <v>0</v>
      </c>
      <c r="G449" s="521">
        <v>0</v>
      </c>
    </row>
    <row r="450" spans="1:7">
      <c r="A450" s="467"/>
      <c r="B450" s="467"/>
      <c r="C450" s="467"/>
      <c r="D450" s="423">
        <v>0</v>
      </c>
      <c r="E450" s="520">
        <v>0</v>
      </c>
      <c r="F450" s="521">
        <v>0.93</v>
      </c>
      <c r="G450" s="521">
        <v>654.88739999999996</v>
      </c>
    </row>
    <row r="451" spans="1:7">
      <c r="A451" s="467"/>
      <c r="B451" s="467"/>
      <c r="C451" s="467"/>
      <c r="D451" s="520">
        <v>0.67</v>
      </c>
      <c r="E451" s="520">
        <v>337.93459999999999</v>
      </c>
      <c r="F451" s="521">
        <v>0.93</v>
      </c>
      <c r="G451" s="521">
        <v>469.07339999999999</v>
      </c>
    </row>
    <row r="452" spans="1:7">
      <c r="A452" s="467"/>
      <c r="B452" s="467"/>
      <c r="C452" s="467"/>
      <c r="D452" s="520">
        <v>0.67</v>
      </c>
      <c r="E452" s="520">
        <v>399.06540000000001</v>
      </c>
      <c r="F452" s="521">
        <v>0.93</v>
      </c>
      <c r="G452" s="521">
        <v>553.92660000000001</v>
      </c>
    </row>
    <row r="453" spans="1:7">
      <c r="A453" s="467"/>
      <c r="B453" s="467"/>
      <c r="C453" s="467"/>
      <c r="D453" s="423">
        <v>0</v>
      </c>
      <c r="E453" s="520">
        <v>0</v>
      </c>
      <c r="F453" s="191">
        <v>0</v>
      </c>
      <c r="G453" s="521">
        <v>0</v>
      </c>
    </row>
    <row r="454" spans="1:7">
      <c r="A454" s="467"/>
      <c r="B454" s="467"/>
      <c r="C454" s="467"/>
      <c r="D454" s="520">
        <v>0.67</v>
      </c>
      <c r="E454" s="520">
        <v>243.34399999999999</v>
      </c>
      <c r="F454" s="191">
        <v>0</v>
      </c>
      <c r="G454" s="521">
        <v>0</v>
      </c>
    </row>
    <row r="455" spans="1:7">
      <c r="A455" s="467"/>
      <c r="B455" s="467"/>
      <c r="C455" s="467"/>
      <c r="D455" s="520">
        <v>8.75</v>
      </c>
      <c r="E455" s="520">
        <v>171.32499999999999</v>
      </c>
      <c r="F455" s="521">
        <v>14.03</v>
      </c>
      <c r="G455" s="521">
        <v>274.70740000000001</v>
      </c>
    </row>
    <row r="456" spans="1:7">
      <c r="A456" s="467"/>
      <c r="B456" s="467"/>
      <c r="C456" s="467"/>
      <c r="D456" s="520">
        <v>4.71</v>
      </c>
      <c r="E456" s="520">
        <v>2525.1251999999999</v>
      </c>
      <c r="F456" s="521">
        <v>2.8</v>
      </c>
      <c r="G456" s="521">
        <v>1501.136</v>
      </c>
    </row>
    <row r="457" spans="1:7">
      <c r="A457" s="467"/>
      <c r="B457" s="467"/>
      <c r="C457" s="467"/>
      <c r="D457" s="520">
        <v>0.67</v>
      </c>
      <c r="E457" s="520">
        <v>231.7396</v>
      </c>
      <c r="F457" s="521">
        <v>0.93</v>
      </c>
      <c r="G457" s="521">
        <v>321.66840000000002</v>
      </c>
    </row>
    <row r="458" spans="1:7">
      <c r="A458" s="467"/>
      <c r="B458" s="467"/>
      <c r="C458" s="467"/>
      <c r="D458" s="520">
        <v>0.67</v>
      </c>
      <c r="E458" s="520">
        <v>355.38139999999999</v>
      </c>
      <c r="F458" s="521">
        <v>0.93</v>
      </c>
      <c r="G458" s="521">
        <v>493.29059999999998</v>
      </c>
    </row>
    <row r="459" spans="1:7">
      <c r="A459" s="467"/>
      <c r="B459" s="467"/>
      <c r="C459" s="467"/>
      <c r="D459" s="520">
        <v>1.35</v>
      </c>
      <c r="E459" s="520">
        <v>554.95799999999997</v>
      </c>
      <c r="F459" s="521">
        <v>0.93</v>
      </c>
      <c r="G459" s="521">
        <v>382.30439999999999</v>
      </c>
    </row>
    <row r="460" spans="1:7">
      <c r="A460" s="467"/>
      <c r="B460" s="467"/>
      <c r="C460" s="467"/>
      <c r="D460" s="423">
        <v>0</v>
      </c>
      <c r="E460" s="520">
        <v>0</v>
      </c>
      <c r="F460" s="191">
        <v>0</v>
      </c>
      <c r="G460" s="521">
        <v>0</v>
      </c>
    </row>
    <row r="461" spans="1:7">
      <c r="A461" s="467"/>
      <c r="B461" s="467"/>
      <c r="C461" s="467"/>
      <c r="D461" s="520">
        <v>0.67</v>
      </c>
      <c r="E461" s="520">
        <v>27.001000000000001</v>
      </c>
      <c r="F461" s="191">
        <v>0</v>
      </c>
      <c r="G461" s="521">
        <v>0</v>
      </c>
    </row>
    <row r="462" spans="1:7">
      <c r="A462" s="467"/>
      <c r="B462" s="467"/>
      <c r="C462" s="467"/>
      <c r="D462" s="520">
        <v>0.67</v>
      </c>
      <c r="E462" s="520">
        <v>194.8494</v>
      </c>
      <c r="F462" s="521">
        <v>0.93</v>
      </c>
      <c r="G462" s="521">
        <v>270.46260000000001</v>
      </c>
    </row>
    <row r="463" spans="1:7">
      <c r="A463" s="467"/>
      <c r="B463" s="467"/>
      <c r="C463" s="467"/>
      <c r="D463" s="423">
        <v>0</v>
      </c>
      <c r="E463" s="520">
        <v>0</v>
      </c>
      <c r="F463" s="191">
        <v>0</v>
      </c>
      <c r="G463" s="521">
        <v>0</v>
      </c>
    </row>
    <row r="464" spans="1:7">
      <c r="A464" s="467"/>
      <c r="B464" s="467"/>
      <c r="C464" s="467"/>
      <c r="D464" s="423">
        <v>0</v>
      </c>
      <c r="E464" s="520">
        <v>0</v>
      </c>
      <c r="F464" s="521">
        <v>0.93</v>
      </c>
      <c r="G464" s="521">
        <v>398.56079999999997</v>
      </c>
    </row>
    <row r="465" spans="1:7">
      <c r="A465" s="467"/>
      <c r="B465" s="467"/>
      <c r="C465" s="467"/>
      <c r="D465" s="520">
        <v>0.67</v>
      </c>
      <c r="E465" s="520">
        <v>536</v>
      </c>
      <c r="F465" s="191">
        <v>0</v>
      </c>
      <c r="G465" s="521">
        <v>0</v>
      </c>
    </row>
    <row r="466" spans="1:7">
      <c r="A466" s="467"/>
      <c r="B466" s="467"/>
      <c r="C466" s="467"/>
      <c r="D466" s="520">
        <v>3.37</v>
      </c>
      <c r="E466" s="520">
        <v>139.7876</v>
      </c>
      <c r="F466" s="521">
        <v>5.6</v>
      </c>
      <c r="G466" s="521">
        <v>232.28800000000001</v>
      </c>
    </row>
    <row r="467" spans="1:7">
      <c r="A467" s="467"/>
      <c r="B467" s="467"/>
      <c r="C467" s="467"/>
      <c r="D467" s="423">
        <v>0</v>
      </c>
      <c r="E467" s="520">
        <v>0</v>
      </c>
      <c r="F467" s="191">
        <v>0</v>
      </c>
      <c r="G467" s="521">
        <v>0</v>
      </c>
    </row>
    <row r="468" spans="1:7">
      <c r="A468" s="467"/>
      <c r="B468" s="467"/>
      <c r="C468" s="467"/>
      <c r="D468" s="423">
        <v>0</v>
      </c>
      <c r="E468" s="520">
        <v>0</v>
      </c>
      <c r="F468" s="191">
        <v>0</v>
      </c>
      <c r="G468" s="521">
        <v>0</v>
      </c>
    </row>
    <row r="469" spans="1:7">
      <c r="A469" s="467"/>
      <c r="B469" s="467"/>
      <c r="C469" s="467"/>
      <c r="D469" s="520">
        <v>1.35</v>
      </c>
      <c r="E469" s="520">
        <v>49.058999999999997</v>
      </c>
      <c r="F469" s="521">
        <v>0.93</v>
      </c>
      <c r="G469" s="521">
        <v>33.796199999999999</v>
      </c>
    </row>
    <row r="470" spans="1:7">
      <c r="A470" s="467"/>
      <c r="B470" s="467"/>
      <c r="C470" s="467"/>
      <c r="D470" s="520">
        <v>0</v>
      </c>
      <c r="E470" s="520">
        <v>0</v>
      </c>
      <c r="F470" s="521">
        <v>0</v>
      </c>
      <c r="G470" s="521">
        <v>0</v>
      </c>
    </row>
    <row r="471" spans="1:7">
      <c r="A471" s="467"/>
      <c r="B471" s="467"/>
      <c r="C471" s="467"/>
      <c r="D471" s="423">
        <v>0</v>
      </c>
      <c r="E471" s="520">
        <v>0</v>
      </c>
      <c r="F471" s="191">
        <v>0</v>
      </c>
      <c r="G471" s="521">
        <v>0</v>
      </c>
    </row>
    <row r="472" spans="1:7">
      <c r="A472" s="467"/>
      <c r="B472" s="467"/>
      <c r="C472" s="467"/>
      <c r="D472" s="520">
        <v>0.67</v>
      </c>
      <c r="E472" s="520">
        <v>33.178400000000003</v>
      </c>
      <c r="F472" s="521">
        <v>0.93</v>
      </c>
      <c r="G472" s="521">
        <v>46.053600000000003</v>
      </c>
    </row>
    <row r="473" spans="1:7">
      <c r="A473" s="467"/>
      <c r="B473" s="467"/>
      <c r="C473" s="467"/>
      <c r="D473" s="423">
        <v>0</v>
      </c>
      <c r="E473" s="520">
        <v>0</v>
      </c>
      <c r="F473" s="191">
        <v>0</v>
      </c>
      <c r="G473" s="521">
        <v>0</v>
      </c>
    </row>
    <row r="474" spans="1:7">
      <c r="A474" s="467"/>
      <c r="B474" s="467"/>
      <c r="C474" s="467"/>
      <c r="D474" s="520">
        <v>0.67</v>
      </c>
      <c r="E474" s="520">
        <v>31.556999999999999</v>
      </c>
      <c r="F474" s="521">
        <v>0.93</v>
      </c>
      <c r="G474" s="521">
        <v>43.802999999999997</v>
      </c>
    </row>
    <row r="475" spans="1:7">
      <c r="A475" s="467"/>
      <c r="B475" s="467"/>
      <c r="C475" s="467"/>
      <c r="D475" s="520">
        <v>0.67</v>
      </c>
      <c r="E475" s="520">
        <v>48.374000000000002</v>
      </c>
      <c r="F475" s="521">
        <v>0.93</v>
      </c>
      <c r="G475" s="521">
        <v>67.146000000000001</v>
      </c>
    </row>
    <row r="476" spans="1:7">
      <c r="A476" s="467"/>
      <c r="B476" s="467"/>
      <c r="C476" s="467"/>
      <c r="D476" s="520">
        <v>0</v>
      </c>
      <c r="E476" s="520">
        <v>0</v>
      </c>
      <c r="F476" s="521">
        <v>0</v>
      </c>
      <c r="G476" s="521">
        <v>0</v>
      </c>
    </row>
    <row r="477" spans="1:7">
      <c r="A477" s="467"/>
      <c r="B477" s="467"/>
      <c r="C477" s="467"/>
      <c r="D477" s="423">
        <v>0</v>
      </c>
      <c r="E477" s="520">
        <v>0</v>
      </c>
      <c r="F477" s="191">
        <v>0</v>
      </c>
      <c r="G477" s="521">
        <v>0</v>
      </c>
    </row>
    <row r="478" spans="1:7">
      <c r="A478" s="467"/>
      <c r="B478" s="467"/>
      <c r="C478" s="467"/>
      <c r="D478" s="520">
        <v>0.67</v>
      </c>
      <c r="E478" s="520">
        <v>267.67840000000001</v>
      </c>
      <c r="F478" s="191">
        <v>0</v>
      </c>
      <c r="G478" s="521">
        <v>0</v>
      </c>
    </row>
    <row r="479" spans="1:7">
      <c r="A479" s="467"/>
      <c r="B479" s="467"/>
      <c r="C479" s="467"/>
      <c r="D479" s="423">
        <v>0</v>
      </c>
      <c r="E479" s="520">
        <v>0</v>
      </c>
      <c r="F479" s="521">
        <v>0.93</v>
      </c>
      <c r="G479" s="521">
        <v>375.81299999999999</v>
      </c>
    </row>
    <row r="480" spans="1:7">
      <c r="A480" s="467"/>
      <c r="B480" s="467"/>
      <c r="C480" s="467"/>
      <c r="D480" s="520">
        <v>0.67</v>
      </c>
      <c r="E480" s="520">
        <v>62.0822</v>
      </c>
      <c r="F480" s="521">
        <v>0.93</v>
      </c>
      <c r="G480" s="521">
        <v>86.1738</v>
      </c>
    </row>
    <row r="481" spans="1:7">
      <c r="A481" s="467"/>
      <c r="B481" s="467"/>
      <c r="C481" s="467"/>
      <c r="D481" s="520">
        <v>1.35</v>
      </c>
      <c r="E481" s="520">
        <v>24.273</v>
      </c>
      <c r="F481" s="521">
        <v>2.8</v>
      </c>
      <c r="G481" s="521">
        <v>50.344000000000001</v>
      </c>
    </row>
    <row r="482" spans="1:7">
      <c r="A482" s="467"/>
      <c r="B482" s="467"/>
      <c r="C482" s="467"/>
      <c r="D482" s="520">
        <v>0.67</v>
      </c>
      <c r="E482" s="520">
        <v>33.245399999999997</v>
      </c>
      <c r="F482" s="191">
        <v>0</v>
      </c>
      <c r="G482" s="521">
        <v>0</v>
      </c>
    </row>
    <row r="483" spans="1:7">
      <c r="A483" s="467"/>
      <c r="B483" s="467"/>
      <c r="C483" s="467"/>
      <c r="D483" s="520">
        <v>1.35</v>
      </c>
      <c r="E483" s="520">
        <v>830.952</v>
      </c>
      <c r="F483" s="521">
        <v>0.93</v>
      </c>
      <c r="G483" s="521">
        <v>572.43360000000007</v>
      </c>
    </row>
    <row r="484" spans="1:7">
      <c r="A484" s="467"/>
      <c r="B484" s="467"/>
      <c r="C484" s="467"/>
      <c r="D484" s="423">
        <v>0</v>
      </c>
      <c r="E484" s="520">
        <v>0</v>
      </c>
      <c r="F484" s="191">
        <v>0</v>
      </c>
      <c r="G484" s="521">
        <v>0</v>
      </c>
    </row>
    <row r="485" spans="1:7">
      <c r="A485" s="467"/>
      <c r="B485" s="467"/>
      <c r="C485" s="467"/>
      <c r="D485" s="520">
        <v>3.36</v>
      </c>
      <c r="E485" s="520">
        <v>220.8192</v>
      </c>
      <c r="F485" s="521">
        <v>4.67</v>
      </c>
      <c r="G485" s="521">
        <v>306.91239999999999</v>
      </c>
    </row>
    <row r="486" spans="1:7">
      <c r="A486" s="467"/>
      <c r="B486" s="467"/>
      <c r="C486" s="467"/>
      <c r="D486" s="520">
        <v>2.7</v>
      </c>
      <c r="E486" s="520">
        <v>47.735999999999997</v>
      </c>
      <c r="F486" s="521">
        <v>13.1</v>
      </c>
      <c r="G486" s="521">
        <v>231.608</v>
      </c>
    </row>
    <row r="487" spans="1:7">
      <c r="A487" s="467"/>
      <c r="B487" s="467"/>
      <c r="C487" s="467"/>
      <c r="D487" s="423">
        <v>0</v>
      </c>
      <c r="E487" s="520">
        <v>0</v>
      </c>
      <c r="F487" s="191">
        <v>0</v>
      </c>
      <c r="G487" s="521">
        <v>0</v>
      </c>
    </row>
    <row r="488" spans="1:7">
      <c r="A488" s="467"/>
      <c r="B488" s="467"/>
      <c r="C488" s="467"/>
      <c r="D488" s="423">
        <v>0</v>
      </c>
      <c r="E488" s="520">
        <v>0</v>
      </c>
      <c r="F488" s="191">
        <v>0</v>
      </c>
      <c r="G488" s="521">
        <v>0</v>
      </c>
    </row>
    <row r="489" spans="1:7">
      <c r="A489" s="467"/>
      <c r="B489" s="467"/>
      <c r="C489" s="467"/>
      <c r="D489" s="423">
        <v>0</v>
      </c>
      <c r="E489" s="520">
        <v>0</v>
      </c>
      <c r="F489" s="521">
        <v>0.93</v>
      </c>
      <c r="G489" s="521">
        <v>157.05840000000001</v>
      </c>
    </row>
    <row r="490" spans="1:7">
      <c r="A490" s="467"/>
      <c r="B490" s="467"/>
      <c r="C490" s="467"/>
      <c r="D490" s="520">
        <v>1.37</v>
      </c>
      <c r="E490" s="520">
        <v>77.295400000000015</v>
      </c>
      <c r="F490" s="521">
        <v>0.93</v>
      </c>
      <c r="G490" s="521">
        <v>52.470599999999997</v>
      </c>
    </row>
    <row r="491" spans="1:7">
      <c r="A491" s="467"/>
      <c r="B491" s="467"/>
      <c r="C491" s="467"/>
      <c r="D491" s="520">
        <v>0.67</v>
      </c>
      <c r="E491" s="520">
        <v>95.059600000000003</v>
      </c>
      <c r="F491" s="521">
        <v>0.93</v>
      </c>
      <c r="G491" s="521">
        <v>131.94839999999999</v>
      </c>
    </row>
    <row r="492" spans="1:7">
      <c r="A492" s="467"/>
      <c r="B492" s="467"/>
      <c r="C492" s="467"/>
      <c r="D492" s="520">
        <v>3.36</v>
      </c>
      <c r="E492" s="520">
        <v>83.395200000000003</v>
      </c>
      <c r="F492" s="521">
        <v>2.8</v>
      </c>
      <c r="G492" s="521">
        <v>69.495999999999995</v>
      </c>
    </row>
    <row r="493" spans="1:7">
      <c r="A493" s="467"/>
      <c r="B493" s="467"/>
      <c r="C493" s="467"/>
      <c r="D493" s="520">
        <v>2.02</v>
      </c>
      <c r="E493" s="520">
        <v>779.9624</v>
      </c>
      <c r="F493" s="521">
        <v>2.8</v>
      </c>
      <c r="G493" s="521">
        <v>1081.136</v>
      </c>
    </row>
    <row r="494" spans="1:7">
      <c r="A494" s="467"/>
      <c r="B494" s="467"/>
      <c r="C494" s="467"/>
      <c r="D494" s="520">
        <v>1.35</v>
      </c>
      <c r="E494" s="520">
        <v>98.468999999999994</v>
      </c>
      <c r="F494" s="521">
        <v>1.87</v>
      </c>
      <c r="G494" s="521">
        <v>136.39779999999999</v>
      </c>
    </row>
    <row r="495" spans="1:7">
      <c r="A495" s="467"/>
      <c r="B495" s="467"/>
      <c r="C495" s="467"/>
      <c r="D495" s="423">
        <v>0</v>
      </c>
      <c r="E495" s="520">
        <v>0</v>
      </c>
      <c r="F495" s="191">
        <v>0</v>
      </c>
      <c r="G495" s="521">
        <v>0</v>
      </c>
    </row>
    <row r="496" spans="1:7">
      <c r="A496" s="467"/>
      <c r="B496" s="467"/>
      <c r="C496" s="467"/>
      <c r="D496" s="423">
        <v>0</v>
      </c>
      <c r="E496" s="520">
        <v>0</v>
      </c>
      <c r="F496" s="191">
        <v>0</v>
      </c>
      <c r="G496" s="521">
        <v>0</v>
      </c>
    </row>
    <row r="497" spans="1:7">
      <c r="A497" s="467"/>
      <c r="B497" s="467"/>
      <c r="C497" s="467"/>
      <c r="D497" s="520">
        <v>0.67</v>
      </c>
      <c r="E497" s="520">
        <v>59.563000000000009</v>
      </c>
      <c r="F497" s="521">
        <v>0.93</v>
      </c>
      <c r="G497" s="521">
        <v>82.677000000000007</v>
      </c>
    </row>
    <row r="498" spans="1:7">
      <c r="A498" s="467"/>
      <c r="B498" s="467"/>
      <c r="C498" s="467"/>
      <c r="D498" s="423">
        <v>0</v>
      </c>
      <c r="E498" s="520">
        <v>0</v>
      </c>
      <c r="F498" s="191">
        <v>0</v>
      </c>
      <c r="G498" s="521">
        <v>0</v>
      </c>
    </row>
    <row r="499" spans="1:7">
      <c r="A499" s="467"/>
      <c r="B499" s="467"/>
      <c r="C499" s="467"/>
      <c r="D499" s="423">
        <v>0</v>
      </c>
      <c r="E499" s="520">
        <v>0</v>
      </c>
      <c r="F499" s="521">
        <v>0.93</v>
      </c>
      <c r="G499" s="521">
        <v>116.8638</v>
      </c>
    </row>
    <row r="500" spans="1:7">
      <c r="A500" s="467"/>
      <c r="B500" s="467"/>
      <c r="C500" s="467"/>
      <c r="D500" s="423">
        <v>0</v>
      </c>
      <c r="E500" s="520">
        <v>0</v>
      </c>
      <c r="F500" s="521">
        <v>1.87</v>
      </c>
      <c r="G500" s="521">
        <v>76.969200000000001</v>
      </c>
    </row>
    <row r="501" spans="1:7">
      <c r="A501" s="467"/>
      <c r="B501" s="467"/>
      <c r="C501" s="467"/>
      <c r="D501" s="520">
        <v>1.35</v>
      </c>
      <c r="E501" s="520">
        <v>42.066000000000003</v>
      </c>
      <c r="F501" s="521">
        <v>3.7360000000000002</v>
      </c>
      <c r="G501" s="521">
        <v>116.41376</v>
      </c>
    </row>
    <row r="502" spans="1:7">
      <c r="A502" s="467"/>
      <c r="B502" s="467"/>
      <c r="C502" s="467"/>
      <c r="D502" s="520">
        <v>1.35</v>
      </c>
      <c r="E502" s="520">
        <v>53.352000000000004</v>
      </c>
      <c r="F502" s="521">
        <v>1.87</v>
      </c>
      <c r="G502" s="521">
        <v>73.902400000000014</v>
      </c>
    </row>
    <row r="503" spans="1:7">
      <c r="A503" s="467"/>
      <c r="B503" s="467"/>
      <c r="C503" s="467"/>
      <c r="D503" s="423">
        <v>0</v>
      </c>
      <c r="E503" s="520">
        <v>0</v>
      </c>
      <c r="F503" s="191">
        <v>0</v>
      </c>
      <c r="G503" s="521">
        <v>0</v>
      </c>
    </row>
    <row r="504" spans="1:7">
      <c r="A504" s="467"/>
      <c r="B504" s="467"/>
      <c r="C504" s="467"/>
      <c r="D504" s="423">
        <v>0</v>
      </c>
      <c r="E504" s="520">
        <v>0</v>
      </c>
      <c r="F504" s="191">
        <v>0</v>
      </c>
      <c r="G504" s="521">
        <v>0</v>
      </c>
    </row>
    <row r="505" spans="1:7">
      <c r="A505" s="467"/>
      <c r="B505" s="467"/>
      <c r="C505" s="467"/>
      <c r="D505" s="520">
        <v>1.35</v>
      </c>
      <c r="E505" s="520">
        <v>308.82600000000002</v>
      </c>
      <c r="F505" s="521">
        <v>1.87</v>
      </c>
      <c r="G505" s="521">
        <v>427.78120000000001</v>
      </c>
    </row>
    <row r="506" spans="1:7">
      <c r="A506" s="467"/>
      <c r="B506" s="467"/>
      <c r="C506" s="467"/>
      <c r="D506" s="423">
        <v>0</v>
      </c>
      <c r="E506" s="520">
        <v>0</v>
      </c>
      <c r="F506" s="191">
        <v>0</v>
      </c>
      <c r="G506" s="521">
        <v>0</v>
      </c>
    </row>
    <row r="507" spans="1:7">
      <c r="A507" s="467"/>
      <c r="B507" s="467"/>
      <c r="C507" s="467"/>
      <c r="D507" s="520">
        <v>6.73</v>
      </c>
      <c r="E507" s="520">
        <v>182.65219999999999</v>
      </c>
      <c r="F507" s="521">
        <v>7.74</v>
      </c>
      <c r="G507" s="521">
        <v>210.06360000000001</v>
      </c>
    </row>
    <row r="508" spans="1:7">
      <c r="A508" s="467"/>
      <c r="B508" s="467"/>
      <c r="C508" s="467"/>
      <c r="D508" s="423">
        <v>0</v>
      </c>
      <c r="E508" s="520">
        <v>0</v>
      </c>
      <c r="F508" s="191">
        <v>0</v>
      </c>
      <c r="G508" s="521">
        <v>0</v>
      </c>
    </row>
    <row r="509" spans="1:7">
      <c r="A509" s="467"/>
      <c r="B509" s="467"/>
      <c r="C509" s="467"/>
      <c r="D509" s="520">
        <v>0.67</v>
      </c>
      <c r="E509" s="520">
        <v>14.003</v>
      </c>
      <c r="F509" s="521">
        <v>0.93</v>
      </c>
      <c r="G509" s="521">
        <v>19.437000000000001</v>
      </c>
    </row>
    <row r="510" spans="1:7">
      <c r="A510" s="467"/>
      <c r="B510" s="467"/>
      <c r="C510" s="467"/>
      <c r="D510" s="520">
        <v>0.67</v>
      </c>
      <c r="E510" s="520">
        <v>47.302</v>
      </c>
      <c r="F510" s="521">
        <v>0.93</v>
      </c>
      <c r="G510" s="521">
        <v>65.658000000000001</v>
      </c>
    </row>
    <row r="511" spans="1:7">
      <c r="A511" s="467"/>
      <c r="B511" s="467"/>
      <c r="C511" s="467"/>
      <c r="D511" s="520">
        <v>0.67</v>
      </c>
      <c r="E511" s="520">
        <v>655.34040000000005</v>
      </c>
      <c r="F511" s="521">
        <v>0.93</v>
      </c>
      <c r="G511" s="521">
        <v>909.65160000000003</v>
      </c>
    </row>
    <row r="512" spans="1:7">
      <c r="A512" s="467"/>
      <c r="B512" s="467"/>
      <c r="C512" s="467"/>
      <c r="D512" s="520">
        <v>0</v>
      </c>
      <c r="E512" s="520">
        <v>0</v>
      </c>
      <c r="F512" s="521">
        <v>0</v>
      </c>
      <c r="G512" s="521">
        <v>0</v>
      </c>
    </row>
    <row r="513" spans="1:7">
      <c r="A513" s="467"/>
      <c r="B513" s="467"/>
      <c r="C513" s="467"/>
      <c r="D513" s="520">
        <v>0.67</v>
      </c>
      <c r="E513" s="520">
        <v>415.15879999999999</v>
      </c>
      <c r="F513" s="191">
        <v>0</v>
      </c>
      <c r="G513" s="521">
        <v>0</v>
      </c>
    </row>
    <row r="514" spans="1:7">
      <c r="A514" s="467"/>
      <c r="B514" s="467"/>
      <c r="C514" s="467"/>
      <c r="D514" s="520">
        <v>1</v>
      </c>
      <c r="E514" s="520">
        <v>415.92</v>
      </c>
      <c r="F514" s="521">
        <v>1</v>
      </c>
      <c r="G514" s="521">
        <v>415.92</v>
      </c>
    </row>
    <row r="515" spans="1:7">
      <c r="A515" s="467"/>
      <c r="B515" s="467"/>
      <c r="C515" s="467"/>
      <c r="D515" s="423">
        <v>0</v>
      </c>
      <c r="E515" s="520">
        <v>0</v>
      </c>
      <c r="F515" s="521">
        <v>0.93</v>
      </c>
      <c r="G515" s="521">
        <v>82.081800000000015</v>
      </c>
    </row>
    <row r="516" spans="1:7">
      <c r="A516" s="467"/>
      <c r="B516" s="467"/>
      <c r="C516" s="467"/>
      <c r="D516" s="423">
        <v>0</v>
      </c>
      <c r="E516" s="520">
        <v>0</v>
      </c>
      <c r="F516" s="191">
        <v>0</v>
      </c>
      <c r="G516" s="521">
        <v>0</v>
      </c>
    </row>
    <row r="517" spans="1:7">
      <c r="A517" s="467"/>
      <c r="B517" s="467"/>
      <c r="C517" s="467"/>
      <c r="D517" s="423">
        <v>0</v>
      </c>
      <c r="E517" s="520">
        <v>0</v>
      </c>
      <c r="F517" s="191">
        <v>0</v>
      </c>
      <c r="G517" s="521">
        <v>0</v>
      </c>
    </row>
    <row r="518" spans="1:7">
      <c r="A518" s="467"/>
      <c r="B518" s="467"/>
      <c r="C518" s="467"/>
      <c r="D518" s="423">
        <v>0</v>
      </c>
      <c r="E518" s="520">
        <v>0</v>
      </c>
      <c r="F518" s="521">
        <v>0.93</v>
      </c>
      <c r="G518" s="521">
        <v>120.69540000000001</v>
      </c>
    </row>
    <row r="519" spans="1:7">
      <c r="A519" s="467"/>
      <c r="B519" s="467"/>
      <c r="C519" s="467"/>
      <c r="D519" s="423">
        <v>0</v>
      </c>
      <c r="E519" s="520">
        <v>0</v>
      </c>
      <c r="F519" s="191">
        <v>0</v>
      </c>
      <c r="G519" s="521">
        <v>0</v>
      </c>
    </row>
    <row r="520" spans="1:7">
      <c r="A520" s="467"/>
      <c r="B520" s="467"/>
      <c r="C520" s="467"/>
      <c r="D520" s="423">
        <v>0</v>
      </c>
      <c r="E520" s="520">
        <v>0</v>
      </c>
      <c r="F520" s="191">
        <v>0</v>
      </c>
      <c r="G520" s="521">
        <v>0</v>
      </c>
    </row>
    <row r="521" spans="1:7">
      <c r="A521" s="18"/>
      <c r="B521" s="18"/>
      <c r="C521" s="18"/>
      <c r="D521" s="423">
        <v>0</v>
      </c>
      <c r="E521" s="520">
        <v>0</v>
      </c>
      <c r="F521" s="191">
        <v>0</v>
      </c>
      <c r="G521" s="521">
        <v>0</v>
      </c>
    </row>
    <row r="522" spans="1:7">
      <c r="A522" s="467"/>
      <c r="B522" s="467"/>
      <c r="C522" s="467"/>
      <c r="D522" s="520">
        <v>0.67</v>
      </c>
      <c r="E522" s="520">
        <v>261.67520000000002</v>
      </c>
      <c r="F522" s="191">
        <v>0</v>
      </c>
      <c r="G522" s="521">
        <v>0</v>
      </c>
    </row>
    <row r="523" spans="1:7">
      <c r="A523" s="467"/>
      <c r="B523" s="467"/>
      <c r="C523" s="467"/>
      <c r="D523" s="520">
        <v>4.71</v>
      </c>
      <c r="E523" s="520">
        <v>47.570999999999998</v>
      </c>
      <c r="F523" s="521">
        <v>8.4</v>
      </c>
      <c r="G523" s="521">
        <v>84.84</v>
      </c>
    </row>
    <row r="524" spans="1:7">
      <c r="A524" s="467"/>
      <c r="B524" s="467"/>
      <c r="C524" s="467"/>
      <c r="D524" s="520">
        <v>1.35</v>
      </c>
      <c r="E524" s="520">
        <v>164.97</v>
      </c>
      <c r="F524" s="521">
        <v>0.93</v>
      </c>
      <c r="G524" s="521">
        <v>113.646</v>
      </c>
    </row>
    <row r="525" spans="1:7">
      <c r="A525" s="467"/>
      <c r="B525" s="467"/>
      <c r="C525" s="467"/>
      <c r="D525" s="520">
        <v>2.02</v>
      </c>
      <c r="E525" s="520">
        <v>44.0764</v>
      </c>
      <c r="F525" s="521">
        <v>3.74</v>
      </c>
      <c r="G525" s="521">
        <v>81.606800000000007</v>
      </c>
    </row>
    <row r="526" spans="1:7">
      <c r="A526" s="467"/>
      <c r="B526" s="467"/>
      <c r="C526" s="467"/>
      <c r="D526" s="520">
        <v>0.67</v>
      </c>
      <c r="E526" s="520">
        <v>233.6558</v>
      </c>
      <c r="F526" s="191">
        <v>0</v>
      </c>
      <c r="G526" s="521">
        <v>0</v>
      </c>
    </row>
    <row r="527" spans="1:7">
      <c r="A527" s="467"/>
      <c r="B527" s="467"/>
      <c r="C527" s="467"/>
      <c r="D527" s="520">
        <v>0.67</v>
      </c>
      <c r="E527" s="520">
        <v>138.93119999999999</v>
      </c>
      <c r="F527" s="521">
        <v>0.93</v>
      </c>
      <c r="G527" s="521">
        <v>192.84479999999999</v>
      </c>
    </row>
    <row r="528" spans="1:7">
      <c r="A528" s="467"/>
      <c r="B528" s="467"/>
      <c r="C528" s="467"/>
      <c r="D528" s="423">
        <v>0</v>
      </c>
      <c r="E528" s="520">
        <v>0</v>
      </c>
      <c r="F528" s="191">
        <v>0</v>
      </c>
      <c r="G528" s="521">
        <v>0</v>
      </c>
    </row>
    <row r="529" spans="1:7">
      <c r="A529" s="467"/>
      <c r="B529" s="467"/>
      <c r="C529" s="467"/>
      <c r="D529" s="520">
        <v>0.67</v>
      </c>
      <c r="E529" s="520">
        <v>518.51300000000003</v>
      </c>
      <c r="F529" s="191">
        <v>0</v>
      </c>
      <c r="G529" s="521">
        <v>0</v>
      </c>
    </row>
    <row r="530" spans="1:7">
      <c r="A530" s="467"/>
      <c r="B530" s="467"/>
      <c r="C530" s="467"/>
      <c r="D530" s="520">
        <v>0.67</v>
      </c>
      <c r="E530" s="520">
        <v>107.0258</v>
      </c>
      <c r="F530" s="521">
        <v>1.87</v>
      </c>
      <c r="G530" s="521">
        <v>298.71379999999999</v>
      </c>
    </row>
    <row r="531" spans="1:7">
      <c r="A531" s="467"/>
      <c r="B531" s="467"/>
      <c r="C531" s="467"/>
      <c r="D531" s="423">
        <v>0</v>
      </c>
      <c r="E531" s="520">
        <v>0</v>
      </c>
      <c r="F531" s="191">
        <v>0</v>
      </c>
      <c r="G531" s="521">
        <v>0</v>
      </c>
    </row>
    <row r="532" spans="1:7">
      <c r="A532" s="467"/>
      <c r="B532" s="467"/>
      <c r="C532" s="467"/>
      <c r="D532" s="423">
        <v>0</v>
      </c>
      <c r="E532" s="520">
        <v>0</v>
      </c>
      <c r="F532" s="191">
        <v>0</v>
      </c>
      <c r="G532" s="521">
        <v>0</v>
      </c>
    </row>
    <row r="533" spans="1:7">
      <c r="A533" s="467"/>
      <c r="B533" s="467"/>
      <c r="C533" s="467"/>
      <c r="D533" s="423">
        <v>0</v>
      </c>
      <c r="E533" s="520">
        <v>0</v>
      </c>
      <c r="F533" s="521">
        <v>0.93</v>
      </c>
      <c r="G533" s="521">
        <v>54.665399999999998</v>
      </c>
    </row>
    <row r="534" spans="1:7">
      <c r="A534" s="467"/>
      <c r="B534" s="467"/>
      <c r="C534" s="467"/>
      <c r="D534" s="423">
        <v>0</v>
      </c>
      <c r="E534" s="520">
        <v>0</v>
      </c>
      <c r="F534" s="521">
        <v>0</v>
      </c>
      <c r="G534" s="521">
        <v>0</v>
      </c>
    </row>
    <row r="535" spans="1:7">
      <c r="A535" s="467"/>
      <c r="B535" s="467"/>
      <c r="C535" s="467"/>
      <c r="F535" s="467"/>
      <c r="G535" s="467"/>
    </row>
    <row r="536" spans="1:7">
      <c r="A536" s="27">
        <v>0</v>
      </c>
      <c r="B536" s="27">
        <v>2502296</v>
      </c>
      <c r="C536" s="27">
        <v>2068473</v>
      </c>
      <c r="D536" s="27">
        <v>1852971</v>
      </c>
      <c r="E536" s="27">
        <v>7377017.4265000001</v>
      </c>
      <c r="F536" s="27">
        <v>2325080</v>
      </c>
      <c r="G536" s="27">
        <v>7903813.1255000001</v>
      </c>
    </row>
    <row r="537" spans="1:7">
      <c r="A537" s="99">
        <v>21</v>
      </c>
      <c r="B537" s="99">
        <v>21</v>
      </c>
      <c r="C537" s="99">
        <v>21</v>
      </c>
      <c r="D537" s="99">
        <v>21</v>
      </c>
      <c r="E537" s="99"/>
      <c r="F537" s="99">
        <v>21</v>
      </c>
      <c r="G537" s="99"/>
    </row>
  </sheetData>
  <mergeCells count="3">
    <mergeCell ref="C128:D128"/>
    <mergeCell ref="D129:E129"/>
    <mergeCell ref="D130:E130"/>
  </mergeCells>
  <phoneticPr fontId="54" type="noConversion"/>
  <pageMargins left="0.75" right="0.75" top="1" bottom="1" header="0.5" footer="0.5"/>
  <pageSetup orientation="portrait" horizontalDpi="4294967292" verticalDpi="4294967292"/>
  <headerFooter alignWithMargins="0"/>
  <legacy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2:M81"/>
  <sheetViews>
    <sheetView topLeftCell="A9" workbookViewId="0">
      <selection activeCell="K34" sqref="K34"/>
    </sheetView>
  </sheetViews>
  <sheetFormatPr baseColWidth="10" defaultColWidth="11.5" defaultRowHeight="13"/>
  <cols>
    <col min="1" max="1" width="13.83203125" customWidth="1"/>
    <col min="2" max="2" width="32.5" customWidth="1"/>
    <col min="3" max="4" width="13.5" bestFit="1" customWidth="1"/>
    <col min="5" max="5" width="13.33203125" bestFit="1" customWidth="1"/>
    <col min="6" max="6" width="13.5" bestFit="1" customWidth="1"/>
    <col min="7" max="9" width="12" bestFit="1" customWidth="1"/>
  </cols>
  <sheetData>
    <row r="2" spans="1:9" ht="16">
      <c r="A2" s="616" t="s">
        <v>1060</v>
      </c>
      <c r="D2" s="537"/>
      <c r="E2" s="170"/>
      <c r="F2" s="2"/>
      <c r="G2" s="2"/>
      <c r="H2" s="2"/>
      <c r="I2" s="2"/>
    </row>
    <row r="3" spans="1:9">
      <c r="B3" s="612"/>
      <c r="C3" s="613"/>
      <c r="D3" s="592"/>
      <c r="E3" s="592"/>
      <c r="F3" s="592"/>
      <c r="G3" s="592"/>
      <c r="H3" s="592"/>
      <c r="I3" s="592"/>
    </row>
    <row r="4" spans="1:9">
      <c r="A4" s="614" t="s">
        <v>898</v>
      </c>
      <c r="B4" s="614" t="s">
        <v>260</v>
      </c>
      <c r="C4" s="615" t="s">
        <v>847</v>
      </c>
      <c r="D4" s="615" t="s">
        <v>848</v>
      </c>
      <c r="E4" s="615" t="s">
        <v>849</v>
      </c>
      <c r="F4" s="615" t="s">
        <v>892</v>
      </c>
      <c r="G4" s="615" t="s">
        <v>135</v>
      </c>
      <c r="H4" s="615" t="s">
        <v>998</v>
      </c>
      <c r="I4" s="615" t="s">
        <v>956</v>
      </c>
    </row>
    <row r="5" spans="1:9">
      <c r="A5" t="s">
        <v>1065</v>
      </c>
      <c r="B5" t="s">
        <v>1063</v>
      </c>
      <c r="C5" s="5">
        <v>23876.400000000001</v>
      </c>
      <c r="D5" s="5">
        <v>25145.3</v>
      </c>
      <c r="E5" s="5">
        <v>22365.599999999999</v>
      </c>
      <c r="F5" s="5">
        <v>14040.5</v>
      </c>
      <c r="G5" s="5">
        <v>11272</v>
      </c>
      <c r="H5" s="5">
        <v>11404.6</v>
      </c>
      <c r="I5" s="5">
        <v>6488.9</v>
      </c>
    </row>
    <row r="6" spans="1:9">
      <c r="A6" t="s">
        <v>1065</v>
      </c>
      <c r="B6" t="s">
        <v>1064</v>
      </c>
      <c r="C6" s="5">
        <v>2003.4</v>
      </c>
      <c r="D6" s="5">
        <v>1843.6</v>
      </c>
      <c r="E6" s="5">
        <v>1813.3</v>
      </c>
      <c r="F6" s="5">
        <v>1538.1</v>
      </c>
      <c r="G6" s="5">
        <v>1922.7</v>
      </c>
      <c r="H6" s="5">
        <v>1625.3</v>
      </c>
      <c r="I6" s="5">
        <v>1895.6</v>
      </c>
    </row>
    <row r="7" spans="1:9">
      <c r="A7" t="s">
        <v>1065</v>
      </c>
      <c r="B7" t="s">
        <v>412</v>
      </c>
      <c r="C7" s="5">
        <v>711.86687999999992</v>
      </c>
      <c r="D7" s="5">
        <v>655.21048000000008</v>
      </c>
      <c r="E7" s="5">
        <v>643.23524000000009</v>
      </c>
      <c r="F7" s="5">
        <v>591.41052000000013</v>
      </c>
      <c r="G7" s="5">
        <v>652.89859999999999</v>
      </c>
      <c r="H7" s="5">
        <v>659.33820000000003</v>
      </c>
      <c r="I7" s="5">
        <v>611.03327999999999</v>
      </c>
    </row>
    <row r="8" spans="1:9">
      <c r="C8" s="5"/>
      <c r="D8" s="5"/>
      <c r="E8" s="5"/>
      <c r="F8" s="5"/>
      <c r="G8" s="5"/>
      <c r="H8" s="5"/>
      <c r="I8" s="5"/>
    </row>
    <row r="9" spans="1:9">
      <c r="A9" t="s">
        <v>1066</v>
      </c>
      <c r="B9" t="s">
        <v>1069</v>
      </c>
      <c r="C9" s="5">
        <v>242.9</v>
      </c>
      <c r="D9" s="5">
        <v>253.7</v>
      </c>
      <c r="E9" s="5">
        <v>241.9</v>
      </c>
      <c r="F9" s="5">
        <v>202.2</v>
      </c>
      <c r="G9" s="5">
        <v>229.6</v>
      </c>
      <c r="H9" s="5">
        <v>215.8</v>
      </c>
      <c r="I9" s="5">
        <v>240.2</v>
      </c>
    </row>
    <row r="10" spans="1:9">
      <c r="A10" t="s">
        <v>1066</v>
      </c>
      <c r="B10" t="s">
        <v>564</v>
      </c>
      <c r="C10" s="5">
        <v>123.2</v>
      </c>
      <c r="D10" s="5">
        <v>138.80000000000001</v>
      </c>
      <c r="E10" s="5">
        <v>184.7</v>
      </c>
      <c r="F10" s="5">
        <v>136.19999999999999</v>
      </c>
      <c r="G10" s="5">
        <v>181.1</v>
      </c>
      <c r="H10" s="5">
        <v>141.30000000000001</v>
      </c>
      <c r="I10" s="5">
        <v>129.9</v>
      </c>
    </row>
    <row r="11" spans="1:9">
      <c r="C11" s="5"/>
      <c r="D11" s="5"/>
      <c r="E11" s="5"/>
      <c r="F11" s="5"/>
      <c r="G11" s="5"/>
      <c r="H11" s="5"/>
      <c r="I11" s="5"/>
    </row>
    <row r="12" spans="1:9">
      <c r="A12" t="s">
        <v>1067</v>
      </c>
      <c r="B12" t="s">
        <v>1070</v>
      </c>
      <c r="C12" s="5">
        <v>634.80000000000007</v>
      </c>
      <c r="D12" s="5">
        <v>980.30000000000007</v>
      </c>
      <c r="E12" s="5">
        <v>904.6</v>
      </c>
      <c r="F12" s="5">
        <v>177.20000000000002</v>
      </c>
      <c r="G12" s="5">
        <v>510.59999999999997</v>
      </c>
      <c r="H12" s="5">
        <v>436.20000000000005</v>
      </c>
      <c r="I12" s="5">
        <v>863.69999999999993</v>
      </c>
    </row>
    <row r="13" spans="1:9">
      <c r="C13" s="5"/>
      <c r="D13" s="5"/>
      <c r="E13" s="5"/>
      <c r="F13" s="5"/>
      <c r="G13" s="5"/>
      <c r="H13" s="5"/>
      <c r="I13" s="5"/>
    </row>
    <row r="14" spans="1:9">
      <c r="A14" t="s">
        <v>1068</v>
      </c>
      <c r="B14" t="s">
        <v>1071</v>
      </c>
    </row>
    <row r="15" spans="1:9">
      <c r="B15" t="s">
        <v>1050</v>
      </c>
      <c r="C15" s="5">
        <v>684.4</v>
      </c>
      <c r="D15" s="5">
        <v>1215.2</v>
      </c>
      <c r="E15" s="5">
        <v>1379.3</v>
      </c>
      <c r="F15" s="5">
        <v>1745.2</v>
      </c>
      <c r="G15" s="5">
        <v>1377.7</v>
      </c>
      <c r="H15" s="5">
        <v>1906.6</v>
      </c>
      <c r="I15" s="5">
        <v>1904.6</v>
      </c>
    </row>
    <row r="16" spans="1:9">
      <c r="B16" t="s">
        <v>1051</v>
      </c>
      <c r="C16" s="5">
        <v>20.6</v>
      </c>
      <c r="D16" s="5">
        <v>20.3</v>
      </c>
      <c r="E16" s="5">
        <v>16.600000000000001</v>
      </c>
      <c r="F16" s="5">
        <v>16.8</v>
      </c>
      <c r="G16" s="5">
        <v>17.8</v>
      </c>
      <c r="H16" s="5">
        <v>28.1</v>
      </c>
      <c r="I16" s="5">
        <v>25.5</v>
      </c>
    </row>
    <row r="17" spans="1:10">
      <c r="B17" t="s">
        <v>1052</v>
      </c>
      <c r="C17" s="5">
        <v>68.2</v>
      </c>
      <c r="D17" s="5">
        <v>68.900000000000006</v>
      </c>
      <c r="E17" s="5">
        <v>64.599999999999994</v>
      </c>
      <c r="F17" s="5">
        <v>74.3</v>
      </c>
      <c r="G17" s="5">
        <v>90.4</v>
      </c>
      <c r="H17" s="5">
        <v>113.5</v>
      </c>
      <c r="I17" s="5">
        <v>112.5</v>
      </c>
    </row>
    <row r="18" spans="1:10">
      <c r="B18" t="s">
        <v>1053</v>
      </c>
      <c r="C18" s="5">
        <v>1349</v>
      </c>
      <c r="D18" s="5">
        <v>1422.5</v>
      </c>
      <c r="E18" s="5">
        <v>1108.5999999999999</v>
      </c>
      <c r="F18" s="5">
        <v>1121.5999999999999</v>
      </c>
      <c r="G18" s="5">
        <v>1785.1</v>
      </c>
      <c r="H18" s="5">
        <v>2056.1</v>
      </c>
      <c r="I18" s="5">
        <v>2345.6</v>
      </c>
    </row>
    <row r="19" spans="1:10">
      <c r="B19" s="592" t="s">
        <v>1054</v>
      </c>
      <c r="C19" s="593">
        <v>25.1</v>
      </c>
      <c r="D19" s="593">
        <v>24.5</v>
      </c>
      <c r="E19" s="593">
        <v>22.2</v>
      </c>
      <c r="F19" s="593">
        <v>31.7</v>
      </c>
      <c r="G19" s="593">
        <v>18.8</v>
      </c>
      <c r="H19" s="593">
        <v>43.8</v>
      </c>
      <c r="I19" s="593">
        <v>38.200000000000003</v>
      </c>
    </row>
    <row r="20" spans="1:10">
      <c r="B20" t="s">
        <v>1055</v>
      </c>
      <c r="C20" s="5">
        <v>2147.2999999999997</v>
      </c>
      <c r="D20" s="5">
        <v>2751.4</v>
      </c>
      <c r="E20" s="5">
        <v>2591.2999999999993</v>
      </c>
      <c r="F20" s="5">
        <v>2989.5999999999995</v>
      </c>
      <c r="G20" s="5">
        <v>3289.8</v>
      </c>
      <c r="H20" s="5">
        <v>4148.0999999999995</v>
      </c>
      <c r="I20" s="5">
        <v>4426.3999999999996</v>
      </c>
    </row>
    <row r="22" spans="1:10">
      <c r="A22" t="s">
        <v>1072</v>
      </c>
      <c r="B22" t="s">
        <v>1073</v>
      </c>
      <c r="C22" s="5">
        <v>137.27043548902842</v>
      </c>
      <c r="D22" s="5">
        <v>284.67057534634006</v>
      </c>
      <c r="E22" s="5">
        <v>199.17484639324874</v>
      </c>
      <c r="F22" s="5">
        <v>149.26323548733001</v>
      </c>
      <c r="G22" s="5">
        <v>204.49528488410624</v>
      </c>
      <c r="H22" s="5">
        <v>183.17696987528103</v>
      </c>
      <c r="I22" s="5">
        <v>152.86959774007164</v>
      </c>
    </row>
    <row r="23" spans="1:10">
      <c r="C23" s="5"/>
      <c r="D23" s="5"/>
      <c r="E23" s="5"/>
      <c r="F23" s="5"/>
      <c r="G23" s="5"/>
      <c r="H23" s="5"/>
      <c r="I23" s="5"/>
    </row>
    <row r="24" spans="1:10">
      <c r="B24" t="s">
        <v>817</v>
      </c>
      <c r="C24" s="5">
        <v>864.59</v>
      </c>
      <c r="D24" s="5">
        <v>595.12</v>
      </c>
      <c r="E24" s="5">
        <v>660.09</v>
      </c>
      <c r="F24" s="5">
        <v>539.6</v>
      </c>
      <c r="G24" s="5">
        <v>551.48</v>
      </c>
      <c r="H24" s="5">
        <v>540</v>
      </c>
      <c r="I24" s="5">
        <v>550</v>
      </c>
    </row>
    <row r="25" spans="1:10">
      <c r="B25" s="592"/>
      <c r="C25" s="593"/>
      <c r="D25" s="593"/>
      <c r="E25" s="593"/>
      <c r="F25" s="593"/>
      <c r="G25" s="593"/>
      <c r="H25" s="593"/>
      <c r="I25" s="593"/>
    </row>
    <row r="26" spans="1:10">
      <c r="B26" s="10" t="s">
        <v>296</v>
      </c>
      <c r="C26" s="11">
        <v>29012.547315489035</v>
      </c>
      <c r="D26" s="11">
        <v>31457.86105534634</v>
      </c>
      <c r="E26" s="11">
        <v>28283.720086393248</v>
      </c>
      <c r="F26" s="11">
        <v>19284.873755487333</v>
      </c>
      <c r="G26" s="11">
        <v>17711.71388488411</v>
      </c>
      <c r="H26" s="11">
        <v>18273.815169875277</v>
      </c>
      <c r="I26" s="11">
        <v>14259</v>
      </c>
      <c r="J26" s="5"/>
    </row>
    <row r="27" spans="1:10">
      <c r="B27" s="10"/>
      <c r="C27" s="11"/>
      <c r="D27" s="11"/>
      <c r="E27" s="11"/>
      <c r="F27" s="11"/>
      <c r="G27" s="11"/>
      <c r="H27" s="11"/>
      <c r="I27" s="11"/>
      <c r="J27" s="5"/>
    </row>
    <row r="28" spans="1:10">
      <c r="B28" s="10"/>
      <c r="C28" s="11"/>
      <c r="D28" s="11"/>
      <c r="E28" s="11"/>
      <c r="F28" s="11"/>
      <c r="G28" s="11"/>
      <c r="H28" s="11"/>
      <c r="I28" s="11"/>
      <c r="J28" s="5"/>
    </row>
    <row r="30" spans="1:10" ht="16">
      <c r="A30" s="224" t="s">
        <v>1056</v>
      </c>
      <c r="C30" s="6"/>
      <c r="D30" s="537"/>
      <c r="E30" s="170"/>
      <c r="F30" s="2"/>
      <c r="G30" s="2"/>
      <c r="H30" s="2"/>
      <c r="I30" s="2"/>
    </row>
    <row r="31" spans="1:10">
      <c r="A31" s="10" t="s">
        <v>1057</v>
      </c>
      <c r="C31" s="594" t="s">
        <v>847</v>
      </c>
      <c r="D31" s="594" t="s">
        <v>848</v>
      </c>
      <c r="E31" s="594" t="s">
        <v>849</v>
      </c>
      <c r="F31" s="594" t="s">
        <v>892</v>
      </c>
      <c r="G31" s="594" t="s">
        <v>135</v>
      </c>
      <c r="H31" s="594" t="s">
        <v>998</v>
      </c>
      <c r="I31" s="594" t="s">
        <v>956</v>
      </c>
    </row>
    <row r="33" spans="1:13">
      <c r="A33" t="s">
        <v>1065</v>
      </c>
      <c r="B33" t="s">
        <v>1074</v>
      </c>
      <c r="C33" s="580">
        <v>2040108</v>
      </c>
      <c r="D33" s="581">
        <f>2145513+3019.6</f>
        <v>2148532.6</v>
      </c>
      <c r="E33" s="581">
        <v>1911015</v>
      </c>
      <c r="F33" s="582">
        <v>1199687</v>
      </c>
      <c r="G33" s="582">
        <v>963126</v>
      </c>
      <c r="H33" s="578">
        <v>974460</v>
      </c>
      <c r="I33" s="578">
        <v>554442</v>
      </c>
    </row>
    <row r="34" spans="1:13">
      <c r="A34" t="s">
        <v>1065</v>
      </c>
      <c r="B34" s="29" t="s">
        <v>1075</v>
      </c>
      <c r="C34" s="578">
        <v>60319.1</v>
      </c>
      <c r="D34" s="581">
        <v>50329</v>
      </c>
      <c r="E34" s="578">
        <v>42558.9</v>
      </c>
      <c r="F34" s="583">
        <v>29587.7</v>
      </c>
      <c r="G34" s="583">
        <v>40762.9</v>
      </c>
      <c r="H34" s="578">
        <v>30595.8</v>
      </c>
      <c r="I34" s="578">
        <f>33262.4+371.7+996.4</f>
        <v>34630.5</v>
      </c>
    </row>
    <row r="35" spans="1:13">
      <c r="A35" t="s">
        <v>1065</v>
      </c>
      <c r="B35" s="29" t="s">
        <v>1076</v>
      </c>
      <c r="C35" s="578">
        <v>145665.79999999999</v>
      </c>
      <c r="D35" s="581">
        <v>138141.79999999999</v>
      </c>
      <c r="E35" s="578">
        <v>149398.20000000001</v>
      </c>
      <c r="F35" s="578">
        <v>129233.5</v>
      </c>
      <c r="G35" s="578">
        <v>142187.9</v>
      </c>
      <c r="H35" s="578">
        <v>124268.8</v>
      </c>
      <c r="I35" s="578">
        <v>142688.70000000001</v>
      </c>
    </row>
    <row r="36" spans="1:13" ht="15">
      <c r="A36" t="s">
        <v>1065</v>
      </c>
      <c r="B36" s="70" t="s">
        <v>1043</v>
      </c>
      <c r="C36" s="580">
        <v>21662.400000000001</v>
      </c>
      <c r="D36" s="581">
        <v>21840.2</v>
      </c>
      <c r="E36" s="578">
        <v>17595.900000000001</v>
      </c>
      <c r="F36" s="584">
        <v>19427.900000000001</v>
      </c>
      <c r="G36" s="584">
        <v>35999</v>
      </c>
      <c r="H36" s="578">
        <v>31039.3</v>
      </c>
      <c r="I36" s="578">
        <f>38027.2+1028.7</f>
        <v>39055.899999999994</v>
      </c>
      <c r="M36" t="s">
        <v>1058</v>
      </c>
    </row>
    <row r="37" spans="1:13" ht="15">
      <c r="A37" t="s">
        <v>1065</v>
      </c>
      <c r="B37" t="s">
        <v>412</v>
      </c>
      <c r="C37" s="384">
        <v>123902</v>
      </c>
      <c r="D37" s="30">
        <v>114042.9</v>
      </c>
      <c r="E37" s="30">
        <v>111960.2</v>
      </c>
      <c r="F37" s="579">
        <v>102932.67199999999</v>
      </c>
      <c r="G37" s="579">
        <v>113634</v>
      </c>
      <c r="H37" s="579">
        <v>114751.4</v>
      </c>
      <c r="I37" s="579">
        <v>106340.8</v>
      </c>
    </row>
    <row r="38" spans="1:13">
      <c r="A38" t="s">
        <v>1065</v>
      </c>
      <c r="B38" t="s">
        <v>168</v>
      </c>
      <c r="C38" s="5">
        <v>0</v>
      </c>
      <c r="D38" s="5">
        <v>0</v>
      </c>
      <c r="E38" s="5">
        <v>3209.1</v>
      </c>
      <c r="F38" s="5">
        <v>13742.7</v>
      </c>
      <c r="G38" s="5">
        <v>18775.5</v>
      </c>
      <c r="H38" s="5">
        <v>15740.9</v>
      </c>
      <c r="I38" s="5">
        <v>20769.099999999999</v>
      </c>
    </row>
    <row r="39" spans="1:13">
      <c r="C39" s="5"/>
      <c r="D39" s="5"/>
      <c r="E39" s="5"/>
      <c r="F39" s="5"/>
      <c r="G39" s="5"/>
      <c r="H39" s="5"/>
      <c r="I39" s="5"/>
    </row>
    <row r="40" spans="1:13">
      <c r="A40" t="s">
        <v>1066</v>
      </c>
      <c r="B40" s="530" t="s">
        <v>1069</v>
      </c>
      <c r="C40" s="610">
        <v>24567.1</v>
      </c>
      <c r="D40" s="610">
        <v>25650.9</v>
      </c>
      <c r="E40" s="610">
        <v>24462.1</v>
      </c>
      <c r="F40" s="610">
        <v>20447</v>
      </c>
      <c r="G40" s="610">
        <v>23099.5</v>
      </c>
      <c r="H40" s="610">
        <v>21709.200000000001</v>
      </c>
      <c r="I40" s="610">
        <v>24160</v>
      </c>
    </row>
    <row r="41" spans="1:13">
      <c r="A41" t="s">
        <v>1066</v>
      </c>
      <c r="B41" t="s">
        <v>564</v>
      </c>
      <c r="C41" s="611">
        <v>11815</v>
      </c>
      <c r="D41" s="611">
        <v>13314.72</v>
      </c>
      <c r="E41" s="611">
        <v>17719.28</v>
      </c>
      <c r="F41" s="611">
        <v>13062.32</v>
      </c>
      <c r="G41" s="611">
        <v>17338.080000000002</v>
      </c>
      <c r="H41" s="611">
        <v>13525.08</v>
      </c>
      <c r="I41" s="611">
        <v>12434.5</v>
      </c>
    </row>
    <row r="42" spans="1:13">
      <c r="C42" s="585"/>
      <c r="D42" s="585"/>
      <c r="E42" s="585"/>
      <c r="F42" s="585"/>
      <c r="G42" s="585"/>
      <c r="H42" s="585"/>
      <c r="I42" s="585"/>
    </row>
    <row r="43" spans="1:13">
      <c r="A43" s="570" t="s">
        <v>1067</v>
      </c>
      <c r="B43" s="29" t="s">
        <v>1044</v>
      </c>
      <c r="C43" s="30">
        <v>22115225</v>
      </c>
      <c r="D43" s="30">
        <v>22429291</v>
      </c>
      <c r="E43" s="30">
        <v>21892009</v>
      </c>
      <c r="F43" s="30">
        <v>22594374</v>
      </c>
      <c r="G43" s="30">
        <v>22385615</v>
      </c>
      <c r="H43" s="30">
        <v>21613330</v>
      </c>
      <c r="I43" s="30">
        <v>21910033</v>
      </c>
    </row>
    <row r="44" spans="1:13">
      <c r="A44" s="570" t="s">
        <v>1067</v>
      </c>
      <c r="B44" s="29" t="s">
        <v>1062</v>
      </c>
      <c r="C44" s="30">
        <v>523794</v>
      </c>
      <c r="D44" s="30">
        <v>429990</v>
      </c>
      <c r="E44" s="30">
        <v>443344</v>
      </c>
      <c r="F44" s="30">
        <v>353345</v>
      </c>
      <c r="G44" s="30">
        <v>314891</v>
      </c>
      <c r="H44" s="30">
        <v>310000</v>
      </c>
      <c r="I44" s="30">
        <v>310000</v>
      </c>
    </row>
    <row r="45" spans="1:13" ht="15">
      <c r="A45" s="570" t="s">
        <v>1067</v>
      </c>
      <c r="B45" s="29" t="s">
        <v>1045</v>
      </c>
      <c r="C45" s="30">
        <v>41680</v>
      </c>
      <c r="D45" s="30">
        <v>50869</v>
      </c>
      <c r="E45" s="30">
        <v>38941</v>
      </c>
      <c r="F45" s="30">
        <v>78354</v>
      </c>
      <c r="G45" s="30">
        <v>66491</v>
      </c>
      <c r="H45" s="30">
        <v>66000</v>
      </c>
      <c r="I45" s="30">
        <v>31835</v>
      </c>
    </row>
    <row r="46" spans="1:13">
      <c r="A46" s="570" t="s">
        <v>1067</v>
      </c>
      <c r="B46" s="29" t="s">
        <v>1046</v>
      </c>
      <c r="C46" s="30">
        <v>4242211</v>
      </c>
      <c r="D46" s="30">
        <v>4450804</v>
      </c>
      <c r="E46" s="30">
        <v>4139840</v>
      </c>
      <c r="F46" s="30">
        <v>3813050</v>
      </c>
      <c r="G46" s="30">
        <v>4115865</v>
      </c>
      <c r="H46" s="30">
        <v>3654240</v>
      </c>
      <c r="I46" s="30">
        <v>3320096</v>
      </c>
    </row>
    <row r="47" spans="1:13">
      <c r="A47" s="570" t="s">
        <v>1067</v>
      </c>
      <c r="B47" s="29" t="s">
        <v>1047</v>
      </c>
      <c r="C47" s="30">
        <v>4825</v>
      </c>
      <c r="D47" s="30">
        <v>4317</v>
      </c>
      <c r="E47" s="30">
        <v>5168</v>
      </c>
      <c r="F47" s="586">
        <v>3965</v>
      </c>
      <c r="G47" s="587">
        <v>4910</v>
      </c>
      <c r="H47" s="30">
        <v>2768</v>
      </c>
      <c r="I47" s="30">
        <v>2328</v>
      </c>
    </row>
    <row r="48" spans="1:13">
      <c r="A48" s="570" t="s">
        <v>1067</v>
      </c>
      <c r="B48" s="588" t="s">
        <v>1048</v>
      </c>
      <c r="C48" s="589">
        <v>1001</v>
      </c>
      <c r="D48" s="589">
        <v>2966</v>
      </c>
      <c r="E48" s="589">
        <v>11572.8</v>
      </c>
      <c r="F48" s="590">
        <v>11005.9</v>
      </c>
      <c r="G48" s="591">
        <v>10627.1</v>
      </c>
      <c r="H48" s="589">
        <v>143023.29999999999</v>
      </c>
      <c r="I48" s="589">
        <v>259362</v>
      </c>
    </row>
    <row r="49" spans="1:9">
      <c r="A49" s="570" t="s">
        <v>1067</v>
      </c>
      <c r="B49" s="63" t="s">
        <v>491</v>
      </c>
      <c r="C49" s="30">
        <v>25839468</v>
      </c>
      <c r="D49" s="30">
        <v>26457388</v>
      </c>
      <c r="E49" s="30">
        <v>25605246</v>
      </c>
      <c r="F49" s="30">
        <v>26069050</v>
      </c>
      <c r="G49" s="30">
        <v>26202126</v>
      </c>
      <c r="H49" s="30">
        <v>25103361</v>
      </c>
      <c r="I49" s="30">
        <v>25181819</v>
      </c>
    </row>
    <row r="50" spans="1:9">
      <c r="A50" s="570" t="s">
        <v>1067</v>
      </c>
      <c r="B50" s="29" t="s">
        <v>527</v>
      </c>
      <c r="C50" s="30">
        <v>4248037</v>
      </c>
      <c r="D50" s="30">
        <v>4458087</v>
      </c>
      <c r="E50" s="30">
        <v>4156581</v>
      </c>
      <c r="F50" s="30">
        <v>3828021</v>
      </c>
      <c r="G50" s="30">
        <v>4131402</v>
      </c>
      <c r="H50" s="30">
        <v>3800031</v>
      </c>
      <c r="I50" s="30">
        <v>3581786</v>
      </c>
    </row>
    <row r="51" spans="1:9">
      <c r="A51" s="570" t="s">
        <v>1067</v>
      </c>
      <c r="B51" s="588" t="s">
        <v>408</v>
      </c>
      <c r="C51" s="589">
        <v>41680</v>
      </c>
      <c r="D51" s="589">
        <v>50869</v>
      </c>
      <c r="E51" s="589">
        <v>38941</v>
      </c>
      <c r="F51" s="589">
        <v>78354</v>
      </c>
      <c r="G51" s="589">
        <v>66491</v>
      </c>
      <c r="H51" s="589">
        <v>66000</v>
      </c>
      <c r="I51" s="589">
        <v>31835</v>
      </c>
    </row>
    <row r="52" spans="1:9">
      <c r="A52" s="570" t="s">
        <v>1067</v>
      </c>
      <c r="B52" s="63" t="s">
        <v>1049</v>
      </c>
      <c r="C52" s="30">
        <v>21549751</v>
      </c>
      <c r="D52" s="30">
        <v>21948432</v>
      </c>
      <c r="E52" s="30">
        <v>21409724</v>
      </c>
      <c r="F52" s="30">
        <v>22162675</v>
      </c>
      <c r="G52" s="30">
        <v>22004233</v>
      </c>
      <c r="H52" s="30">
        <v>21237330</v>
      </c>
      <c r="I52" s="30">
        <v>21568198</v>
      </c>
    </row>
    <row r="53" spans="1:9">
      <c r="B53" s="63"/>
      <c r="C53" s="30"/>
      <c r="D53" s="30"/>
      <c r="E53" s="30"/>
      <c r="F53" s="30"/>
      <c r="G53" s="30"/>
      <c r="H53" s="30"/>
      <c r="I53" s="30"/>
    </row>
    <row r="54" spans="1:9">
      <c r="A54" t="s">
        <v>1068</v>
      </c>
      <c r="B54" s="597" t="s">
        <v>1077</v>
      </c>
      <c r="C54" s="305">
        <v>189640</v>
      </c>
      <c r="D54" s="595">
        <v>410081.37</v>
      </c>
      <c r="E54" s="595">
        <v>376781</v>
      </c>
      <c r="F54" s="602">
        <v>434786</v>
      </c>
      <c r="G54" s="602">
        <v>469143</v>
      </c>
      <c r="H54" s="596">
        <v>712118</v>
      </c>
      <c r="I54" s="596">
        <v>711365</v>
      </c>
    </row>
    <row r="55" spans="1:9">
      <c r="A55" t="s">
        <v>1068</v>
      </c>
      <c r="B55" s="290" t="s">
        <v>1078</v>
      </c>
      <c r="C55" s="305">
        <v>121401</v>
      </c>
      <c r="D55" s="305">
        <v>119960.43</v>
      </c>
      <c r="E55" s="305">
        <v>98291</v>
      </c>
      <c r="F55" s="602">
        <v>98964</v>
      </c>
      <c r="G55" s="602">
        <v>108947</v>
      </c>
      <c r="H55" s="602">
        <v>171327</v>
      </c>
      <c r="I55" s="602">
        <v>155368</v>
      </c>
    </row>
    <row r="56" spans="1:9">
      <c r="A56" t="s">
        <v>1068</v>
      </c>
      <c r="B56" s="600" t="s">
        <v>1079</v>
      </c>
      <c r="C56" s="598">
        <v>278265</v>
      </c>
      <c r="D56" s="598">
        <v>281232.68</v>
      </c>
      <c r="E56" s="598">
        <v>263807</v>
      </c>
      <c r="F56" s="599">
        <v>303160</v>
      </c>
      <c r="G56" s="599">
        <v>369243</v>
      </c>
      <c r="H56" s="599">
        <v>463534</v>
      </c>
      <c r="I56" s="599">
        <v>459053</v>
      </c>
    </row>
    <row r="57" spans="1:9">
      <c r="A57" t="s">
        <v>1068</v>
      </c>
      <c r="B57" s="597" t="s">
        <v>1080</v>
      </c>
      <c r="C57" s="598">
        <v>1128023</v>
      </c>
      <c r="D57" s="305">
        <v>1176172.46</v>
      </c>
      <c r="E57" s="305">
        <v>733091</v>
      </c>
      <c r="F57" s="602">
        <v>878018</v>
      </c>
      <c r="G57" s="602">
        <v>1057210</v>
      </c>
      <c r="H57" s="603">
        <v>1221116</v>
      </c>
      <c r="I57" s="604">
        <v>1391213.2000000002</v>
      </c>
    </row>
    <row r="58" spans="1:9">
      <c r="A58" t="s">
        <v>1068</v>
      </c>
      <c r="B58" s="606" t="s">
        <v>1081</v>
      </c>
      <c r="C58" s="607">
        <v>33046</v>
      </c>
      <c r="D58" s="608">
        <v>32970.68</v>
      </c>
      <c r="E58" s="608">
        <v>29868</v>
      </c>
      <c r="F58" s="609">
        <v>42980</v>
      </c>
      <c r="G58" s="609">
        <v>25735</v>
      </c>
      <c r="H58" s="609">
        <v>60062</v>
      </c>
      <c r="I58" s="609">
        <v>52370</v>
      </c>
    </row>
    <row r="59" spans="1:9">
      <c r="A59" t="s">
        <v>1068</v>
      </c>
      <c r="B59" s="597" t="s">
        <v>1055</v>
      </c>
      <c r="C59" s="601">
        <f>SUM(C54:C58)</f>
        <v>1750375</v>
      </c>
      <c r="D59" s="601">
        <f t="shared" ref="D59:I59" si="0">SUM(D54:D58)</f>
        <v>2020417.6199999999</v>
      </c>
      <c r="E59" s="601">
        <f t="shared" si="0"/>
        <v>1501838</v>
      </c>
      <c r="F59" s="601">
        <f t="shared" si="0"/>
        <v>1757908</v>
      </c>
      <c r="G59" s="601">
        <f t="shared" si="0"/>
        <v>2030278</v>
      </c>
      <c r="H59" s="601">
        <f t="shared" si="0"/>
        <v>2628157</v>
      </c>
      <c r="I59" s="601">
        <f t="shared" si="0"/>
        <v>2769369.2</v>
      </c>
    </row>
    <row r="60" spans="1:9">
      <c r="A60" t="s">
        <v>1068</v>
      </c>
      <c r="B60" s="605" t="s">
        <v>1059</v>
      </c>
      <c r="C60" s="30">
        <f t="shared" ref="C60:I60" si="1">C59/C20</f>
        <v>815.15158571228994</v>
      </c>
      <c r="D60" s="30">
        <f t="shared" si="1"/>
        <v>734.32347895616772</v>
      </c>
      <c r="E60" s="30">
        <f t="shared" si="1"/>
        <v>579.56932813645676</v>
      </c>
      <c r="F60" s="30">
        <f t="shared" si="1"/>
        <v>588.00776023548315</v>
      </c>
      <c r="G60" s="30">
        <f t="shared" si="1"/>
        <v>617.14329138549454</v>
      </c>
      <c r="H60" s="30">
        <f t="shared" si="1"/>
        <v>633.58091656421016</v>
      </c>
      <c r="I60" s="30">
        <f t="shared" si="1"/>
        <v>625.64820169889765</v>
      </c>
    </row>
    <row r="61" spans="1:9">
      <c r="B61" s="63"/>
      <c r="C61" s="30"/>
      <c r="D61" s="30"/>
      <c r="E61" s="30"/>
      <c r="F61" s="30"/>
      <c r="G61" s="30"/>
      <c r="H61" s="30"/>
      <c r="I61" s="30"/>
    </row>
    <row r="62" spans="1:9">
      <c r="A62" s="605" t="s">
        <v>1072</v>
      </c>
      <c r="B62" s="605" t="s">
        <v>895</v>
      </c>
      <c r="C62" s="30">
        <v>553.98</v>
      </c>
      <c r="D62" s="30">
        <v>547.31499999999994</v>
      </c>
      <c r="E62" s="30">
        <v>477.47</v>
      </c>
      <c r="F62" s="30">
        <v>432.82000000000005</v>
      </c>
      <c r="G62" s="30">
        <v>430.29</v>
      </c>
      <c r="H62" s="30">
        <v>407.09000000000003</v>
      </c>
      <c r="I62" s="30">
        <v>438.23</v>
      </c>
    </row>
    <row r="63" spans="1:9">
      <c r="B63" s="605"/>
      <c r="C63" s="30"/>
      <c r="D63" s="30"/>
      <c r="E63" s="30"/>
      <c r="F63" s="30"/>
      <c r="G63" s="30"/>
      <c r="H63" s="30"/>
      <c r="I63" s="30"/>
    </row>
    <row r="64" spans="1:9">
      <c r="B64" s="605"/>
      <c r="C64" s="30"/>
      <c r="D64" s="30"/>
      <c r="E64" s="30"/>
      <c r="F64" s="30"/>
      <c r="G64" s="30"/>
      <c r="H64" s="30"/>
      <c r="I64" s="30"/>
    </row>
    <row r="67" spans="2:9" ht="16">
      <c r="B67" s="224" t="s">
        <v>1061</v>
      </c>
    </row>
    <row r="68" spans="2:9">
      <c r="B68" s="533" t="s">
        <v>19</v>
      </c>
      <c r="C68" s="91"/>
      <c r="D68" s="91"/>
      <c r="E68" s="91"/>
      <c r="F68" s="91"/>
      <c r="G68" s="91">
        <v>2793.6</v>
      </c>
      <c r="H68" s="91">
        <v>23531.7</v>
      </c>
      <c r="I68" s="91">
        <v>24978.400000000001</v>
      </c>
    </row>
    <row r="69" spans="2:9" ht="15">
      <c r="B69" s="236" t="s">
        <v>49</v>
      </c>
      <c r="C69" s="239">
        <v>24567.1</v>
      </c>
      <c r="D69" s="379">
        <v>25650.9</v>
      </c>
      <c r="E69" s="27">
        <v>24462.1</v>
      </c>
      <c r="F69" s="454">
        <v>20447</v>
      </c>
      <c r="G69" s="454">
        <v>20585.3</v>
      </c>
      <c r="H69" s="454">
        <v>530.70000000000005</v>
      </c>
      <c r="I69" s="454">
        <v>1679.4</v>
      </c>
    </row>
    <row r="70" spans="2:9">
      <c r="B70" s="530" t="s">
        <v>46</v>
      </c>
      <c r="C70" s="552">
        <f t="shared" ref="C70:H70" si="2">(C68*0.9)+C69</f>
        <v>24567.1</v>
      </c>
      <c r="D70" s="552">
        <f t="shared" si="2"/>
        <v>25650.9</v>
      </c>
      <c r="E70" s="552">
        <f t="shared" si="2"/>
        <v>24462.1</v>
      </c>
      <c r="F70" s="552">
        <f t="shared" si="2"/>
        <v>20447</v>
      </c>
      <c r="G70" s="552">
        <f t="shared" si="2"/>
        <v>23099.54</v>
      </c>
      <c r="H70" s="552">
        <f t="shared" si="2"/>
        <v>21709.230000000003</v>
      </c>
      <c r="I70" s="552">
        <f>(I68*0.9)+I69</f>
        <v>24159.960000000003</v>
      </c>
    </row>
    <row r="72" spans="2:9">
      <c r="B72" s="6" t="s">
        <v>628</v>
      </c>
      <c r="C72" s="22" t="s">
        <v>310</v>
      </c>
      <c r="D72" s="22" t="s">
        <v>339</v>
      </c>
      <c r="E72" s="22" t="s">
        <v>731</v>
      </c>
      <c r="F72" s="10" t="s">
        <v>24</v>
      </c>
      <c r="G72" s="10" t="s">
        <v>1005</v>
      </c>
      <c r="H72" s="10" t="s">
        <v>970</v>
      </c>
      <c r="I72" s="10" t="s">
        <v>955</v>
      </c>
    </row>
    <row r="73" spans="2:9">
      <c r="B73" s="26" t="s">
        <v>670</v>
      </c>
      <c r="C73" s="28">
        <v>60319.1</v>
      </c>
      <c r="D73" s="379">
        <v>50329</v>
      </c>
      <c r="E73" s="409">
        <v>42558.9</v>
      </c>
      <c r="F73" s="455">
        <v>29587.7</v>
      </c>
      <c r="G73" s="455">
        <v>40762.9</v>
      </c>
      <c r="H73" s="26">
        <v>30595.8</v>
      </c>
      <c r="I73" s="26">
        <f>33262.4+371.7+996.4</f>
        <v>34630.5</v>
      </c>
    </row>
    <row r="74" spans="2:9">
      <c r="B74" s="26" t="s">
        <v>320</v>
      </c>
      <c r="C74" s="28">
        <v>145665.79999999999</v>
      </c>
      <c r="D74" s="379">
        <v>138141.79999999999</v>
      </c>
      <c r="E74" s="27">
        <v>149398.20000000001</v>
      </c>
      <c r="F74" s="409">
        <v>129233.5</v>
      </c>
      <c r="G74" s="409">
        <v>142187.9</v>
      </c>
      <c r="H74" s="26">
        <v>124268.8</v>
      </c>
      <c r="I74" s="26">
        <v>142688.70000000001</v>
      </c>
    </row>
    <row r="75" spans="2:9" ht="15">
      <c r="B75" s="100" t="s">
        <v>651</v>
      </c>
      <c r="C75" s="112">
        <v>21662.400000000001</v>
      </c>
      <c r="D75" s="379">
        <v>21840.2</v>
      </c>
      <c r="E75" s="409">
        <v>17595.900000000001</v>
      </c>
      <c r="F75" s="454">
        <v>19427.900000000001</v>
      </c>
      <c r="G75" s="454">
        <v>35999</v>
      </c>
      <c r="H75" s="26">
        <v>31039.3</v>
      </c>
      <c r="I75" s="26">
        <f>38027.2+1028.7</f>
        <v>39055.899999999994</v>
      </c>
    </row>
    <row r="78" spans="2:9" ht="15">
      <c r="B78" s="236" t="s">
        <v>520</v>
      </c>
      <c r="C78" s="237">
        <v>11243.7</v>
      </c>
      <c r="D78" s="379">
        <v>13054</v>
      </c>
      <c r="E78" s="409">
        <v>16881.2</v>
      </c>
      <c r="F78" s="454">
        <v>12266.4</v>
      </c>
      <c r="G78" s="454">
        <v>17066</v>
      </c>
      <c r="H78" s="454">
        <v>12950.2</v>
      </c>
      <c r="I78" s="454">
        <v>12434.5</v>
      </c>
    </row>
    <row r="79" spans="2:9">
      <c r="B79" s="236" t="s">
        <v>624</v>
      </c>
      <c r="C79" s="237">
        <v>714.2</v>
      </c>
      <c r="D79" s="381">
        <v>325.89999999999998</v>
      </c>
      <c r="E79" s="409">
        <v>1047.5999999999999</v>
      </c>
      <c r="F79" s="26">
        <v>994.9</v>
      </c>
      <c r="G79" s="26">
        <v>340.1</v>
      </c>
      <c r="H79" s="26">
        <v>718.6</v>
      </c>
      <c r="I79" s="26">
        <v>0</v>
      </c>
    </row>
    <row r="80" spans="2:9">
      <c r="B80" s="227" t="s">
        <v>552</v>
      </c>
      <c r="C80" s="232">
        <f>('FY 02-06 reference'!B50*0.05)+(C79*0.2)</f>
        <v>142.84</v>
      </c>
      <c r="D80" s="232">
        <f>('FY 02-06 reference'!C50*0.05)+(D79*0.2)</f>
        <v>65.179999999999993</v>
      </c>
      <c r="E80" s="232">
        <f>('FY 02-06 reference'!D50*0.05)+(E79*0.2)</f>
        <v>209.51999999999998</v>
      </c>
      <c r="F80" s="232">
        <f>('FY 02-06 reference'!E50*0.05)+(F79*0.2)</f>
        <v>198.98000000000002</v>
      </c>
      <c r="G80" s="232">
        <f>('FY 02-06 reference'!F50*0.05)+(G79*0.2)</f>
        <v>68.02000000000001</v>
      </c>
      <c r="H80" s="232">
        <f>('FY 02-06 reference'!G50*0.05)+(H79*0.2)</f>
        <v>143.72</v>
      </c>
      <c r="I80" s="232">
        <f>('FY 02-06 reference'!H50*0.05)+(I79*0.2)</f>
        <v>0</v>
      </c>
    </row>
    <row r="81" spans="2:9">
      <c r="B81" s="247" t="s">
        <v>581</v>
      </c>
      <c r="C81" s="231">
        <f t="shared" ref="C81:H81" si="3">(C78+(C79*0.8))</f>
        <v>11815.060000000001</v>
      </c>
      <c r="D81" s="231">
        <f t="shared" si="3"/>
        <v>13314.72</v>
      </c>
      <c r="E81" s="231">
        <f t="shared" si="3"/>
        <v>17719.28</v>
      </c>
      <c r="F81" s="231">
        <f t="shared" si="3"/>
        <v>13062.32</v>
      </c>
      <c r="G81" s="231">
        <f t="shared" si="3"/>
        <v>17338.080000000002</v>
      </c>
      <c r="H81" s="231">
        <f t="shared" si="3"/>
        <v>13525.08</v>
      </c>
      <c r="I81" s="231">
        <f>(I78+(I79*0.8))</f>
        <v>12434.5</v>
      </c>
    </row>
  </sheetData>
  <pageMargins left="0.75" right="0.75" top="1" bottom="1" header="0.5" footer="0.5"/>
  <pageSetup orientation="portrait" horizontalDpi="4294967292" verticalDpi="4294967292"/>
  <headerFooter alignWithMargins="0"/>
  <legacy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L1" workbookViewId="0"/>
  </sheetViews>
  <sheetFormatPr baseColWidth="10" defaultColWidth="11.5" defaultRowHeight="13"/>
  <sheetData/>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5762C414363D948BEA99ECA6AA0B63A" ma:contentTypeVersion="2" ma:contentTypeDescription="Create a new document." ma:contentTypeScope="" ma:versionID="12b30973061d81bdae0017939d7c4c99">
  <xsd:schema xmlns:xsd="http://www.w3.org/2001/XMLSchema" xmlns:xs="http://www.w3.org/2001/XMLSchema" xmlns:p="http://schemas.microsoft.com/office/2006/metadata/properties" xmlns:ns2="74fa4673-dfbd-443f-8348-84c151b83ddd" targetNamespace="http://schemas.microsoft.com/office/2006/metadata/properties" ma:root="true" ma:fieldsID="fb61afe3d38a35ba0218f4bf6d7e8e6e" ns2:_="">
    <xsd:import namespace="74fa4673-dfbd-443f-8348-84c151b83ddd"/>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fa4673-dfbd-443f-8348-84c151b83ddd"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BA6EBBF-738B-4244-9589-E792153C2A8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fa4673-dfbd-443f-8348-84c151b83dd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6324AC4-169F-4C8B-BB7E-B5C6EAAD514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33</vt:i4>
      </vt:variant>
      <vt:variant>
        <vt:lpstr>Named Ranges</vt:lpstr>
      </vt:variant>
      <vt:variant>
        <vt:i4>5</vt:i4>
      </vt:variant>
    </vt:vector>
  </HeadingPairs>
  <TitlesOfParts>
    <vt:vector size="38" baseType="lpstr">
      <vt:lpstr>Contents</vt:lpstr>
      <vt:lpstr>Symbols-Glossary</vt:lpstr>
      <vt:lpstr>Summary</vt:lpstr>
      <vt:lpstr>Summary Scope 1</vt:lpstr>
      <vt:lpstr>Summary Scope 2</vt:lpstr>
      <vt:lpstr>Summary Scope 3</vt:lpstr>
      <vt:lpstr>Scope1A Stationary</vt:lpstr>
      <vt:lpstr>Scope1A Stationary sources</vt:lpstr>
      <vt:lpstr>Scope1B  Mobile</vt:lpstr>
      <vt:lpstr>Scope1B Mobile sources</vt:lpstr>
      <vt:lpstr>Scope2 Electricity</vt:lpstr>
      <vt:lpstr>Renewable Energy</vt:lpstr>
      <vt:lpstr>Scope2 Electric sources</vt:lpstr>
      <vt:lpstr>Scope 2 Electricity Updated </vt:lpstr>
      <vt:lpstr>Scope3 Travel</vt:lpstr>
      <vt:lpstr>Scope3 Travel sources</vt:lpstr>
      <vt:lpstr>Scope 3 Travel Sources for FY19</vt:lpstr>
      <vt:lpstr>Scope3 Landfill Methane</vt:lpstr>
      <vt:lpstr>Scope3 Landfill Meth sources</vt:lpstr>
      <vt:lpstr>Renewable Energy Sources</vt:lpstr>
      <vt:lpstr>Biomass Accounting</vt:lpstr>
      <vt:lpstr>Offsets</vt:lpstr>
      <vt:lpstr>Offsets (sources)</vt:lpstr>
      <vt:lpstr>EmployeeCommute</vt:lpstr>
      <vt:lpstr>EmployeeCommute sources</vt:lpstr>
      <vt:lpstr>EmployeeCommuteRevised</vt:lpstr>
      <vt:lpstr>EmployeeCommuteRevised sources</vt:lpstr>
      <vt:lpstr>Normalization Factors</vt:lpstr>
      <vt:lpstr>Normalization sources</vt:lpstr>
      <vt:lpstr>Edits Log</vt:lpstr>
      <vt:lpstr>FY 02-06 reference</vt:lpstr>
      <vt:lpstr>Sheet1</vt:lpstr>
      <vt:lpstr>Sheet2</vt:lpstr>
      <vt:lpstr>'Scope1B  Mobile'!Print_Area</vt:lpstr>
      <vt:lpstr>'Scope2 Electric sources'!Print_Area</vt:lpstr>
      <vt:lpstr>'Scope2 Electricity'!Print_Area</vt:lpstr>
      <vt:lpstr>'Scope3 Travel'!Print_Area</vt:lpstr>
      <vt:lpstr>Summary!Print_Area</vt:lpstr>
    </vt:vector>
  </TitlesOfParts>
  <Company>Middlebury College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Student</dc:creator>
  <cp:lastModifiedBy>Desmond, Gabriel Laird (Gabe)</cp:lastModifiedBy>
  <cp:lastPrinted>2010-09-08T22:13:00Z</cp:lastPrinted>
  <dcterms:created xsi:type="dcterms:W3CDTF">2006-12-28T19:12:34Z</dcterms:created>
  <dcterms:modified xsi:type="dcterms:W3CDTF">2020-08-14T22:57:24Z</dcterms:modified>
</cp:coreProperties>
</file>